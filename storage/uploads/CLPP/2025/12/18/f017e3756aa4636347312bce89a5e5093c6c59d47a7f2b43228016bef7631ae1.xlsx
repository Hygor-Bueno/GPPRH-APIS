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"/>
    </mc:Choice>
  </mc:AlternateContent>
  <bookViews>
    <workbookView xWindow="0" yWindow="0" windowWidth="20490" windowHeight="7530" activeTab="1"/>
  </bookViews>
  <sheets>
    <sheet name="BASE" sheetId="1" r:id="rId1"/>
    <sheet name="DASH" sheetId="6" r:id="rId2"/>
  </sheets>
  <definedNames>
    <definedName name="_xlnm._FilterDatabase" localSheetId="0" hidden="1">BASE!$B$2:$G$49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4" i="6" l="1" a="1"/>
  <c r="I4" i="6" s="1"/>
  <c r="B4" i="6"/>
</calcChain>
</file>

<file path=xl/sharedStrings.xml><?xml version="1.0" encoding="utf-8"?>
<sst xmlns="http://schemas.openxmlformats.org/spreadsheetml/2006/main" count="212" uniqueCount="99">
  <si>
    <t>DEPARTAMENTO</t>
  </si>
  <si>
    <t>Email De Utilização</t>
  </si>
  <si>
    <t>comercial01.qlik@gmail.com</t>
  </si>
  <si>
    <t>Carleandro</t>
  </si>
  <si>
    <t>Ricardo</t>
  </si>
  <si>
    <t>Thiago</t>
  </si>
  <si>
    <t>comercial02.pegpese@gmail.com</t>
  </si>
  <si>
    <t>Comercial0.qlik@gmail.com</t>
  </si>
  <si>
    <t>Rafael Fernandes</t>
  </si>
  <si>
    <t>Marielson</t>
  </si>
  <si>
    <t>Fabiola</t>
  </si>
  <si>
    <t>José Marques</t>
  </si>
  <si>
    <t>Marcelo</t>
  </si>
  <si>
    <t>Odair</t>
  </si>
  <si>
    <t>Rafael Silva</t>
  </si>
  <si>
    <t>Rafael Manenthi</t>
  </si>
  <si>
    <t>Gisleide</t>
  </si>
  <si>
    <t>Jakeline</t>
  </si>
  <si>
    <t>Lucas</t>
  </si>
  <si>
    <t>Thais</t>
  </si>
  <si>
    <t>Henrique</t>
  </si>
  <si>
    <t>Mayara</t>
  </si>
  <si>
    <t>INTELIGÊNCIA COMERCIAL</t>
  </si>
  <si>
    <t>Douglas Baleeiro</t>
  </si>
  <si>
    <t>Rayssa Santos</t>
  </si>
  <si>
    <t>Cargo</t>
  </si>
  <si>
    <t>Comprador</t>
  </si>
  <si>
    <t>Assistente Comercial</t>
  </si>
  <si>
    <t>Price</t>
  </si>
  <si>
    <t>Cadastro</t>
  </si>
  <si>
    <t>GC</t>
  </si>
  <si>
    <t>Assistente FLV</t>
  </si>
  <si>
    <t>Ecommerce</t>
  </si>
  <si>
    <t>Milena</t>
  </si>
  <si>
    <t>NOME PESSOA</t>
  </si>
  <si>
    <t>NRO PESSOA</t>
  </si>
  <si>
    <t>PREVENÇÃO DE PERDAS</t>
  </si>
  <si>
    <t>Gean</t>
  </si>
  <si>
    <t>Raissa</t>
  </si>
  <si>
    <t>Patricia</t>
  </si>
  <si>
    <t>Arthur Medeiros</t>
  </si>
  <si>
    <t>Prevencao</t>
  </si>
  <si>
    <t>FISCAL</t>
  </si>
  <si>
    <t>Fiscal</t>
  </si>
  <si>
    <t>Ana Paula</t>
  </si>
  <si>
    <t>Cleiton Oliveira</t>
  </si>
  <si>
    <t>Eduardo Afoncio</t>
  </si>
  <si>
    <t>CPD</t>
  </si>
  <si>
    <t>Marketing</t>
  </si>
  <si>
    <t>Suellen</t>
  </si>
  <si>
    <t>MARKETING</t>
  </si>
  <si>
    <t>COMERCIAL COMPRAS</t>
  </si>
  <si>
    <t>EMPRESA</t>
  </si>
  <si>
    <t>Peg Pese</t>
  </si>
  <si>
    <t>diretoria.qlik@gmail.com</t>
  </si>
  <si>
    <t>ADM</t>
  </si>
  <si>
    <t>Igor Augusto</t>
  </si>
  <si>
    <t>PRODUÇÃO</t>
  </si>
  <si>
    <t>Administracao</t>
  </si>
  <si>
    <t>Engenheira de Producao</t>
  </si>
  <si>
    <t>Aline</t>
  </si>
  <si>
    <t>Igor Santos</t>
  </si>
  <si>
    <t>Pedro Aleff</t>
  </si>
  <si>
    <t>FRUGAL CEASA</t>
  </si>
  <si>
    <t>Frugal Ceasa</t>
  </si>
  <si>
    <t>Hetros</t>
  </si>
  <si>
    <t>Frugal</t>
  </si>
  <si>
    <t>Elaine</t>
  </si>
  <si>
    <t>Vitor</t>
  </si>
  <si>
    <t>frugalceasa.qlik@gmail.com</t>
  </si>
  <si>
    <t>FRUGAL BOLONHA</t>
  </si>
  <si>
    <t>Administração Frugal</t>
  </si>
  <si>
    <t>TI</t>
  </si>
  <si>
    <t>Caroline</t>
  </si>
  <si>
    <t>Equipe TI</t>
  </si>
  <si>
    <t>frugalbolonha.qlik@gmail.com</t>
  </si>
  <si>
    <t>BI</t>
  </si>
  <si>
    <t>Administração BI</t>
  </si>
  <si>
    <t>Bruno</t>
  </si>
  <si>
    <t>adm.qlik@gmail.com</t>
  </si>
  <si>
    <t>HETROS</t>
  </si>
  <si>
    <t>Hétros Relatórios</t>
  </si>
  <si>
    <t>Thyago</t>
  </si>
  <si>
    <t>Equipe Thyago</t>
  </si>
  <si>
    <t>DIRETORIA</t>
  </si>
  <si>
    <t>Raphael Damião</t>
  </si>
  <si>
    <t>Gestor</t>
  </si>
  <si>
    <t>Edson</t>
  </si>
  <si>
    <t>Luccas</t>
  </si>
  <si>
    <t>Alexandre</t>
  </si>
  <si>
    <t>Quantidade de usuários cadastrados</t>
  </si>
  <si>
    <t>Email Mais utilizado</t>
  </si>
  <si>
    <t>Licenças</t>
  </si>
  <si>
    <t>1 - Rh</t>
  </si>
  <si>
    <t>1 - Financeiro</t>
  </si>
  <si>
    <t>1 - Fiscal/Contábil</t>
  </si>
  <si>
    <t>1 - Comercial</t>
  </si>
  <si>
    <t>1 - Price/Prevenção/ADM</t>
  </si>
  <si>
    <t>1 - H2J/ Analista 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</si>
</sst>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AFABAB"/>
      <name val="Corbel"/>
      <family val="2"/>
      <charset val="1"/>
    </font>
    <font>
      <b/>
      <sz val="11"/>
      <color rgb="FFFFFFFF"/>
      <name val="Corbel"/>
      <family val="2"/>
      <charset val="1"/>
    </font>
    <font>
      <b/>
      <sz val="11"/>
      <color rgb="FFFFD966"/>
      <name val="Corbel"/>
      <family val="2"/>
      <charset val="1"/>
    </font>
    <font>
      <b/>
      <sz val="11"/>
      <color theme="5"/>
      <name val="Arial"/>
      <family val="2"/>
    </font>
    <font>
      <b/>
      <sz val="11"/>
      <color theme="9"/>
      <name val="Arial"/>
      <family val="2"/>
    </font>
    <font>
      <b/>
      <sz val="11"/>
      <color rgb="FFFF0000"/>
      <name val="Arial"/>
      <family val="2"/>
    </font>
    <font>
      <sz val="11"/>
      <color rgb="FF000000"/>
      <name val="Calibri"/>
      <family val="2"/>
      <charset val="1"/>
    </font>
    <font>
      <u/>
      <sz val="11"/>
      <color rgb="FF0563C1"/>
      <name val="Calibri"/>
      <family val="2"/>
      <charset val="1"/>
    </font>
    <font>
      <b/>
      <sz val="11"/>
      <color theme="0"/>
      <name val="Arial"/>
      <family val="2"/>
    </font>
    <font>
      <b/>
      <sz val="11"/>
      <color rgb="FF00B0F0"/>
      <name val="Arial"/>
      <family val="2"/>
    </font>
    <font>
      <b/>
      <sz val="11"/>
      <color rgb="FFFFFF00"/>
      <name val="Arial"/>
      <family val="2"/>
    </font>
    <font>
      <b/>
      <sz val="11"/>
      <color rgb="FFDB199A"/>
      <name val="Arial"/>
      <family val="2"/>
    </font>
    <font>
      <sz val="18"/>
      <color theme="0"/>
      <name val="Calibri"/>
      <family val="2"/>
      <scheme val="minor"/>
    </font>
    <font>
      <sz val="72"/>
      <color theme="0"/>
      <name val="Calibri"/>
      <family val="2"/>
      <scheme val="minor"/>
    </font>
    <font>
      <sz val="20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 tint="0.14999847407452621"/>
        <bgColor rgb="FF262626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1" tint="0.14999847407452621"/>
        <bgColor rgb="FF3B3838"/>
      </patternFill>
    </fill>
    <fill>
      <patternFill patternType="solid">
        <fgColor theme="2" tint="-0.749992370372631"/>
        <bgColor indexed="64"/>
      </patternFill>
    </fill>
  </fills>
  <borders count="27">
    <border>
      <left/>
      <right/>
      <top/>
      <bottom/>
      <diagonal/>
    </border>
    <border>
      <left style="thin">
        <color rgb="FF767171"/>
      </left>
      <right style="thin">
        <color rgb="FF767171"/>
      </right>
      <top style="thin">
        <color rgb="FF767171"/>
      </top>
      <bottom style="thin">
        <color rgb="FF767171"/>
      </bottom>
      <diagonal/>
    </border>
    <border>
      <left style="thin">
        <color rgb="FF767171"/>
      </left>
      <right style="thin">
        <color rgb="FF767171"/>
      </right>
      <top style="thin">
        <color rgb="FF767171"/>
      </top>
      <bottom/>
      <diagonal/>
    </border>
    <border>
      <left style="thin">
        <color rgb="FF767171"/>
      </left>
      <right style="thin">
        <color rgb="FF767171"/>
      </right>
      <top/>
      <bottom style="thin">
        <color rgb="FF767171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/>
      <diagonal/>
    </border>
    <border>
      <left/>
      <right style="thin">
        <color rgb="FF767171"/>
      </right>
      <top style="thin">
        <color rgb="FF767171"/>
      </top>
      <bottom style="thin">
        <color rgb="FF767171"/>
      </bottom>
      <diagonal/>
    </border>
    <border>
      <left style="thin">
        <color theme="2" tint="-0.499984740745262"/>
      </left>
      <right style="thin">
        <color theme="2" tint="-0.499984740745262"/>
      </right>
      <top/>
      <bottom/>
      <diagonal/>
    </border>
    <border>
      <left style="thin">
        <color theme="2" tint="-0.499984740745262"/>
      </left>
      <right style="thin">
        <color theme="2" tint="-0.499984740745262"/>
      </right>
      <top/>
      <bottom style="thin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rgb="FF767171"/>
      </left>
      <right style="thin">
        <color rgb="FF767171"/>
      </right>
      <top style="thin">
        <color rgb="FF767171"/>
      </top>
      <bottom style="thin">
        <color theme="2" tint="-0.499984740745262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medium">
        <color theme="1"/>
      </bottom>
      <diagonal/>
    </border>
    <border>
      <left style="medium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theme="1"/>
      </right>
      <top/>
      <bottom style="thin">
        <color theme="1"/>
      </bottom>
      <diagonal/>
    </border>
  </borders>
  <cellStyleXfs count="3">
    <xf numFmtId="0" fontId="0" fillId="0" borderId="0"/>
    <xf numFmtId="0" fontId="8" fillId="0" borderId="0"/>
    <xf numFmtId="0" fontId="9" fillId="0" borderId="0" applyBorder="0" applyProtection="0"/>
  </cellStyleXfs>
  <cellXfs count="54">
    <xf numFmtId="0" fontId="0" fillId="0" borderId="0" xfId="0"/>
    <xf numFmtId="0" fontId="2" fillId="2" borderId="0" xfId="0" applyFont="1" applyFill="1" applyAlignment="1" applyProtection="1">
      <alignment vertical="center"/>
    </xf>
    <xf numFmtId="0" fontId="3" fillId="2" borderId="0" xfId="0" applyFont="1" applyFill="1" applyAlignment="1" applyProtection="1">
      <alignment vertical="center"/>
    </xf>
    <xf numFmtId="0" fontId="3" fillId="2" borderId="0" xfId="0" applyFont="1" applyFill="1" applyBorder="1" applyAlignment="1" applyProtection="1">
      <alignment horizontal="center" vertical="center"/>
    </xf>
    <xf numFmtId="0" fontId="0" fillId="3" borderId="0" xfId="0" applyFill="1"/>
    <xf numFmtId="0" fontId="4" fillId="2" borderId="0" xfId="0" applyFont="1" applyFill="1" applyAlignment="1" applyProtection="1">
      <alignment vertical="center"/>
    </xf>
    <xf numFmtId="0" fontId="4" fillId="4" borderId="2" xfId="0" applyFont="1" applyFill="1" applyBorder="1" applyAlignment="1" applyProtection="1">
      <alignment horizontal="center" vertical="center"/>
    </xf>
    <xf numFmtId="0" fontId="4" fillId="4" borderId="3" xfId="0" applyFont="1" applyFill="1" applyBorder="1" applyAlignment="1" applyProtection="1">
      <alignment horizontal="center" vertical="center"/>
    </xf>
    <xf numFmtId="0" fontId="3" fillId="2" borderId="5" xfId="0" applyFont="1" applyFill="1" applyBorder="1" applyAlignment="1" applyProtection="1">
      <alignment horizontal="center" vertical="center"/>
    </xf>
    <xf numFmtId="0" fontId="3" fillId="2" borderId="1" xfId="0" applyFont="1" applyFill="1" applyBorder="1" applyAlignment="1" applyProtection="1">
      <alignment horizontal="center" vertical="center"/>
    </xf>
    <xf numFmtId="0" fontId="5" fillId="2" borderId="5" xfId="0" applyFont="1" applyFill="1" applyBorder="1" applyAlignment="1" applyProtection="1">
      <alignment horizontal="left" vertical="center"/>
    </xf>
    <xf numFmtId="0" fontId="6" fillId="2" borderId="5" xfId="0" applyFont="1" applyFill="1" applyBorder="1" applyAlignment="1" applyProtection="1">
      <alignment horizontal="left" vertical="center"/>
    </xf>
    <xf numFmtId="0" fontId="7" fillId="2" borderId="5" xfId="0" applyFont="1" applyFill="1" applyBorder="1" applyAlignment="1" applyProtection="1">
      <alignment horizontal="left" vertical="center"/>
    </xf>
    <xf numFmtId="0" fontId="10" fillId="2" borderId="5" xfId="0" applyFont="1" applyFill="1" applyBorder="1" applyAlignment="1" applyProtection="1">
      <alignment horizontal="left" vertical="center"/>
    </xf>
    <xf numFmtId="0" fontId="11" fillId="2" borderId="5" xfId="0" applyFont="1" applyFill="1" applyBorder="1" applyAlignment="1" applyProtection="1">
      <alignment horizontal="left" vertical="center"/>
    </xf>
    <xf numFmtId="0" fontId="3" fillId="2" borderId="8" xfId="0" applyFont="1" applyFill="1" applyBorder="1" applyAlignment="1" applyProtection="1">
      <alignment horizontal="center" vertical="center" wrapText="1"/>
    </xf>
    <xf numFmtId="0" fontId="12" fillId="2" borderId="5" xfId="0" applyFont="1" applyFill="1" applyBorder="1" applyAlignment="1" applyProtection="1">
      <alignment horizontal="left" vertical="center"/>
    </xf>
    <xf numFmtId="0" fontId="13" fillId="2" borderId="5" xfId="0" applyFont="1" applyFill="1" applyBorder="1" applyAlignment="1" applyProtection="1">
      <alignment horizontal="left" vertical="center"/>
    </xf>
    <xf numFmtId="0" fontId="1" fillId="5" borderId="0" xfId="0" applyFont="1" applyFill="1" applyAlignment="1">
      <alignment horizontal="center" vertical="center"/>
    </xf>
    <xf numFmtId="0" fontId="1" fillId="5" borderId="0" xfId="0" applyFont="1" applyFill="1" applyBorder="1" applyAlignment="1">
      <alignment horizontal="center" vertical="center"/>
    </xf>
    <xf numFmtId="0" fontId="1" fillId="5" borderId="0" xfId="0" applyFont="1" applyFill="1" applyBorder="1" applyAlignment="1">
      <alignment vertical="center"/>
    </xf>
    <xf numFmtId="0" fontId="3" fillId="2" borderId="4" xfId="0" applyFont="1" applyFill="1" applyBorder="1" applyAlignment="1" applyProtection="1">
      <alignment horizontal="center" vertical="center" wrapText="1"/>
    </xf>
    <xf numFmtId="0" fontId="3" fillId="2" borderId="6" xfId="0" applyFont="1" applyFill="1" applyBorder="1" applyAlignment="1" applyProtection="1">
      <alignment horizontal="center" vertical="center" wrapText="1"/>
    </xf>
    <xf numFmtId="0" fontId="3" fillId="2" borderId="7" xfId="0" applyFont="1" applyFill="1" applyBorder="1" applyAlignment="1" applyProtection="1">
      <alignment horizontal="center" vertical="center" wrapText="1"/>
    </xf>
    <xf numFmtId="0" fontId="4" fillId="4" borderId="1" xfId="0" applyFont="1" applyFill="1" applyBorder="1" applyAlignment="1" applyProtection="1">
      <alignment horizontal="center" vertical="center"/>
    </xf>
    <xf numFmtId="0" fontId="4" fillId="4" borderId="9" xfId="0" applyFont="1" applyFill="1" applyBorder="1" applyAlignment="1" applyProtection="1">
      <alignment horizontal="center" vertical="center"/>
    </xf>
    <xf numFmtId="0" fontId="16" fillId="5" borderId="19" xfId="0" applyFont="1" applyFill="1" applyBorder="1" applyAlignment="1">
      <alignment horizontal="left" vertical="center"/>
    </xf>
    <xf numFmtId="0" fontId="16" fillId="5" borderId="10" xfId="0" applyFont="1" applyFill="1" applyBorder="1" applyAlignment="1">
      <alignment horizontal="left" vertical="center"/>
    </xf>
    <xf numFmtId="0" fontId="16" fillId="5" borderId="20" xfId="0" applyFont="1" applyFill="1" applyBorder="1" applyAlignment="1">
      <alignment horizontal="left" vertical="center"/>
    </xf>
    <xf numFmtId="0" fontId="16" fillId="5" borderId="21" xfId="0" applyFont="1" applyFill="1" applyBorder="1" applyAlignment="1">
      <alignment horizontal="left" vertical="center"/>
    </xf>
    <xf numFmtId="0" fontId="16" fillId="5" borderId="22" xfId="0" applyFont="1" applyFill="1" applyBorder="1" applyAlignment="1">
      <alignment horizontal="left" vertical="center"/>
    </xf>
    <xf numFmtId="0" fontId="16" fillId="5" borderId="23" xfId="0" applyFont="1" applyFill="1" applyBorder="1" applyAlignment="1">
      <alignment horizontal="left" vertical="center"/>
    </xf>
    <xf numFmtId="0" fontId="15" fillId="5" borderId="14" xfId="0" applyFont="1" applyFill="1" applyBorder="1" applyAlignment="1">
      <alignment horizontal="center" vertical="center"/>
    </xf>
    <xf numFmtId="0" fontId="15" fillId="5" borderId="0" xfId="0" applyFont="1" applyFill="1" applyBorder="1" applyAlignment="1">
      <alignment horizontal="center" vertical="center"/>
    </xf>
    <xf numFmtId="0" fontId="15" fillId="5" borderId="15" xfId="0" applyFont="1" applyFill="1" applyBorder="1" applyAlignment="1">
      <alignment horizontal="center" vertical="center"/>
    </xf>
    <xf numFmtId="0" fontId="15" fillId="5" borderId="16" xfId="0" applyFont="1" applyFill="1" applyBorder="1" applyAlignment="1">
      <alignment horizontal="center" vertical="center"/>
    </xf>
    <xf numFmtId="0" fontId="15" fillId="5" borderId="17" xfId="0" applyFont="1" applyFill="1" applyBorder="1" applyAlignment="1">
      <alignment horizontal="center" vertical="center"/>
    </xf>
    <xf numFmtId="0" fontId="15" fillId="5" borderId="18" xfId="0" applyFont="1" applyFill="1" applyBorder="1" applyAlignment="1">
      <alignment horizontal="center" vertical="center"/>
    </xf>
    <xf numFmtId="0" fontId="16" fillId="5" borderId="14" xfId="0" applyFont="1" applyFill="1" applyBorder="1" applyAlignment="1">
      <alignment horizontal="center" vertical="center"/>
    </xf>
    <xf numFmtId="0" fontId="16" fillId="5" borderId="0" xfId="0" applyFont="1" applyFill="1" applyBorder="1" applyAlignment="1">
      <alignment horizontal="center" vertical="center"/>
    </xf>
    <xf numFmtId="0" fontId="16" fillId="5" borderId="15" xfId="0" applyFont="1" applyFill="1" applyBorder="1" applyAlignment="1">
      <alignment horizontal="center" vertical="center"/>
    </xf>
    <xf numFmtId="0" fontId="16" fillId="5" borderId="16" xfId="0" applyFont="1" applyFill="1" applyBorder="1" applyAlignment="1">
      <alignment horizontal="center" vertical="center"/>
    </xf>
    <xf numFmtId="0" fontId="16" fillId="5" borderId="17" xfId="0" applyFont="1" applyFill="1" applyBorder="1" applyAlignment="1">
      <alignment horizontal="center" vertical="center"/>
    </xf>
    <xf numFmtId="0" fontId="16" fillId="5" borderId="18" xfId="0" applyFont="1" applyFill="1" applyBorder="1" applyAlignment="1">
      <alignment horizontal="center" vertical="center"/>
    </xf>
    <xf numFmtId="0" fontId="14" fillId="5" borderId="11" xfId="0" applyFont="1" applyFill="1" applyBorder="1" applyAlignment="1">
      <alignment horizontal="center" vertical="center"/>
    </xf>
    <xf numFmtId="0" fontId="14" fillId="5" borderId="12" xfId="0" applyFont="1" applyFill="1" applyBorder="1" applyAlignment="1">
      <alignment horizontal="center" vertical="center"/>
    </xf>
    <xf numFmtId="0" fontId="14" fillId="5" borderId="13" xfId="0" applyFont="1" applyFill="1" applyBorder="1" applyAlignment="1">
      <alignment horizontal="center" vertical="center"/>
    </xf>
    <xf numFmtId="0" fontId="14" fillId="5" borderId="16" xfId="0" applyFont="1" applyFill="1" applyBorder="1" applyAlignment="1">
      <alignment horizontal="center" vertical="center"/>
    </xf>
    <xf numFmtId="0" fontId="14" fillId="5" borderId="17" xfId="0" applyFont="1" applyFill="1" applyBorder="1" applyAlignment="1">
      <alignment horizontal="center" vertical="center"/>
    </xf>
    <xf numFmtId="0" fontId="14" fillId="5" borderId="18" xfId="0" applyFont="1" applyFill="1" applyBorder="1" applyAlignment="1">
      <alignment horizontal="center" vertical="center"/>
    </xf>
    <xf numFmtId="0" fontId="1" fillId="5" borderId="0" xfId="0" applyFont="1" applyFill="1" applyBorder="1" applyAlignment="1">
      <alignment horizontal="center" vertical="center"/>
    </xf>
    <xf numFmtId="0" fontId="16" fillId="5" borderId="24" xfId="0" applyFont="1" applyFill="1" applyBorder="1" applyAlignment="1">
      <alignment horizontal="left" vertical="center"/>
    </xf>
    <xf numFmtId="0" fontId="16" fillId="5" borderId="25" xfId="0" applyFont="1" applyFill="1" applyBorder="1" applyAlignment="1">
      <alignment horizontal="left" vertical="center"/>
    </xf>
    <xf numFmtId="0" fontId="16" fillId="5" borderId="26" xfId="0" applyFont="1" applyFill="1" applyBorder="1" applyAlignment="1">
      <alignment horizontal="left" vertical="center"/>
    </xf>
  </cellXfs>
  <cellStyles count="3">
    <cellStyle name="Hiperlink 2" xfId="2"/>
    <cellStyle name="Normal" xfId="0" builtinId="0"/>
    <cellStyle name="Normal 2" xfId="1"/>
  </cellStyles>
  <dxfs count="0"/>
  <tableStyles count="0" defaultTableStyle="TableStyleMedium2" defaultPivotStyle="PivotStyleLight16"/>
  <colors>
    <mruColors>
      <color rgb="FFDB199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Quantidade de usuário por Email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7"/>
              <c:pt idx="0">
                <c:v>comercial02.pegpese@gmail.com</c:v>
              </c:pt>
              <c:pt idx="1">
                <c:v>comercial01.qlik@gmail.com</c:v>
              </c:pt>
              <c:pt idx="2">
                <c:v>diretoria.qlik@gmail.com</c:v>
              </c:pt>
              <c:pt idx="3">
                <c:v>Comercial0.qlik@gmail.com</c:v>
              </c:pt>
              <c:pt idx="4">
                <c:v>frugalbolonha.qlik@gmail.com</c:v>
              </c:pt>
              <c:pt idx="5">
                <c:v>frugalceasa.qlik@gmail.com</c:v>
              </c:pt>
              <c:pt idx="6">
                <c:v>adm.qlik@gmail.com</c:v>
              </c:pt>
            </c:strLit>
          </c:cat>
          <c:val>
            <c:numLit>
              <c:formatCode>General</c:formatCode>
              <c:ptCount val="7"/>
              <c:pt idx="0">
                <c:v>15</c:v>
              </c:pt>
              <c:pt idx="1">
                <c:v>11</c:v>
              </c:pt>
              <c:pt idx="2">
                <c:v>7</c:v>
              </c:pt>
              <c:pt idx="3">
                <c:v>7</c:v>
              </c:pt>
              <c:pt idx="4">
                <c:v>3</c:v>
              </c:pt>
              <c:pt idx="5">
                <c:v>2</c:v>
              </c:pt>
              <c:pt idx="6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0-BC75-435F-B566-6910DA2B3CA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04805872"/>
        <c:axId val="1304807120"/>
      </c:barChart>
      <c:catAx>
        <c:axId val="1304805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04807120"/>
        <c:crosses val="autoZero"/>
        <c:auto val="1"/>
        <c:lblAlgn val="ctr"/>
        <c:lblOffset val="100"/>
        <c:noMultiLvlLbl val="0"/>
      </c:catAx>
      <c:valAx>
        <c:axId val="130480712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3048058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600074</xdr:colOff>
      <xdr:row>10</xdr:row>
      <xdr:rowOff>85726</xdr:rowOff>
    </xdr:from>
    <xdr:to>
      <xdr:col>21</xdr:col>
      <xdr:colOff>38099</xdr:colOff>
      <xdr:row>32</xdr:row>
      <xdr:rowOff>133350</xdr:rowOff>
    </xdr:to>
    <xdr:graphicFrame macro="">
      <xdr:nvGraphicFramePr>
        <xdr:cNvPr id="5" name="Gráfico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Views>
    <sheetView zoomScale="85" zoomScaleNormal="85" workbookViewId="0">
      <selection activeCell="J43" sqref="J43"/>
    </sheetView>
  </sheetViews>
  <sheetFormatPr defaultRowHeight="15" x14ac:dyDescent="0.25"/>
  <cols>
    <col min="1" max="1" width="3.7109375" style="4" customWidth="1"/>
    <col min="2" max="3" width="21.28515625" style="4" customWidth="1"/>
    <col min="4" max="4" width="13.7109375" style="4" bestFit="1" customWidth="1"/>
    <col min="5" max="5" width="23.85546875" style="4" bestFit="1" customWidth="1"/>
    <col min="6" max="6" width="18.5703125" style="4" customWidth="1"/>
    <col min="7" max="7" width="35.42578125" style="4" bestFit="1" customWidth="1"/>
    <col min="8" max="10" width="9.140625" style="4"/>
    <col min="11" max="11" width="51.85546875" style="4" customWidth="1"/>
    <col min="12" max="16384" width="9.140625" style="4"/>
  </cols>
  <sheetData>
    <row r="1" spans="1:7" ht="19.5" customHeight="1" x14ac:dyDescent="0.25">
      <c r="A1" s="1"/>
      <c r="B1" s="2"/>
      <c r="C1" s="2"/>
      <c r="D1" s="1"/>
      <c r="E1" s="1"/>
      <c r="F1" s="1"/>
      <c r="G1" s="3"/>
    </row>
    <row r="2" spans="1:7" x14ac:dyDescent="0.25">
      <c r="A2" s="5"/>
      <c r="B2" s="24" t="s">
        <v>0</v>
      </c>
      <c r="C2" s="24" t="s">
        <v>52</v>
      </c>
      <c r="D2" s="24" t="s">
        <v>35</v>
      </c>
      <c r="E2" s="24" t="s">
        <v>25</v>
      </c>
      <c r="F2" s="24" t="s">
        <v>34</v>
      </c>
      <c r="G2" s="6" t="s">
        <v>1</v>
      </c>
    </row>
    <row r="3" spans="1:7" x14ac:dyDescent="0.25">
      <c r="A3" s="5"/>
      <c r="B3" s="25"/>
      <c r="C3" s="25"/>
      <c r="D3" s="24"/>
      <c r="E3" s="24"/>
      <c r="F3" s="24"/>
      <c r="G3" s="7"/>
    </row>
    <row r="4" spans="1:7" x14ac:dyDescent="0.25">
      <c r="A4" s="5"/>
      <c r="B4" s="15" t="s">
        <v>76</v>
      </c>
      <c r="C4" s="8" t="s">
        <v>53</v>
      </c>
      <c r="D4" s="9">
        <v>1</v>
      </c>
      <c r="E4" s="9" t="s">
        <v>77</v>
      </c>
      <c r="F4" s="9" t="s">
        <v>78</v>
      </c>
      <c r="G4" s="13" t="s">
        <v>79</v>
      </c>
    </row>
    <row r="5" spans="1:7" x14ac:dyDescent="0.25">
      <c r="A5" s="2"/>
      <c r="B5" s="21" t="s">
        <v>51</v>
      </c>
      <c r="C5" s="8" t="s">
        <v>53</v>
      </c>
      <c r="D5" s="8">
        <v>2</v>
      </c>
      <c r="E5" s="8" t="s">
        <v>26</v>
      </c>
      <c r="F5" s="8" t="s">
        <v>44</v>
      </c>
      <c r="G5" s="10" t="s">
        <v>2</v>
      </c>
    </row>
    <row r="6" spans="1:7" x14ac:dyDescent="0.25">
      <c r="A6" s="2"/>
      <c r="B6" s="22"/>
      <c r="C6" s="8" t="s">
        <v>53</v>
      </c>
      <c r="D6" s="9">
        <v>3</v>
      </c>
      <c r="E6" s="8" t="s">
        <v>26</v>
      </c>
      <c r="F6" s="8" t="s">
        <v>3</v>
      </c>
      <c r="G6" s="10" t="s">
        <v>2</v>
      </c>
    </row>
    <row r="7" spans="1:7" x14ac:dyDescent="0.25">
      <c r="A7" s="2"/>
      <c r="B7" s="22"/>
      <c r="C7" s="8" t="s">
        <v>53</v>
      </c>
      <c r="D7" s="8">
        <v>4</v>
      </c>
      <c r="E7" s="8" t="s">
        <v>26</v>
      </c>
      <c r="F7" s="8" t="s">
        <v>4</v>
      </c>
      <c r="G7" s="10" t="s">
        <v>2</v>
      </c>
    </row>
    <row r="8" spans="1:7" x14ac:dyDescent="0.25">
      <c r="A8" s="2"/>
      <c r="B8" s="22"/>
      <c r="C8" s="8" t="s">
        <v>53</v>
      </c>
      <c r="D8" s="9">
        <v>5</v>
      </c>
      <c r="E8" s="8" t="s">
        <v>26</v>
      </c>
      <c r="F8" s="8" t="s">
        <v>5</v>
      </c>
      <c r="G8" s="11" t="s">
        <v>6</v>
      </c>
    </row>
    <row r="9" spans="1:7" x14ac:dyDescent="0.25">
      <c r="A9" s="2"/>
      <c r="B9" s="22"/>
      <c r="C9" s="8" t="s">
        <v>53</v>
      </c>
      <c r="D9" s="8">
        <v>6</v>
      </c>
      <c r="E9" s="8" t="s">
        <v>26</v>
      </c>
      <c r="F9" s="8" t="s">
        <v>61</v>
      </c>
      <c r="G9" s="12" t="s">
        <v>7</v>
      </c>
    </row>
    <row r="10" spans="1:7" x14ac:dyDescent="0.25">
      <c r="A10" s="2"/>
      <c r="B10" s="22"/>
      <c r="C10" s="8" t="s">
        <v>53</v>
      </c>
      <c r="D10" s="9">
        <v>7</v>
      </c>
      <c r="E10" s="8" t="s">
        <v>26</v>
      </c>
      <c r="F10" s="8" t="s">
        <v>8</v>
      </c>
      <c r="G10" s="10" t="s">
        <v>2</v>
      </c>
    </row>
    <row r="11" spans="1:7" x14ac:dyDescent="0.25">
      <c r="A11" s="2"/>
      <c r="B11" s="22"/>
      <c r="C11" s="8" t="s">
        <v>53</v>
      </c>
      <c r="D11" s="8">
        <v>8</v>
      </c>
      <c r="E11" s="8" t="s">
        <v>26</v>
      </c>
      <c r="F11" s="8" t="s">
        <v>9</v>
      </c>
      <c r="G11" s="14" t="s">
        <v>54</v>
      </c>
    </row>
    <row r="12" spans="1:7" x14ac:dyDescent="0.25">
      <c r="A12" s="2"/>
      <c r="B12" s="22"/>
      <c r="C12" s="8" t="s">
        <v>53</v>
      </c>
      <c r="D12" s="9">
        <v>9</v>
      </c>
      <c r="E12" s="8" t="s">
        <v>26</v>
      </c>
      <c r="F12" s="8" t="s">
        <v>10</v>
      </c>
      <c r="G12" s="11" t="s">
        <v>6</v>
      </c>
    </row>
    <row r="13" spans="1:7" x14ac:dyDescent="0.25">
      <c r="A13" s="2"/>
      <c r="B13" s="22"/>
      <c r="C13" s="8" t="s">
        <v>53</v>
      </c>
      <c r="D13" s="8">
        <v>10</v>
      </c>
      <c r="E13" s="8" t="s">
        <v>26</v>
      </c>
      <c r="F13" s="8" t="s">
        <v>11</v>
      </c>
      <c r="G13" s="10" t="s">
        <v>2</v>
      </c>
    </row>
    <row r="14" spans="1:7" x14ac:dyDescent="0.25">
      <c r="A14" s="2"/>
      <c r="B14" s="22"/>
      <c r="C14" s="8" t="s">
        <v>53</v>
      </c>
      <c r="D14" s="9">
        <v>11</v>
      </c>
      <c r="E14" s="8" t="s">
        <v>26</v>
      </c>
      <c r="F14" s="8" t="s">
        <v>12</v>
      </c>
      <c r="G14" s="11" t="s">
        <v>6</v>
      </c>
    </row>
    <row r="15" spans="1:7" x14ac:dyDescent="0.25">
      <c r="A15" s="2"/>
      <c r="B15" s="22"/>
      <c r="C15" s="8" t="s">
        <v>53</v>
      </c>
      <c r="D15" s="8">
        <v>12</v>
      </c>
      <c r="E15" s="8" t="s">
        <v>26</v>
      </c>
      <c r="F15" s="8" t="s">
        <v>13</v>
      </c>
      <c r="G15" s="12" t="s">
        <v>7</v>
      </c>
    </row>
    <row r="16" spans="1:7" x14ac:dyDescent="0.25">
      <c r="A16" s="2"/>
      <c r="B16" s="22"/>
      <c r="C16" s="8" t="s">
        <v>53</v>
      </c>
      <c r="D16" s="9">
        <v>13</v>
      </c>
      <c r="E16" s="8" t="s">
        <v>26</v>
      </c>
      <c r="F16" s="8" t="s">
        <v>14</v>
      </c>
      <c r="G16" s="11" t="s">
        <v>6</v>
      </c>
    </row>
    <row r="17" spans="1:7" x14ac:dyDescent="0.25">
      <c r="A17" s="2"/>
      <c r="B17" s="22"/>
      <c r="C17" s="8" t="s">
        <v>53</v>
      </c>
      <c r="D17" s="8">
        <v>14</v>
      </c>
      <c r="E17" s="8" t="s">
        <v>26</v>
      </c>
      <c r="F17" s="8" t="s">
        <v>15</v>
      </c>
      <c r="G17" s="12" t="s">
        <v>7</v>
      </c>
    </row>
    <row r="18" spans="1:7" x14ac:dyDescent="0.25">
      <c r="A18" s="2"/>
      <c r="B18" s="22"/>
      <c r="C18" s="8" t="s">
        <v>53</v>
      </c>
      <c r="D18" s="9">
        <v>15</v>
      </c>
      <c r="E18" s="9" t="s">
        <v>27</v>
      </c>
      <c r="F18" s="9" t="s">
        <v>16</v>
      </c>
      <c r="G18" s="10" t="s">
        <v>2</v>
      </c>
    </row>
    <row r="19" spans="1:7" x14ac:dyDescent="0.25">
      <c r="A19" s="2"/>
      <c r="B19" s="22"/>
      <c r="C19" s="8" t="s">
        <v>53</v>
      </c>
      <c r="D19" s="8">
        <v>16</v>
      </c>
      <c r="E19" s="9" t="s">
        <v>27</v>
      </c>
      <c r="F19" s="9" t="s">
        <v>17</v>
      </c>
      <c r="G19" s="11" t="s">
        <v>6</v>
      </c>
    </row>
    <row r="20" spans="1:7" x14ac:dyDescent="0.25">
      <c r="A20" s="2"/>
      <c r="B20" s="22"/>
      <c r="C20" s="8" t="s">
        <v>53</v>
      </c>
      <c r="D20" s="9">
        <v>17</v>
      </c>
      <c r="E20" s="9" t="s">
        <v>27</v>
      </c>
      <c r="F20" s="9" t="s">
        <v>18</v>
      </c>
      <c r="G20" s="10" t="s">
        <v>2</v>
      </c>
    </row>
    <row r="21" spans="1:7" x14ac:dyDescent="0.25">
      <c r="A21" s="1"/>
      <c r="B21" s="22"/>
      <c r="C21" s="8" t="s">
        <v>53</v>
      </c>
      <c r="D21" s="8">
        <v>18</v>
      </c>
      <c r="E21" s="9" t="s">
        <v>27</v>
      </c>
      <c r="F21" s="9" t="s">
        <v>19</v>
      </c>
      <c r="G21" s="12" t="s">
        <v>7</v>
      </c>
    </row>
    <row r="22" spans="1:7" x14ac:dyDescent="0.25">
      <c r="A22" s="1"/>
      <c r="B22" s="22"/>
      <c r="C22" s="8" t="s">
        <v>53</v>
      </c>
      <c r="D22" s="9">
        <v>19</v>
      </c>
      <c r="E22" s="9" t="s">
        <v>27</v>
      </c>
      <c r="F22" s="9" t="s">
        <v>46</v>
      </c>
      <c r="G22" s="11" t="s">
        <v>6</v>
      </c>
    </row>
    <row r="23" spans="1:7" x14ac:dyDescent="0.25">
      <c r="A23" s="1"/>
      <c r="B23" s="22"/>
      <c r="C23" s="8" t="s">
        <v>53</v>
      </c>
      <c r="D23" s="8">
        <v>20</v>
      </c>
      <c r="E23" s="9" t="s">
        <v>27</v>
      </c>
      <c r="F23" s="9" t="s">
        <v>20</v>
      </c>
      <c r="G23" s="11" t="s">
        <v>6</v>
      </c>
    </row>
    <row r="24" spans="1:7" x14ac:dyDescent="0.25">
      <c r="A24" s="1"/>
      <c r="B24" s="23"/>
      <c r="C24" s="8" t="s">
        <v>53</v>
      </c>
      <c r="D24" s="9">
        <v>21</v>
      </c>
      <c r="E24" s="9" t="s">
        <v>27</v>
      </c>
      <c r="F24" s="9" t="s">
        <v>21</v>
      </c>
      <c r="G24" s="11" t="s">
        <v>6</v>
      </c>
    </row>
    <row r="25" spans="1:7" ht="15" customHeight="1" x14ac:dyDescent="0.25">
      <c r="A25" s="1"/>
      <c r="B25" s="21" t="s">
        <v>22</v>
      </c>
      <c r="C25" s="8" t="s">
        <v>53</v>
      </c>
      <c r="D25" s="8">
        <v>22</v>
      </c>
      <c r="E25" s="9" t="s">
        <v>28</v>
      </c>
      <c r="F25" s="9" t="s">
        <v>23</v>
      </c>
      <c r="G25" s="11" t="s">
        <v>6</v>
      </c>
    </row>
    <row r="26" spans="1:7" x14ac:dyDescent="0.25">
      <c r="A26" s="1"/>
      <c r="B26" s="22"/>
      <c r="C26" s="8" t="s">
        <v>53</v>
      </c>
      <c r="D26" s="9">
        <v>23</v>
      </c>
      <c r="E26" s="9" t="s">
        <v>29</v>
      </c>
      <c r="F26" s="9" t="s">
        <v>24</v>
      </c>
      <c r="G26" s="10" t="s">
        <v>2</v>
      </c>
    </row>
    <row r="27" spans="1:7" x14ac:dyDescent="0.25">
      <c r="A27" s="1"/>
      <c r="B27" s="22"/>
      <c r="C27" s="8" t="s">
        <v>53</v>
      </c>
      <c r="D27" s="8">
        <v>24</v>
      </c>
      <c r="E27" s="9" t="s">
        <v>30</v>
      </c>
      <c r="F27" s="9" t="s">
        <v>44</v>
      </c>
      <c r="G27" s="10" t="s">
        <v>2</v>
      </c>
    </row>
    <row r="28" spans="1:7" x14ac:dyDescent="0.25">
      <c r="A28" s="1"/>
      <c r="B28" s="22"/>
      <c r="C28" s="8" t="s">
        <v>53</v>
      </c>
      <c r="D28" s="9">
        <v>25</v>
      </c>
      <c r="E28" s="9" t="s">
        <v>32</v>
      </c>
      <c r="F28" s="9" t="s">
        <v>33</v>
      </c>
      <c r="G28" s="10" t="s">
        <v>2</v>
      </c>
    </row>
    <row r="29" spans="1:7" x14ac:dyDescent="0.25">
      <c r="A29" s="1"/>
      <c r="B29" s="23"/>
      <c r="C29" s="8" t="s">
        <v>53</v>
      </c>
      <c r="D29" s="8">
        <v>26</v>
      </c>
      <c r="E29" s="9" t="s">
        <v>31</v>
      </c>
      <c r="F29" s="9" t="s">
        <v>45</v>
      </c>
      <c r="G29" s="10" t="s">
        <v>2</v>
      </c>
    </row>
    <row r="30" spans="1:7" ht="15" customHeight="1" x14ac:dyDescent="0.25">
      <c r="A30" s="1"/>
      <c r="B30" s="21" t="s">
        <v>36</v>
      </c>
      <c r="C30" s="8" t="s">
        <v>53</v>
      </c>
      <c r="D30" s="9">
        <v>27</v>
      </c>
      <c r="E30" s="9" t="s">
        <v>41</v>
      </c>
      <c r="F30" s="9" t="s">
        <v>37</v>
      </c>
      <c r="G30" s="11" t="s">
        <v>6</v>
      </c>
    </row>
    <row r="31" spans="1:7" x14ac:dyDescent="0.25">
      <c r="B31" s="22"/>
      <c r="C31" s="8" t="s">
        <v>53</v>
      </c>
      <c r="D31" s="8">
        <v>28</v>
      </c>
      <c r="E31" s="9" t="s">
        <v>41</v>
      </c>
      <c r="F31" s="9" t="s">
        <v>38</v>
      </c>
      <c r="G31" s="11" t="s">
        <v>6</v>
      </c>
    </row>
    <row r="32" spans="1:7" x14ac:dyDescent="0.25">
      <c r="B32" s="22"/>
      <c r="C32" s="8" t="s">
        <v>53</v>
      </c>
      <c r="D32" s="9">
        <v>29</v>
      </c>
      <c r="E32" s="9" t="s">
        <v>41</v>
      </c>
      <c r="F32" s="9" t="s">
        <v>39</v>
      </c>
      <c r="G32" s="11" t="s">
        <v>6</v>
      </c>
    </row>
    <row r="33" spans="2:7" x14ac:dyDescent="0.25">
      <c r="B33" s="22"/>
      <c r="C33" s="8" t="s">
        <v>53</v>
      </c>
      <c r="D33" s="8">
        <v>30</v>
      </c>
      <c r="E33" s="9" t="s">
        <v>41</v>
      </c>
      <c r="F33" s="9" t="s">
        <v>40</v>
      </c>
      <c r="G33" s="11" t="s">
        <v>6</v>
      </c>
    </row>
    <row r="34" spans="2:7" x14ac:dyDescent="0.25">
      <c r="B34" s="15" t="s">
        <v>47</v>
      </c>
      <c r="C34" s="8" t="s">
        <v>53</v>
      </c>
      <c r="D34" s="9">
        <v>31</v>
      </c>
      <c r="E34" s="9" t="s">
        <v>47</v>
      </c>
      <c r="F34" s="9" t="s">
        <v>62</v>
      </c>
      <c r="G34" s="11" t="s">
        <v>6</v>
      </c>
    </row>
    <row r="35" spans="2:7" x14ac:dyDescent="0.25">
      <c r="B35" s="15" t="s">
        <v>50</v>
      </c>
      <c r="C35" s="8" t="s">
        <v>53</v>
      </c>
      <c r="D35" s="8">
        <v>32</v>
      </c>
      <c r="E35" s="9" t="s">
        <v>48</v>
      </c>
      <c r="F35" s="9" t="s">
        <v>49</v>
      </c>
      <c r="G35" s="12" t="s">
        <v>7</v>
      </c>
    </row>
    <row r="36" spans="2:7" x14ac:dyDescent="0.25">
      <c r="B36" s="21" t="s">
        <v>42</v>
      </c>
      <c r="C36" s="8" t="s">
        <v>53</v>
      </c>
      <c r="D36" s="9">
        <v>33</v>
      </c>
      <c r="E36" s="9" t="s">
        <v>43</v>
      </c>
      <c r="F36" s="9" t="s">
        <v>39</v>
      </c>
      <c r="G36" s="14" t="s">
        <v>54</v>
      </c>
    </row>
    <row r="37" spans="2:7" x14ac:dyDescent="0.25">
      <c r="B37" s="23"/>
      <c r="C37" s="8" t="s">
        <v>53</v>
      </c>
      <c r="D37" s="8">
        <v>34</v>
      </c>
      <c r="E37" s="9" t="s">
        <v>43</v>
      </c>
      <c r="F37" s="9" t="s">
        <v>43</v>
      </c>
      <c r="G37" s="12" t="s">
        <v>7</v>
      </c>
    </row>
    <row r="38" spans="2:7" x14ac:dyDescent="0.25">
      <c r="B38" s="15" t="s">
        <v>55</v>
      </c>
      <c r="C38" s="8" t="s">
        <v>53</v>
      </c>
      <c r="D38" s="9">
        <v>35</v>
      </c>
      <c r="E38" s="9" t="s">
        <v>58</v>
      </c>
      <c r="F38" s="9" t="s">
        <v>56</v>
      </c>
      <c r="G38" s="12" t="s">
        <v>7</v>
      </c>
    </row>
    <row r="39" spans="2:7" x14ac:dyDescent="0.25">
      <c r="B39" s="15" t="s">
        <v>57</v>
      </c>
      <c r="C39" s="8" t="s">
        <v>53</v>
      </c>
      <c r="D39" s="8">
        <v>36</v>
      </c>
      <c r="E39" s="9" t="s">
        <v>59</v>
      </c>
      <c r="F39" s="9" t="s">
        <v>60</v>
      </c>
      <c r="G39" s="11" t="s">
        <v>6</v>
      </c>
    </row>
    <row r="40" spans="2:7" ht="15" customHeight="1" x14ac:dyDescent="0.25">
      <c r="B40" s="21" t="s">
        <v>70</v>
      </c>
      <c r="C40" s="8" t="s">
        <v>66</v>
      </c>
      <c r="D40" s="9">
        <v>37</v>
      </c>
      <c r="E40" s="9" t="s">
        <v>71</v>
      </c>
      <c r="F40" s="9" t="s">
        <v>68</v>
      </c>
      <c r="G40" s="17" t="s">
        <v>75</v>
      </c>
    </row>
    <row r="41" spans="2:7" x14ac:dyDescent="0.25">
      <c r="B41" s="22"/>
      <c r="C41" s="8" t="s">
        <v>66</v>
      </c>
      <c r="D41" s="8">
        <v>38</v>
      </c>
      <c r="E41" s="9" t="s">
        <v>71</v>
      </c>
      <c r="F41" s="9" t="s">
        <v>73</v>
      </c>
      <c r="G41" s="17" t="s">
        <v>75</v>
      </c>
    </row>
    <row r="42" spans="2:7" x14ac:dyDescent="0.25">
      <c r="B42" s="23"/>
      <c r="C42" s="8" t="s">
        <v>66</v>
      </c>
      <c r="D42" s="9">
        <v>39</v>
      </c>
      <c r="E42" s="9" t="s">
        <v>72</v>
      </c>
      <c r="F42" s="9" t="s">
        <v>74</v>
      </c>
      <c r="G42" s="17" t="s">
        <v>75</v>
      </c>
    </row>
    <row r="43" spans="2:7" x14ac:dyDescent="0.25">
      <c r="B43" s="15" t="s">
        <v>63</v>
      </c>
      <c r="C43" s="8" t="s">
        <v>66</v>
      </c>
      <c r="D43" s="8">
        <v>40</v>
      </c>
      <c r="E43" s="9" t="s">
        <v>64</v>
      </c>
      <c r="F43" s="9" t="s">
        <v>67</v>
      </c>
      <c r="G43" s="16" t="s">
        <v>69</v>
      </c>
    </row>
    <row r="44" spans="2:7" x14ac:dyDescent="0.25">
      <c r="B44" s="15" t="s">
        <v>80</v>
      </c>
      <c r="C44" s="8" t="s">
        <v>65</v>
      </c>
      <c r="D44" s="9">
        <v>41</v>
      </c>
      <c r="E44" s="9" t="s">
        <v>81</v>
      </c>
      <c r="F44" s="9" t="s">
        <v>83</v>
      </c>
      <c r="G44" s="16" t="s">
        <v>69</v>
      </c>
    </row>
    <row r="45" spans="2:7" x14ac:dyDescent="0.25">
      <c r="B45" s="21" t="s">
        <v>84</v>
      </c>
      <c r="C45" s="8" t="s">
        <v>53</v>
      </c>
      <c r="D45" s="8">
        <v>42</v>
      </c>
      <c r="E45" s="9" t="s">
        <v>86</v>
      </c>
      <c r="F45" s="8" t="s">
        <v>85</v>
      </c>
      <c r="G45" s="14" t="s">
        <v>54</v>
      </c>
    </row>
    <row r="46" spans="2:7" x14ac:dyDescent="0.25">
      <c r="B46" s="22"/>
      <c r="C46" s="8" t="s">
        <v>53</v>
      </c>
      <c r="D46" s="9">
        <v>43</v>
      </c>
      <c r="E46" s="9" t="s">
        <v>86</v>
      </c>
      <c r="F46" s="9" t="s">
        <v>87</v>
      </c>
      <c r="G46" s="14" t="s">
        <v>54</v>
      </c>
    </row>
    <row r="47" spans="2:7" x14ac:dyDescent="0.25">
      <c r="B47" s="22"/>
      <c r="C47" s="8" t="s">
        <v>66</v>
      </c>
      <c r="D47" s="8">
        <v>44</v>
      </c>
      <c r="E47" s="9" t="s">
        <v>86</v>
      </c>
      <c r="F47" s="9" t="s">
        <v>88</v>
      </c>
      <c r="G47" s="14" t="s">
        <v>54</v>
      </c>
    </row>
    <row r="48" spans="2:7" x14ac:dyDescent="0.25">
      <c r="B48" s="22"/>
      <c r="C48" s="8" t="s">
        <v>66</v>
      </c>
      <c r="D48" s="9">
        <v>45</v>
      </c>
      <c r="E48" s="9" t="s">
        <v>86</v>
      </c>
      <c r="F48" s="9" t="s">
        <v>89</v>
      </c>
      <c r="G48" s="14" t="s">
        <v>54</v>
      </c>
    </row>
    <row r="49" spans="2:7" x14ac:dyDescent="0.25">
      <c r="B49" s="23"/>
      <c r="C49" s="8" t="s">
        <v>65</v>
      </c>
      <c r="D49" s="8">
        <v>46</v>
      </c>
      <c r="E49" s="9" t="s">
        <v>86</v>
      </c>
      <c r="F49" s="9" t="s">
        <v>82</v>
      </c>
      <c r="G49" s="14" t="s">
        <v>54</v>
      </c>
    </row>
  </sheetData>
  <mergeCells count="11">
    <mergeCell ref="B45:B49"/>
    <mergeCell ref="B25:B29"/>
    <mergeCell ref="B36:B37"/>
    <mergeCell ref="B40:B42"/>
    <mergeCell ref="B30:B33"/>
    <mergeCell ref="B5:B24"/>
    <mergeCell ref="B2:B3"/>
    <mergeCell ref="D2:D3"/>
    <mergeCell ref="E2:E3"/>
    <mergeCell ref="F2:F3"/>
    <mergeCell ref="C2:C3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C33"/>
  <sheetViews>
    <sheetView showGridLines="0" tabSelected="1" workbookViewId="0">
      <selection activeCell="X21" sqref="X21"/>
    </sheetView>
  </sheetViews>
  <sheetFormatPr defaultRowHeight="15" x14ac:dyDescent="0.25"/>
  <cols>
    <col min="1" max="16384" width="9.140625" style="18"/>
  </cols>
  <sheetData>
    <row r="1" spans="2:29" ht="15.75" thickBot="1" x14ac:dyDescent="0.3"/>
    <row r="2" spans="2:29" x14ac:dyDescent="0.25">
      <c r="B2" s="44" t="s">
        <v>90</v>
      </c>
      <c r="C2" s="45"/>
      <c r="D2" s="45"/>
      <c r="E2" s="45"/>
      <c r="F2" s="45"/>
      <c r="G2" s="46"/>
      <c r="I2" s="44" t="s">
        <v>91</v>
      </c>
      <c r="J2" s="45"/>
      <c r="K2" s="45"/>
      <c r="L2" s="45"/>
      <c r="M2" s="45"/>
      <c r="N2" s="46"/>
      <c r="P2" s="44" t="s">
        <v>92</v>
      </c>
      <c r="Q2" s="45"/>
      <c r="R2" s="45"/>
      <c r="S2" s="45"/>
      <c r="T2" s="45"/>
      <c r="U2" s="46"/>
      <c r="W2" s="50"/>
      <c r="X2" s="50"/>
      <c r="Y2" s="50"/>
      <c r="Z2" s="50"/>
      <c r="AA2" s="50"/>
      <c r="AB2" s="50"/>
      <c r="AC2" s="50"/>
    </row>
    <row r="3" spans="2:29" ht="15.75" customHeight="1" thickBot="1" x14ac:dyDescent="0.3">
      <c r="B3" s="47"/>
      <c r="C3" s="48"/>
      <c r="D3" s="48"/>
      <c r="E3" s="48"/>
      <c r="F3" s="48"/>
      <c r="G3" s="49"/>
      <c r="I3" s="47"/>
      <c r="J3" s="48"/>
      <c r="K3" s="48"/>
      <c r="L3" s="48"/>
      <c r="M3" s="48"/>
      <c r="N3" s="49"/>
      <c r="P3" s="47"/>
      <c r="Q3" s="48"/>
      <c r="R3" s="48"/>
      <c r="S3" s="48"/>
      <c r="T3" s="48"/>
      <c r="U3" s="49"/>
      <c r="W3" s="50"/>
      <c r="X3" s="50"/>
      <c r="Y3" s="50"/>
      <c r="Z3" s="50"/>
      <c r="AA3" s="50"/>
      <c r="AB3" s="50"/>
      <c r="AC3" s="50"/>
    </row>
    <row r="4" spans="2:29" ht="26.25" x14ac:dyDescent="0.25">
      <c r="B4" s="32">
        <f>COUNTA(BASE!D4:D1048576)</f>
        <v>46</v>
      </c>
      <c r="C4" s="33"/>
      <c r="D4" s="33"/>
      <c r="E4" s="33"/>
      <c r="F4" s="33"/>
      <c r="G4" s="34"/>
      <c r="I4" s="38" t="str">
        <f t="array" ref="I4">INDEX(BASE!G4:G49, MATCH(MAX(COUNTIF(BASE!G4:G49, BASE!G4:G49)), COUNTIF(BASE!G4:G49, BASE!G4:G49), 0))</f>
        <v>comercial02.pegpese@gmail.com</v>
      </c>
      <c r="J4" s="39"/>
      <c r="K4" s="39"/>
      <c r="L4" s="39"/>
      <c r="M4" s="39"/>
      <c r="N4" s="40"/>
      <c r="P4" s="51" t="s">
        <v>93</v>
      </c>
      <c r="Q4" s="52"/>
      <c r="R4" s="52"/>
      <c r="S4" s="52"/>
      <c r="T4" s="52"/>
      <c r="U4" s="53"/>
      <c r="W4" s="20"/>
      <c r="X4" s="20"/>
      <c r="Y4" s="20"/>
      <c r="Z4" s="20"/>
      <c r="AA4" s="20"/>
      <c r="AB4" s="20"/>
      <c r="AC4" s="20"/>
    </row>
    <row r="5" spans="2:29" ht="26.25" x14ac:dyDescent="0.25">
      <c r="B5" s="32"/>
      <c r="C5" s="33"/>
      <c r="D5" s="33"/>
      <c r="E5" s="33"/>
      <c r="F5" s="33"/>
      <c r="G5" s="34"/>
      <c r="I5" s="38"/>
      <c r="J5" s="39"/>
      <c r="K5" s="39"/>
      <c r="L5" s="39"/>
      <c r="M5" s="39"/>
      <c r="N5" s="40"/>
      <c r="P5" s="26" t="s">
        <v>94</v>
      </c>
      <c r="Q5" s="27"/>
      <c r="R5" s="27"/>
      <c r="S5" s="27"/>
      <c r="T5" s="27"/>
      <c r="U5" s="28"/>
      <c r="W5" s="20"/>
      <c r="X5" s="20"/>
      <c r="Y5" s="20"/>
      <c r="Z5" s="20"/>
      <c r="AA5" s="20"/>
      <c r="AB5" s="20"/>
      <c r="AC5" s="20"/>
    </row>
    <row r="6" spans="2:29" ht="26.25" x14ac:dyDescent="0.25">
      <c r="B6" s="32"/>
      <c r="C6" s="33"/>
      <c r="D6" s="33"/>
      <c r="E6" s="33"/>
      <c r="F6" s="33"/>
      <c r="G6" s="34"/>
      <c r="I6" s="38"/>
      <c r="J6" s="39"/>
      <c r="K6" s="39"/>
      <c r="L6" s="39"/>
      <c r="M6" s="39"/>
      <c r="N6" s="40"/>
      <c r="P6" s="26" t="s">
        <v>95</v>
      </c>
      <c r="Q6" s="27"/>
      <c r="R6" s="27"/>
      <c r="S6" s="27"/>
      <c r="T6" s="27"/>
      <c r="U6" s="28"/>
      <c r="W6" s="20"/>
      <c r="X6" s="20"/>
      <c r="Y6" s="20"/>
      <c r="Z6" s="20"/>
      <c r="AA6" s="20"/>
      <c r="AB6" s="20"/>
      <c r="AC6" s="20"/>
    </row>
    <row r="7" spans="2:29" ht="26.25" x14ac:dyDescent="0.25">
      <c r="B7" s="32"/>
      <c r="C7" s="33"/>
      <c r="D7" s="33"/>
      <c r="E7" s="33"/>
      <c r="F7" s="33"/>
      <c r="G7" s="34"/>
      <c r="I7" s="38"/>
      <c r="J7" s="39"/>
      <c r="K7" s="39"/>
      <c r="L7" s="39"/>
      <c r="M7" s="39"/>
      <c r="N7" s="40"/>
      <c r="P7" s="26" t="s">
        <v>97</v>
      </c>
      <c r="Q7" s="27"/>
      <c r="R7" s="27"/>
      <c r="S7" s="27"/>
      <c r="T7" s="27"/>
      <c r="U7" s="28"/>
      <c r="W7" s="20"/>
      <c r="X7" s="20"/>
      <c r="Y7" s="20"/>
      <c r="Z7" s="20"/>
      <c r="AA7" s="20"/>
      <c r="AB7" s="20"/>
      <c r="AC7" s="20"/>
    </row>
    <row r="8" spans="2:29" ht="26.25" x14ac:dyDescent="0.25">
      <c r="B8" s="32"/>
      <c r="C8" s="33"/>
      <c r="D8" s="33"/>
      <c r="E8" s="33"/>
      <c r="F8" s="33"/>
      <c r="G8" s="34"/>
      <c r="I8" s="38"/>
      <c r="J8" s="39"/>
      <c r="K8" s="39"/>
      <c r="L8" s="39"/>
      <c r="M8" s="39"/>
      <c r="N8" s="40"/>
      <c r="P8" s="26" t="s">
        <v>96</v>
      </c>
      <c r="Q8" s="27"/>
      <c r="R8" s="27"/>
      <c r="S8" s="27"/>
      <c r="T8" s="27"/>
      <c r="U8" s="28"/>
      <c r="W8" s="20"/>
      <c r="X8" s="20"/>
      <c r="Y8" s="20"/>
      <c r="Z8" s="20"/>
      <c r="AA8" s="20"/>
      <c r="AB8" s="20"/>
      <c r="AC8" s="20"/>
    </row>
    <row r="9" spans="2:29" ht="27" thickBot="1" x14ac:dyDescent="0.3">
      <c r="B9" s="35"/>
      <c r="C9" s="36"/>
      <c r="D9" s="36"/>
      <c r="E9" s="36"/>
      <c r="F9" s="36"/>
      <c r="G9" s="37"/>
      <c r="I9" s="41"/>
      <c r="J9" s="42"/>
      <c r="K9" s="42"/>
      <c r="L9" s="42"/>
      <c r="M9" s="42"/>
      <c r="N9" s="43"/>
      <c r="P9" s="29" t="s">
        <v>98</v>
      </c>
      <c r="Q9" s="30"/>
      <c r="R9" s="30"/>
      <c r="S9" s="30"/>
      <c r="T9" s="30"/>
      <c r="U9" s="31"/>
      <c r="W9" s="20"/>
      <c r="X9" s="20"/>
      <c r="Y9" s="20"/>
      <c r="Z9" s="20"/>
      <c r="AA9" s="20"/>
      <c r="AB9" s="20"/>
      <c r="AC9" s="20"/>
    </row>
    <row r="10" spans="2:29" x14ac:dyDescent="0.25">
      <c r="W10" s="20"/>
      <c r="X10" s="20"/>
      <c r="Y10" s="20"/>
      <c r="Z10" s="20"/>
      <c r="AA10" s="20"/>
      <c r="AB10" s="20"/>
      <c r="AC10" s="20"/>
    </row>
    <row r="11" spans="2:29" x14ac:dyDescent="0.25"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W11" s="20"/>
      <c r="X11" s="20"/>
      <c r="Y11" s="20"/>
      <c r="Z11" s="20"/>
      <c r="AA11" s="20"/>
      <c r="AB11" s="20"/>
      <c r="AC11" s="20"/>
    </row>
    <row r="12" spans="2:29" x14ac:dyDescent="0.25"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W12" s="20"/>
      <c r="X12" s="20"/>
      <c r="Y12" s="20"/>
      <c r="Z12" s="20"/>
      <c r="AA12" s="20"/>
      <c r="AB12" s="20"/>
      <c r="AC12" s="20"/>
    </row>
    <row r="13" spans="2:29" x14ac:dyDescent="0.25"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W13" s="20"/>
      <c r="X13" s="20"/>
      <c r="Y13" s="20"/>
      <c r="Z13" s="20"/>
      <c r="AA13" s="20"/>
      <c r="AB13" s="20"/>
      <c r="AC13" s="20"/>
    </row>
    <row r="14" spans="2:29" x14ac:dyDescent="0.25"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W14" s="20"/>
      <c r="X14" s="20"/>
      <c r="Y14" s="20"/>
      <c r="Z14" s="20"/>
      <c r="AA14" s="20"/>
      <c r="AB14" s="20"/>
      <c r="AC14" s="20"/>
    </row>
    <row r="15" spans="2:29" x14ac:dyDescent="0.25"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W15" s="20"/>
      <c r="X15" s="20"/>
      <c r="Y15" s="20"/>
      <c r="Z15" s="20"/>
      <c r="AA15" s="20"/>
      <c r="AB15" s="20"/>
      <c r="AC15" s="20"/>
    </row>
    <row r="16" spans="2:29" x14ac:dyDescent="0.25"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W16" s="20"/>
      <c r="X16" s="20"/>
      <c r="Y16" s="20"/>
      <c r="Z16" s="20"/>
      <c r="AA16" s="20"/>
      <c r="AB16" s="20"/>
      <c r="AC16" s="20"/>
    </row>
    <row r="17" spans="2:29" x14ac:dyDescent="0.25"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W17" s="20"/>
      <c r="X17" s="20"/>
      <c r="Y17" s="20"/>
      <c r="Z17" s="20"/>
      <c r="AA17" s="20"/>
      <c r="AB17" s="20"/>
      <c r="AC17" s="20"/>
    </row>
    <row r="18" spans="2:29" x14ac:dyDescent="0.25"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W18" s="20"/>
      <c r="X18" s="20"/>
      <c r="Y18" s="20"/>
      <c r="Z18" s="20"/>
      <c r="AA18" s="20"/>
      <c r="AB18" s="20"/>
      <c r="AC18" s="20"/>
    </row>
    <row r="19" spans="2:29" x14ac:dyDescent="0.25"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W19" s="20"/>
      <c r="X19" s="20"/>
      <c r="Y19" s="20"/>
      <c r="Z19" s="20"/>
      <c r="AA19" s="20"/>
      <c r="AB19" s="20"/>
      <c r="AC19" s="20"/>
    </row>
    <row r="20" spans="2:29" x14ac:dyDescent="0.25"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W20" s="20"/>
      <c r="X20" s="20"/>
      <c r="Y20" s="20"/>
      <c r="Z20" s="20"/>
      <c r="AA20" s="20"/>
      <c r="AB20" s="20"/>
      <c r="AC20" s="20"/>
    </row>
    <row r="21" spans="2:29" x14ac:dyDescent="0.25"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W21" s="20"/>
      <c r="X21" s="20"/>
      <c r="Y21" s="20"/>
      <c r="Z21" s="20"/>
      <c r="AA21" s="20"/>
      <c r="AB21" s="20"/>
      <c r="AC21" s="20"/>
    </row>
    <row r="22" spans="2:29" x14ac:dyDescent="0.25"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W22" s="20"/>
      <c r="X22" s="20"/>
      <c r="Y22" s="20"/>
      <c r="Z22" s="20"/>
      <c r="AA22" s="20"/>
      <c r="AB22" s="20"/>
      <c r="AC22" s="20"/>
    </row>
    <row r="23" spans="2:29" x14ac:dyDescent="0.25"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W23" s="20"/>
      <c r="X23" s="20"/>
      <c r="Y23" s="20"/>
      <c r="Z23" s="20"/>
      <c r="AA23" s="20"/>
      <c r="AB23" s="20"/>
      <c r="AC23" s="20"/>
    </row>
    <row r="24" spans="2:29" x14ac:dyDescent="0.25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W24" s="20"/>
      <c r="X24" s="20"/>
      <c r="Y24" s="20"/>
      <c r="Z24" s="20"/>
      <c r="AA24" s="20"/>
      <c r="AB24" s="20"/>
      <c r="AC24" s="20"/>
    </row>
    <row r="25" spans="2:29" x14ac:dyDescent="0.25"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W25" s="20"/>
      <c r="X25" s="20"/>
      <c r="Y25" s="20"/>
      <c r="Z25" s="20"/>
      <c r="AA25" s="20"/>
      <c r="AB25" s="20"/>
      <c r="AC25" s="20"/>
    </row>
    <row r="26" spans="2:29" x14ac:dyDescent="0.25"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W26" s="20"/>
      <c r="X26" s="20"/>
      <c r="Y26" s="20"/>
      <c r="Z26" s="20"/>
      <c r="AA26" s="20"/>
      <c r="AB26" s="20"/>
      <c r="AC26" s="20"/>
    </row>
    <row r="27" spans="2:29" x14ac:dyDescent="0.25"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W27" s="20"/>
      <c r="X27" s="20"/>
      <c r="Y27" s="20"/>
      <c r="Z27" s="20"/>
      <c r="AA27" s="20"/>
      <c r="AB27" s="20"/>
      <c r="AC27" s="20"/>
    </row>
    <row r="28" spans="2:29" x14ac:dyDescent="0.25"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W28" s="20"/>
      <c r="X28" s="20"/>
      <c r="Y28" s="20"/>
      <c r="Z28" s="20"/>
      <c r="AA28" s="20"/>
      <c r="AB28" s="20"/>
      <c r="AC28" s="20"/>
    </row>
    <row r="29" spans="2:29" x14ac:dyDescent="0.25"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W29" s="20"/>
      <c r="X29" s="20"/>
      <c r="Y29" s="20"/>
      <c r="Z29" s="20"/>
      <c r="AA29" s="20"/>
      <c r="AB29" s="20"/>
      <c r="AC29" s="20"/>
    </row>
    <row r="30" spans="2:29" x14ac:dyDescent="0.25"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W30" s="20"/>
      <c r="X30" s="20"/>
      <c r="Y30" s="20"/>
      <c r="Z30" s="20"/>
      <c r="AA30" s="20"/>
      <c r="AB30" s="20"/>
      <c r="AC30" s="20"/>
    </row>
    <row r="31" spans="2:29" x14ac:dyDescent="0.25"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W31" s="20"/>
      <c r="X31" s="20"/>
      <c r="Y31" s="20"/>
      <c r="Z31" s="20"/>
      <c r="AA31" s="20"/>
      <c r="AB31" s="20"/>
      <c r="AC31" s="20"/>
    </row>
    <row r="32" spans="2:29" x14ac:dyDescent="0.25"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W32" s="20"/>
      <c r="X32" s="20"/>
      <c r="Y32" s="20"/>
      <c r="Z32" s="20"/>
      <c r="AA32" s="20"/>
      <c r="AB32" s="20"/>
      <c r="AC32" s="20"/>
    </row>
    <row r="33" spans="2:29" x14ac:dyDescent="0.25"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W33" s="20"/>
      <c r="X33" s="20"/>
      <c r="Y33" s="20"/>
      <c r="Z33" s="20"/>
      <c r="AA33" s="20"/>
      <c r="AB33" s="20"/>
      <c r="AC33" s="20"/>
    </row>
  </sheetData>
  <mergeCells count="12">
    <mergeCell ref="W2:AC3"/>
    <mergeCell ref="P4:U4"/>
    <mergeCell ref="P5:U5"/>
    <mergeCell ref="P6:U6"/>
    <mergeCell ref="P7:U7"/>
    <mergeCell ref="P8:U8"/>
    <mergeCell ref="P9:U9"/>
    <mergeCell ref="B4:G9"/>
    <mergeCell ref="I4:N9"/>
    <mergeCell ref="B2:G3"/>
    <mergeCell ref="I2:N3"/>
    <mergeCell ref="P2:U3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BASE</vt:lpstr>
      <vt:lpstr>DASH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Bento Soares</dc:creator>
  <cp:lastModifiedBy>Bruno Bento Soares</cp:lastModifiedBy>
  <dcterms:created xsi:type="dcterms:W3CDTF">2025-12-18T15:17:59Z</dcterms:created>
  <dcterms:modified xsi:type="dcterms:W3CDTF">2025-12-18T20:29:31Z</dcterms:modified>
</cp:coreProperties>
</file>