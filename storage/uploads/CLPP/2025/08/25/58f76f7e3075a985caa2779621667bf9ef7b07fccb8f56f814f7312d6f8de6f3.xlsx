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2F915291-F9C7-4649-BEA2-084526FB3207}" xr6:coauthVersionLast="47" xr6:coauthVersionMax="47" xr10:uidLastSave="{00000000-0000-0000-0000-000000000000}"/>
  <bookViews>
    <workbookView xWindow="-28920" yWindow="-4815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R32" i="1" l="1"/>
  <c r="F32" i="1"/>
  <c r="C33" i="1"/>
  <c r="D33" i="1"/>
  <c r="D34" i="1" s="1"/>
  <c r="E33" i="1"/>
  <c r="F33" i="1"/>
  <c r="F34" i="1" s="1"/>
  <c r="G33" i="1"/>
  <c r="G34" i="1" s="1"/>
  <c r="H33" i="1"/>
  <c r="I33" i="1"/>
  <c r="I34" i="1" s="1"/>
  <c r="J33" i="1"/>
  <c r="J34" i="1" s="1"/>
  <c r="K33" i="1"/>
  <c r="L33" i="1"/>
  <c r="L34" i="1" s="1"/>
  <c r="M33" i="1"/>
  <c r="M34" i="1" s="1"/>
  <c r="N33" i="1"/>
  <c r="O33" i="1"/>
  <c r="O34" i="1" s="1"/>
  <c r="P33" i="1"/>
  <c r="P34" i="1" s="1"/>
  <c r="Q33" i="1"/>
  <c r="R33" i="1"/>
  <c r="R34" i="1" s="1"/>
  <c r="S33" i="1"/>
  <c r="S34" i="1" s="1"/>
  <c r="T33" i="1"/>
  <c r="U33" i="1"/>
  <c r="U34" i="1" s="1"/>
  <c r="V33" i="1"/>
  <c r="V34" i="1" s="1"/>
  <c r="B33" i="1"/>
  <c r="C31" i="1"/>
  <c r="D31" i="1"/>
  <c r="D32" i="1" s="1"/>
  <c r="E31" i="1"/>
  <c r="F31" i="1"/>
  <c r="G31" i="1"/>
  <c r="G32" i="1" s="1"/>
  <c r="H31" i="1"/>
  <c r="I31" i="1"/>
  <c r="I32" i="1" s="1"/>
  <c r="J31" i="1"/>
  <c r="J32" i="1" s="1"/>
  <c r="K31" i="1"/>
  <c r="L31" i="1"/>
  <c r="L32" i="1" s="1"/>
  <c r="M31" i="1"/>
  <c r="M32" i="1" s="1"/>
  <c r="N31" i="1"/>
  <c r="O31" i="1"/>
  <c r="O32" i="1" s="1"/>
  <c r="P31" i="1"/>
  <c r="P32" i="1" s="1"/>
  <c r="Q31" i="1"/>
  <c r="R31" i="1"/>
  <c r="S31" i="1"/>
  <c r="S32" i="1" s="1"/>
  <c r="T31" i="1"/>
  <c r="U31" i="1"/>
  <c r="U32" i="1" s="1"/>
  <c r="V31" i="1"/>
  <c r="V32" i="1" s="1"/>
  <c r="B31" i="1"/>
  <c r="Q29" i="1"/>
  <c r="R29" i="1"/>
  <c r="R30" i="1" s="1"/>
  <c r="S29" i="1"/>
  <c r="S30" i="1" s="1"/>
  <c r="T29" i="1"/>
  <c r="U29" i="1"/>
  <c r="U30" i="1" s="1"/>
  <c r="V29" i="1"/>
  <c r="V30" i="1" s="1"/>
  <c r="C29" i="1"/>
  <c r="D29" i="1"/>
  <c r="D30" i="1" s="1"/>
  <c r="E29" i="1"/>
  <c r="F29" i="1"/>
  <c r="F30" i="1" s="1"/>
  <c r="G29" i="1"/>
  <c r="G30" i="1" s="1"/>
  <c r="H29" i="1"/>
  <c r="I29" i="1"/>
  <c r="I30" i="1" s="1"/>
  <c r="J29" i="1"/>
  <c r="J30" i="1" s="1"/>
  <c r="K29" i="1"/>
  <c r="L29" i="1"/>
  <c r="L30" i="1" s="1"/>
  <c r="M29" i="1"/>
  <c r="M30" i="1" s="1"/>
  <c r="N29" i="1"/>
  <c r="O29" i="1"/>
  <c r="O30" i="1" s="1"/>
  <c r="P29" i="1"/>
  <c r="P30" i="1" s="1"/>
  <c r="B29" i="1"/>
  <c r="B18" i="1"/>
  <c r="X18" i="1" s="1"/>
  <c r="E18" i="1"/>
  <c r="H18" i="1"/>
  <c r="K18" i="1"/>
  <c r="N18" i="1"/>
  <c r="T18" i="1"/>
  <c r="Q18" i="1"/>
</calcChain>
</file>

<file path=xl/sharedStrings.xml><?xml version="1.0" encoding="utf-8"?>
<sst xmlns="http://schemas.openxmlformats.org/spreadsheetml/2006/main" count="152" uniqueCount="26">
  <si>
    <t>if(CODESPECIE_PROPOSAL = 'CARDEB','Débito','Credito')</t>
  </si>
  <si>
    <t>Credito</t>
  </si>
  <si>
    <t>Débito</t>
  </si>
  <si>
    <t>BANDEIRA_PROPOSAL</t>
  </si>
  <si>
    <t>AMERICAN EXPRESS</t>
  </si>
  <si>
    <t>ELO</t>
  </si>
  <si>
    <t>HIPERCARD</t>
  </si>
  <si>
    <t>MASTERCARD</t>
  </si>
  <si>
    <t>VISA</t>
  </si>
  <si>
    <t>ADQUIRENTE</t>
  </si>
  <si>
    <t>Taxas (%)</t>
  </si>
  <si>
    <t>Total</t>
  </si>
  <si>
    <t>Taxa R$</t>
  </si>
  <si>
    <t>CIELO</t>
  </si>
  <si>
    <t>FISERV</t>
  </si>
  <si>
    <t>GETNET</t>
  </si>
  <si>
    <t>REDE</t>
  </si>
  <si>
    <t>SAFRAPAY</t>
  </si>
  <si>
    <t>STONE</t>
  </si>
  <si>
    <t>SUMUP</t>
  </si>
  <si>
    <t>Total de vendas</t>
  </si>
  <si>
    <t>Melhor cenário</t>
  </si>
  <si>
    <t>Qual o periodo, o relatorio não deixa claro, se for somente 2024. Dai o total de venda esta estranho, pq deveria ser 592 M</t>
  </si>
  <si>
    <t>2º melhor</t>
  </si>
  <si>
    <t>3º melhor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</si>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</sst>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\R\$#,##0.00;\-\R\$#,##0.00"/>
    <numFmt numFmtId="166" formatCode="#,##0.00_ ;\-#,##0.00\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/>
    <xf numFmtId="10" fontId="0" fillId="2" borderId="0" xfId="0" applyNumberFormat="1" applyFill="1"/>
    <xf numFmtId="164" fontId="0" fillId="0" borderId="0" xfId="0" applyNumberFormat="1"/>
    <xf numFmtId="10" fontId="0" fillId="3" borderId="0" xfId="0" applyNumberFormat="1" applyFill="1"/>
    <xf numFmtId="10" fontId="0" fillId="4" borderId="0" xfId="0" applyNumberFormat="1" applyFill="1"/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 applyBorder="1"/>
    <xf numFmtId="164" fontId="0" fillId="0" borderId="5" xfId="0" applyNumberFormat="1" applyBorder="1"/>
    <xf numFmtId="10" fontId="0" fillId="3" borderId="4" xfId="0" applyNumberFormat="1" applyFill="1" applyBorder="1"/>
    <xf numFmtId="0" fontId="0" fillId="0" borderId="0" xfId="0" applyFill="1"/>
    <xf numFmtId="164" fontId="0" fillId="0" borderId="4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14" xfId="0" applyNumberFormat="1" applyFill="1" applyBorder="1" applyAlignment="1">
      <alignment horizontal="center"/>
    </xf>
    <xf numFmtId="0" fontId="0" fillId="0" borderId="15" xfId="0" applyFill="1" applyBorder="1"/>
    <xf numFmtId="0" fontId="0" fillId="0" borderId="14" xfId="0" applyBorder="1"/>
    <xf numFmtId="0" fontId="0" fillId="0" borderId="15" xfId="0" applyBorder="1"/>
    <xf numFmtId="164" fontId="0" fillId="0" borderId="15" xfId="0" applyNumberFormat="1" applyBorder="1"/>
    <xf numFmtId="10" fontId="0" fillId="3" borderId="14" xfId="0" applyNumberFormat="1" applyFill="1" applyBorder="1"/>
    <xf numFmtId="164" fontId="0" fillId="0" borderId="17" xfId="0" applyNumberFormat="1" applyBorder="1"/>
    <xf numFmtId="164" fontId="0" fillId="0" borderId="18" xfId="0" applyNumberFormat="1" applyBorder="1"/>
    <xf numFmtId="10" fontId="0" fillId="3" borderId="19" xfId="0" applyNumberFormat="1" applyFill="1" applyBorder="1"/>
    <xf numFmtId="164" fontId="0" fillId="0" borderId="20" xfId="0" applyNumberFormat="1" applyBorder="1"/>
    <xf numFmtId="10" fontId="0" fillId="3" borderId="0" xfId="0" applyNumberFormat="1" applyFill="1" applyBorder="1"/>
    <xf numFmtId="0" fontId="0" fillId="0" borderId="14" xfId="0" applyFill="1" applyBorder="1"/>
    <xf numFmtId="10" fontId="0" fillId="3" borderId="16" xfId="0" applyNumberFormat="1" applyFill="1" applyBorder="1"/>
    <xf numFmtId="0" fontId="2" fillId="0" borderId="0" xfId="0" applyFont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13" xfId="0" applyFont="1" applyBorder="1"/>
    <xf numFmtId="0" fontId="2" fillId="0" borderId="0" xfId="0" applyFont="1" applyFill="1"/>
    <xf numFmtId="10" fontId="0" fillId="5" borderId="16" xfId="0" applyNumberFormat="1" applyFill="1" applyBorder="1"/>
    <xf numFmtId="10" fontId="0" fillId="5" borderId="17" xfId="0" applyNumberFormat="1" applyFill="1" applyBorder="1"/>
    <xf numFmtId="10" fontId="0" fillId="5" borderId="19" xfId="0" applyNumberFormat="1" applyFill="1" applyBorder="1"/>
    <xf numFmtId="10" fontId="0" fillId="5" borderId="4" xfId="0" applyNumberFormat="1" applyFill="1" applyBorder="1"/>
    <xf numFmtId="10" fontId="0" fillId="6" borderId="0" xfId="0" applyNumberFormat="1" applyFill="1" applyBorder="1"/>
    <xf numFmtId="10" fontId="0" fillId="6" borderId="14" xfId="0" applyNumberFormat="1" applyFill="1" applyBorder="1"/>
    <xf numFmtId="10" fontId="0" fillId="6" borderId="4" xfId="0" applyNumberFormat="1" applyFill="1" applyBorder="1"/>
    <xf numFmtId="10" fontId="0" fillId="6" borderId="19" xfId="0" applyNumberFormat="1" applyFill="1" applyBorder="1"/>
    <xf numFmtId="0" fontId="0" fillId="7" borderId="25" xfId="0" applyFill="1" applyBorder="1"/>
    <xf numFmtId="10" fontId="0" fillId="7" borderId="9" xfId="1" applyNumberFormat="1" applyFont="1" applyFill="1" applyBorder="1"/>
    <xf numFmtId="44" fontId="0" fillId="7" borderId="10" xfId="2" applyFont="1" applyFill="1" applyBorder="1"/>
    <xf numFmtId="10" fontId="0" fillId="7" borderId="22" xfId="1" applyNumberFormat="1" applyFont="1" applyFill="1" applyBorder="1"/>
    <xf numFmtId="44" fontId="0" fillId="7" borderId="21" xfId="2" applyFont="1" applyFill="1" applyBorder="1"/>
    <xf numFmtId="44" fontId="0" fillId="7" borderId="11" xfId="2" applyFont="1" applyFill="1" applyBorder="1"/>
    <xf numFmtId="0" fontId="0" fillId="7" borderId="27" xfId="0" applyFill="1" applyBorder="1"/>
    <xf numFmtId="10" fontId="0" fillId="7" borderId="12" xfId="1" applyNumberFormat="1" applyFont="1" applyFill="1" applyBorder="1"/>
    <xf numFmtId="44" fontId="0" fillId="7" borderId="2" xfId="2" applyFont="1" applyFill="1" applyBorder="1"/>
    <xf numFmtId="10" fontId="0" fillId="7" borderId="1" xfId="1" applyNumberFormat="1" applyFont="1" applyFill="1" applyBorder="1"/>
    <xf numFmtId="44" fontId="0" fillId="7" borderId="3" xfId="2" applyFont="1" applyFill="1" applyBorder="1"/>
    <xf numFmtId="44" fontId="0" fillId="7" borderId="13" xfId="2" applyFont="1" applyFill="1" applyBorder="1"/>
    <xf numFmtId="0" fontId="0" fillId="7" borderId="0" xfId="0" applyFill="1"/>
    <xf numFmtId="164" fontId="0" fillId="7" borderId="14" xfId="0" applyNumberFormat="1" applyFill="1" applyBorder="1" applyAlignment="1">
      <alignment horizontal="center"/>
    </xf>
    <xf numFmtId="164" fontId="0" fillId="7" borderId="0" xfId="0" applyNumberFormat="1" applyFill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164" fontId="0" fillId="7" borderId="15" xfId="0" applyNumberFormat="1" applyFill="1" applyBorder="1" applyAlignment="1">
      <alignment horizontal="center"/>
    </xf>
    <xf numFmtId="164" fontId="0" fillId="7" borderId="4" xfId="0" applyNumberFormat="1" applyFill="1" applyBorder="1" applyAlignment="1">
      <alignment horizontal="center"/>
    </xf>
    <xf numFmtId="0" fontId="2" fillId="7" borderId="26" xfId="0" applyFont="1" applyFill="1" applyBorder="1"/>
    <xf numFmtId="10" fontId="2" fillId="7" borderId="23" xfId="1" applyNumberFormat="1" applyFont="1" applyFill="1" applyBorder="1"/>
    <xf numFmtId="44" fontId="2" fillId="7" borderId="7" xfId="2" applyFont="1" applyFill="1" applyBorder="1"/>
    <xf numFmtId="44" fontId="2" fillId="7" borderId="6" xfId="2" applyFont="1" applyFill="1" applyBorder="1"/>
    <xf numFmtId="44" fontId="2" fillId="7" borderId="8" xfId="2" applyFont="1" applyFill="1" applyBorder="1"/>
    <xf numFmtId="44" fontId="2" fillId="7" borderId="24" xfId="2" applyFont="1" applyFill="1" applyBorder="1"/>
    <xf numFmtId="44" fontId="2" fillId="7" borderId="23" xfId="2" applyFont="1" applyFill="1" applyBorder="1"/>
    <xf numFmtId="0" fontId="2" fillId="7" borderId="28" xfId="0" applyFont="1" applyFill="1" applyBorder="1"/>
    <xf numFmtId="10" fontId="2" fillId="7" borderId="16" xfId="1" applyNumberFormat="1" applyFont="1" applyFill="1" applyBorder="1"/>
    <xf numFmtId="44" fontId="2" fillId="7" borderId="17" xfId="2" applyFont="1" applyFill="1" applyBorder="1"/>
    <xf numFmtId="44" fontId="2" fillId="7" borderId="19" xfId="2" applyFont="1" applyFill="1" applyBorder="1"/>
    <xf numFmtId="44" fontId="2" fillId="7" borderId="18" xfId="2" applyFont="1" applyFill="1" applyBorder="1"/>
    <xf numFmtId="44" fontId="2" fillId="7" borderId="20" xfId="2" applyFont="1" applyFill="1" applyBorder="1"/>
    <xf numFmtId="44" fontId="2" fillId="7" borderId="16" xfId="2" applyFont="1" applyFill="1" applyBorder="1"/>
    <xf numFmtId="0" fontId="0" fillId="7" borderId="0" xfId="0" applyFill="1" applyAlignment="1">
      <alignment horizontal="center"/>
    </xf>
    <xf numFmtId="166" fontId="0" fillId="0" borderId="0" xfId="0" applyNumberFormat="1" applyFill="1"/>
    <xf numFmtId="0" fontId="2" fillId="0" borderId="25" xfId="0" applyFont="1" applyFill="1" applyBorder="1"/>
    <xf numFmtId="166" fontId="0" fillId="7" borderId="29" xfId="0" applyNumberFormat="1" applyFill="1" applyBorder="1"/>
    <xf numFmtId="0" fontId="0" fillId="0" borderId="28" xfId="0" applyFill="1" applyBorder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860E-B384-424C-B83E-B265F5E6F50D}">
  <dimension ref="A1:X38"/>
  <sheetViews>
    <sheetView tabSelected="1" topLeftCell="A14" workbookViewId="0">
      <selection activeCell="B37" sqref="B37"/>
    </sheetView>
  </sheetViews>
  <sheetFormatPr defaultRowHeight="12.75" x14ac:dyDescent="0.2"/>
  <cols>
    <col min="1" max="1" width="20.42578125" customWidth="1"/>
    <col min="2" max="2" width="9.5703125" bestFit="1" customWidth="1"/>
    <col min="3" max="3" width="14.140625" hidden="1" customWidth="1"/>
    <col min="4" max="4" width="14.28515625" bestFit="1" customWidth="1"/>
    <col min="5" max="5" width="9.5703125" bestFit="1" customWidth="1"/>
    <col min="6" max="6" width="15.140625" hidden="1" customWidth="1"/>
    <col min="7" max="7" width="14.28515625" bestFit="1" customWidth="1"/>
    <col min="8" max="8" width="9.5703125" bestFit="1" customWidth="1"/>
    <col min="9" max="9" width="12.42578125" hidden="1" customWidth="1"/>
    <col min="10" max="10" width="12.140625" bestFit="1" customWidth="1"/>
    <col min="11" max="11" width="9.5703125" bestFit="1" customWidth="1"/>
    <col min="12" max="12" width="16.140625" hidden="1" customWidth="1"/>
    <col min="13" max="13" width="15.85546875" bestFit="1" customWidth="1"/>
    <col min="14" max="14" width="9.5703125" bestFit="1" customWidth="1"/>
    <col min="15" max="15" width="16.140625" hidden="1" customWidth="1"/>
    <col min="16" max="16" width="15.85546875" bestFit="1" customWidth="1"/>
    <col min="17" max="17" width="15.140625" bestFit="1" customWidth="1"/>
    <col min="18" max="18" width="15.140625" hidden="1" customWidth="1"/>
    <col min="19" max="19" width="14.140625" bestFit="1" customWidth="1"/>
    <col min="20" max="20" width="9.42578125" bestFit="1" customWidth="1"/>
    <col min="21" max="21" width="16.140625" hidden="1" customWidth="1"/>
    <col min="22" max="22" width="15.85546875" bestFit="1" customWidth="1"/>
    <col min="23" max="23" width="3.42578125" style="12" customWidth="1"/>
    <col min="24" max="24" width="14.42578125" style="12" bestFit="1" customWidth="1"/>
    <col min="25" max="16384" width="9.140625" style="12"/>
  </cols>
  <sheetData>
    <row r="1" spans="1:22" hidden="1" x14ac:dyDescent="0.2">
      <c r="A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</row>
    <row r="2" spans="1:22" hidden="1" x14ac:dyDescent="0.2">
      <c r="A2" t="s">
        <v>3</v>
      </c>
      <c r="B2" s="1" t="s">
        <v>4</v>
      </c>
      <c r="C2" s="1" t="s">
        <v>4</v>
      </c>
      <c r="D2" s="1" t="s">
        <v>4</v>
      </c>
      <c r="E2" s="1" t="s">
        <v>5</v>
      </c>
      <c r="F2" s="1" t="s">
        <v>5</v>
      </c>
      <c r="G2" s="1" t="s">
        <v>5</v>
      </c>
      <c r="H2" s="1" t="s">
        <v>6</v>
      </c>
      <c r="I2" s="1" t="s">
        <v>6</v>
      </c>
      <c r="J2" s="1" t="s">
        <v>6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5</v>
      </c>
      <c r="R2" s="1" t="s">
        <v>5</v>
      </c>
      <c r="S2" s="1" t="s">
        <v>5</v>
      </c>
      <c r="T2" s="1" t="s">
        <v>8</v>
      </c>
      <c r="U2" s="1" t="s">
        <v>8</v>
      </c>
      <c r="V2" s="1" t="s">
        <v>8</v>
      </c>
    </row>
    <row r="3" spans="1:22" hidden="1" x14ac:dyDescent="0.2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11</v>
      </c>
      <c r="G3" t="s">
        <v>12</v>
      </c>
      <c r="H3" t="s">
        <v>10</v>
      </c>
      <c r="I3" t="s">
        <v>11</v>
      </c>
      <c r="J3" t="s">
        <v>12</v>
      </c>
      <c r="K3" t="s">
        <v>10</v>
      </c>
      <c r="L3" t="s">
        <v>11</v>
      </c>
      <c r="M3" t="s">
        <v>12</v>
      </c>
      <c r="N3" t="s">
        <v>10</v>
      </c>
      <c r="O3" t="s">
        <v>11</v>
      </c>
      <c r="P3" t="s">
        <v>12</v>
      </c>
      <c r="Q3" t="s">
        <v>10</v>
      </c>
      <c r="R3" t="s">
        <v>11</v>
      </c>
      <c r="S3" t="s">
        <v>12</v>
      </c>
      <c r="T3" t="s">
        <v>10</v>
      </c>
      <c r="U3" t="s">
        <v>11</v>
      </c>
      <c r="V3" t="s">
        <v>12</v>
      </c>
    </row>
    <row r="4" spans="1:22" hidden="1" x14ac:dyDescent="0.2">
      <c r="A4" t="s">
        <v>13</v>
      </c>
      <c r="B4" s="2">
        <v>1.38E-2</v>
      </c>
      <c r="C4" s="3">
        <v>9757100.7899999991</v>
      </c>
      <c r="D4" s="3">
        <v>134647.99090199999</v>
      </c>
      <c r="E4" s="4">
        <v>1.4200000000000001E-2</v>
      </c>
      <c r="F4" s="3">
        <v>24901895.409999799</v>
      </c>
      <c r="G4" s="3">
        <v>353606.91482199699</v>
      </c>
      <c r="H4" s="4">
        <v>1.4200000000000001E-2</v>
      </c>
      <c r="I4" s="3">
        <v>693451.61</v>
      </c>
      <c r="J4" s="3">
        <v>9847.0128619999996</v>
      </c>
      <c r="K4" s="4">
        <v>1.49E-2</v>
      </c>
      <c r="L4" s="3">
        <v>303948221.66000003</v>
      </c>
      <c r="M4" s="3">
        <v>4528828.5027339999</v>
      </c>
      <c r="N4" s="4">
        <v>1.5100000000000001E-2</v>
      </c>
      <c r="O4" s="3">
        <v>229859655.42001101</v>
      </c>
      <c r="P4" s="3">
        <v>3470880.7968421699</v>
      </c>
      <c r="Q4" s="4">
        <v>7.3000000000000001E-3</v>
      </c>
      <c r="R4" s="3">
        <v>47442433.969999902</v>
      </c>
      <c r="S4" s="3">
        <v>346329.76798099902</v>
      </c>
      <c r="T4" s="4">
        <v>7.1999999999999998E-3</v>
      </c>
      <c r="U4" s="3">
        <v>161943127.77001601</v>
      </c>
      <c r="V4" s="3">
        <v>1165990.51994411</v>
      </c>
    </row>
    <row r="5" spans="1:22" hidden="1" x14ac:dyDescent="0.2">
      <c r="A5" t="s">
        <v>14</v>
      </c>
      <c r="B5" s="4">
        <v>2.4899999999999999E-2</v>
      </c>
      <c r="C5" s="3">
        <v>9757100.7899999991</v>
      </c>
      <c r="D5" s="3">
        <v>242951.809671</v>
      </c>
      <c r="E5" s="4">
        <v>1.15E-2</v>
      </c>
      <c r="F5" s="3">
        <v>24901895.409999799</v>
      </c>
      <c r="G5" s="3">
        <v>286371.79721499799</v>
      </c>
      <c r="H5" s="4">
        <v>2.4899999999999999E-2</v>
      </c>
      <c r="I5" s="3">
        <v>693451.61</v>
      </c>
      <c r="J5" s="3">
        <v>17266.945089000001</v>
      </c>
      <c r="K5" s="4">
        <v>1.15E-2</v>
      </c>
      <c r="L5" s="3">
        <v>303948221.66000003</v>
      </c>
      <c r="M5" s="3">
        <v>3495404.5490899999</v>
      </c>
      <c r="N5" s="4">
        <v>1.1599999999999999E-2</v>
      </c>
      <c r="O5" s="3">
        <v>229859655.42001101</v>
      </c>
      <c r="P5" s="3">
        <v>2666372.0028721299</v>
      </c>
      <c r="Q5" s="4">
        <v>6.7999999999999996E-3</v>
      </c>
      <c r="R5" s="3">
        <v>47442433.969999902</v>
      </c>
      <c r="S5" s="3">
        <v>322608.55099599902</v>
      </c>
      <c r="T5" s="4">
        <v>8.6E-3</v>
      </c>
      <c r="U5" s="3">
        <v>161943127.77001601</v>
      </c>
      <c r="V5" s="3">
        <v>1392710.8988221399</v>
      </c>
    </row>
    <row r="6" spans="1:22" hidden="1" x14ac:dyDescent="0.2">
      <c r="A6" t="s">
        <v>15</v>
      </c>
      <c r="B6" s="4">
        <v>1.9900000000000001E-2</v>
      </c>
      <c r="C6" s="3">
        <v>9757100.7899999991</v>
      </c>
      <c r="D6" s="3">
        <v>194166.30572100001</v>
      </c>
      <c r="E6" s="4">
        <v>1.11E-2</v>
      </c>
      <c r="F6" s="3">
        <v>24901895.409999799</v>
      </c>
      <c r="G6" s="3">
        <v>276411.03905099799</v>
      </c>
      <c r="H6" s="2">
        <v>1.3899999999999999E-2</v>
      </c>
      <c r="I6" s="3">
        <v>693451.61</v>
      </c>
      <c r="J6" s="3">
        <v>9638.9773789999999</v>
      </c>
      <c r="K6" s="4">
        <v>1.4800000000000001E-2</v>
      </c>
      <c r="L6" s="3">
        <v>303948221.66000003</v>
      </c>
      <c r="M6" s="3">
        <v>4498433.6805680003</v>
      </c>
      <c r="N6" s="4">
        <v>1.55E-2</v>
      </c>
      <c r="O6" s="3">
        <v>229859655.42001101</v>
      </c>
      <c r="P6" s="3">
        <v>3562824.6590101798</v>
      </c>
      <c r="Q6" s="2">
        <v>5.7999999999999996E-3</v>
      </c>
      <c r="R6" s="3">
        <v>47442433.969999902</v>
      </c>
      <c r="S6" s="3">
        <v>275166.117025999</v>
      </c>
      <c r="T6" s="4">
        <v>7.4999999999999997E-3</v>
      </c>
      <c r="U6" s="3">
        <v>161943127.77001601</v>
      </c>
      <c r="V6" s="3">
        <v>1214573.45827512</v>
      </c>
    </row>
    <row r="7" spans="1:22" hidden="1" x14ac:dyDescent="0.2">
      <c r="A7" t="s">
        <v>16</v>
      </c>
      <c r="B7" s="4">
        <v>2.1999999999999999E-2</v>
      </c>
      <c r="C7" s="3">
        <v>9757100.7899999991</v>
      </c>
      <c r="D7" s="3">
        <v>214656.21737999999</v>
      </c>
      <c r="E7" s="4">
        <v>1.9900000000000001E-2</v>
      </c>
      <c r="F7" s="3">
        <v>24901895.409999799</v>
      </c>
      <c r="G7" s="3">
        <v>495547.71865899599</v>
      </c>
      <c r="H7" s="4">
        <v>1.4500000000000001E-2</v>
      </c>
      <c r="I7" s="3">
        <v>693451.61</v>
      </c>
      <c r="J7" s="3">
        <v>10055.048344999999</v>
      </c>
      <c r="K7" s="4">
        <v>1.29E-2</v>
      </c>
      <c r="L7" s="3">
        <v>303948221.66000003</v>
      </c>
      <c r="M7" s="3">
        <v>3920932.0594139998</v>
      </c>
      <c r="N7" s="4">
        <v>1.29E-2</v>
      </c>
      <c r="O7" s="3">
        <v>229859655.42001101</v>
      </c>
      <c r="P7" s="3">
        <v>2965189.55491815</v>
      </c>
      <c r="Q7" s="4">
        <v>9.9000000000000008E-3</v>
      </c>
      <c r="R7" s="3">
        <v>47442433.969999902</v>
      </c>
      <c r="S7" s="3">
        <v>469680.09630299901</v>
      </c>
      <c r="T7" s="2">
        <v>6.7000000000000002E-3</v>
      </c>
      <c r="U7" s="3">
        <v>161943127.77001601</v>
      </c>
      <c r="V7" s="3">
        <v>1085018.9560591099</v>
      </c>
    </row>
    <row r="8" spans="1:22" hidden="1" x14ac:dyDescent="0.2">
      <c r="A8" t="s">
        <v>17</v>
      </c>
      <c r="B8" s="4">
        <v>1.8800000000000001E-2</v>
      </c>
      <c r="C8" s="3">
        <v>9757100.7899999991</v>
      </c>
      <c r="D8" s="3">
        <v>183433.494852</v>
      </c>
      <c r="E8" s="4">
        <v>1.35E-2</v>
      </c>
      <c r="F8" s="3">
        <v>24901895.409999799</v>
      </c>
      <c r="G8" s="3">
        <v>336175.58803499799</v>
      </c>
      <c r="H8" s="2">
        <v>1.3899999999999999E-2</v>
      </c>
      <c r="I8" s="3">
        <v>693451.61</v>
      </c>
      <c r="J8" s="3">
        <v>9638.9773789999999</v>
      </c>
      <c r="K8" s="4">
        <v>1.67E-2</v>
      </c>
      <c r="L8" s="3">
        <v>303948221.66000003</v>
      </c>
      <c r="M8" s="3">
        <v>5075935.3017220004</v>
      </c>
      <c r="N8" s="4">
        <v>1.5599999999999999E-2</v>
      </c>
      <c r="O8" s="3">
        <v>229859655.42001101</v>
      </c>
      <c r="P8" s="3">
        <v>3585810.6245521801</v>
      </c>
      <c r="Q8" s="4">
        <v>6.3E-3</v>
      </c>
      <c r="R8" s="3">
        <v>47442433.969999902</v>
      </c>
      <c r="S8" s="3">
        <v>298887.33401099901</v>
      </c>
      <c r="T8" s="4">
        <v>7.1999999999999998E-3</v>
      </c>
      <c r="U8" s="3">
        <v>161943127.77001601</v>
      </c>
      <c r="V8" s="3">
        <v>1165990.51994411</v>
      </c>
    </row>
    <row r="9" spans="1:22" hidden="1" x14ac:dyDescent="0.2">
      <c r="A9" t="s">
        <v>18</v>
      </c>
      <c r="B9" s="4">
        <v>2.24E-2</v>
      </c>
      <c r="C9" s="3">
        <v>9757100.7899999991</v>
      </c>
      <c r="D9" s="3">
        <v>218559.057696</v>
      </c>
      <c r="E9" s="4">
        <v>2.24E-2</v>
      </c>
      <c r="F9" s="3">
        <v>24901895.409999799</v>
      </c>
      <c r="G9" s="3">
        <v>557802.45718399598</v>
      </c>
      <c r="H9" s="4">
        <v>2.24E-2</v>
      </c>
      <c r="I9" s="3">
        <v>693451.61</v>
      </c>
      <c r="J9" s="3">
        <v>15533.316064000001</v>
      </c>
      <c r="K9" s="4">
        <v>1.7399999999999999E-2</v>
      </c>
      <c r="L9" s="3">
        <v>303948221.66000003</v>
      </c>
      <c r="M9" s="3">
        <v>5288699.0568840001</v>
      </c>
      <c r="N9" s="5">
        <v>1.7399999999999999E-2</v>
      </c>
      <c r="O9" s="3">
        <v>229859655.42001101</v>
      </c>
      <c r="P9" s="3">
        <v>3999558.0043082</v>
      </c>
      <c r="Q9" s="4">
        <v>7.9000000000000008E-3</v>
      </c>
      <c r="R9" s="3">
        <v>47442433.969999902</v>
      </c>
      <c r="S9" s="3">
        <v>374795.22836299898</v>
      </c>
      <c r="T9" s="4">
        <v>7.1999999999999998E-3</v>
      </c>
      <c r="U9" s="3">
        <v>161943127.77001601</v>
      </c>
      <c r="V9" s="3">
        <v>1165990.51994411</v>
      </c>
    </row>
    <row r="10" spans="1:22" hidden="1" x14ac:dyDescent="0.2">
      <c r="A10" t="s">
        <v>19</v>
      </c>
      <c r="B10" s="5">
        <v>4.2999999999999997E-2</v>
      </c>
      <c r="C10" s="3">
        <v>9757100.7899999991</v>
      </c>
      <c r="D10" s="3">
        <v>419555.33396999998</v>
      </c>
      <c r="E10" s="5">
        <v>4.2999999999999997E-2</v>
      </c>
      <c r="F10" s="3">
        <v>24901895.409999799</v>
      </c>
      <c r="G10" s="3">
        <v>1070781.50262999</v>
      </c>
      <c r="H10" s="5">
        <v>4.2999999999999997E-2</v>
      </c>
      <c r="I10" s="3">
        <v>693451.61</v>
      </c>
      <c r="J10" s="3">
        <v>29818.41923</v>
      </c>
      <c r="K10" s="5">
        <v>4.2999999999999997E-2</v>
      </c>
      <c r="L10" s="3">
        <v>303948221.66000003</v>
      </c>
      <c r="M10" s="3">
        <v>13069773.53138</v>
      </c>
      <c r="N10" s="4">
        <v>8.9999999999999993E-3</v>
      </c>
      <c r="O10" s="3">
        <v>229859655.42001101</v>
      </c>
      <c r="P10" s="3">
        <v>2068736.8987801</v>
      </c>
      <c r="Q10" s="4">
        <v>2.5499999999999998E-2</v>
      </c>
      <c r="R10" s="3">
        <v>47442433.969999902</v>
      </c>
      <c r="S10" s="3">
        <v>1209782.066235</v>
      </c>
      <c r="T10" s="4">
        <v>8.9999999999999993E-3</v>
      </c>
      <c r="U10" s="3">
        <v>161943127.77001601</v>
      </c>
      <c r="V10" s="3">
        <v>1457488.14993014</v>
      </c>
    </row>
    <row r="11" spans="1:22" hidden="1" x14ac:dyDescent="0.2"/>
    <row r="12" spans="1:22" hidden="1" x14ac:dyDescent="0.2"/>
    <row r="13" spans="1:22" hidden="1" x14ac:dyDescent="0.2"/>
    <row r="15" spans="1:22" ht="13.5" thickBot="1" x14ac:dyDescent="0.25"/>
    <row r="16" spans="1:22" ht="13.5" thickBot="1" x14ac:dyDescent="0.25">
      <c r="A16" t="s">
        <v>0</v>
      </c>
      <c r="B16" s="19" t="s">
        <v>1</v>
      </c>
      <c r="C16" s="20" t="s">
        <v>1</v>
      </c>
      <c r="D16" s="20" t="s">
        <v>1</v>
      </c>
      <c r="E16" s="20" t="s">
        <v>1</v>
      </c>
      <c r="F16" s="20" t="s">
        <v>1</v>
      </c>
      <c r="G16" s="20" t="s">
        <v>1</v>
      </c>
      <c r="H16" s="20" t="s">
        <v>1</v>
      </c>
      <c r="I16" s="20" t="s">
        <v>1</v>
      </c>
      <c r="J16" s="20" t="s">
        <v>1</v>
      </c>
      <c r="K16" s="20" t="s">
        <v>1</v>
      </c>
      <c r="L16" s="20" t="s">
        <v>1</v>
      </c>
      <c r="M16" s="20" t="s">
        <v>1</v>
      </c>
      <c r="N16" s="20" t="s">
        <v>1</v>
      </c>
      <c r="O16" s="20" t="s">
        <v>1</v>
      </c>
      <c r="P16" s="21" t="s">
        <v>1</v>
      </c>
      <c r="Q16" s="19" t="s">
        <v>2</v>
      </c>
      <c r="R16" s="20" t="s">
        <v>2</v>
      </c>
      <c r="S16" s="20" t="s">
        <v>2</v>
      </c>
      <c r="T16" s="20" t="s">
        <v>2</v>
      </c>
      <c r="U16" s="20" t="s">
        <v>2</v>
      </c>
      <c r="V16" s="21" t="s">
        <v>2</v>
      </c>
    </row>
    <row r="17" spans="1:24" s="41" customFormat="1" x14ac:dyDescent="0.2">
      <c r="A17" s="35" t="s">
        <v>3</v>
      </c>
      <c r="B17" s="36" t="s">
        <v>4</v>
      </c>
      <c r="C17" s="37" t="s">
        <v>4</v>
      </c>
      <c r="D17" s="38" t="s">
        <v>4</v>
      </c>
      <c r="E17" s="37" t="s">
        <v>5</v>
      </c>
      <c r="F17" s="37" t="s">
        <v>5</v>
      </c>
      <c r="G17" s="38" t="s">
        <v>5</v>
      </c>
      <c r="H17" s="39" t="s">
        <v>6</v>
      </c>
      <c r="I17" s="37" t="s">
        <v>6</v>
      </c>
      <c r="J17" s="38" t="s">
        <v>6</v>
      </c>
      <c r="K17" s="39" t="s">
        <v>7</v>
      </c>
      <c r="L17" s="37" t="s">
        <v>7</v>
      </c>
      <c r="M17" s="38" t="s">
        <v>7</v>
      </c>
      <c r="N17" s="39" t="s">
        <v>8</v>
      </c>
      <c r="O17" s="37" t="s">
        <v>8</v>
      </c>
      <c r="P17" s="40" t="s">
        <v>8</v>
      </c>
      <c r="Q17" s="36" t="s">
        <v>5</v>
      </c>
      <c r="R17" s="37" t="s">
        <v>5</v>
      </c>
      <c r="S17" s="38" t="s">
        <v>5</v>
      </c>
      <c r="T17" s="39" t="s">
        <v>8</v>
      </c>
      <c r="U17" s="37" t="s">
        <v>8</v>
      </c>
      <c r="V17" s="40" t="s">
        <v>8</v>
      </c>
      <c r="X17" s="84" t="s">
        <v>25</v>
      </c>
    </row>
    <row r="18" spans="1:24" x14ac:dyDescent="0.2">
      <c r="A18" s="62" t="s">
        <v>20</v>
      </c>
      <c r="B18" s="63">
        <f>C21</f>
        <v>9757100.7899999991</v>
      </c>
      <c r="C18" s="64"/>
      <c r="D18" s="65"/>
      <c r="E18" s="64">
        <f>F21</f>
        <v>24901895.409999799</v>
      </c>
      <c r="F18" s="64"/>
      <c r="G18" s="65"/>
      <c r="H18" s="64">
        <f>I21</f>
        <v>693451.61</v>
      </c>
      <c r="I18" s="64"/>
      <c r="J18" s="65"/>
      <c r="K18" s="64">
        <f>L21</f>
        <v>303948221.66000003</v>
      </c>
      <c r="L18" s="64"/>
      <c r="M18" s="65"/>
      <c r="N18" s="64">
        <f>O21</f>
        <v>229859655.42001101</v>
      </c>
      <c r="O18" s="64"/>
      <c r="P18" s="66"/>
      <c r="Q18" s="63">
        <f>R21</f>
        <v>47442433.969999902</v>
      </c>
      <c r="R18" s="64"/>
      <c r="S18" s="65"/>
      <c r="T18" s="67">
        <f>U21</f>
        <v>161943127.77001601</v>
      </c>
      <c r="U18" s="64"/>
      <c r="V18" s="66"/>
      <c r="X18" s="85">
        <f>B18+E18+H18+K18+N18+Q18+T18</f>
        <v>778545886.63002682</v>
      </c>
    </row>
    <row r="19" spans="1:24" ht="13.5" thickBot="1" x14ac:dyDescent="0.25">
      <c r="A19" s="12"/>
      <c r="B19" s="22"/>
      <c r="C19" s="14"/>
      <c r="D19" s="15"/>
      <c r="E19" s="14"/>
      <c r="F19" s="14"/>
      <c r="G19" s="15"/>
      <c r="H19" s="13"/>
      <c r="I19" s="14"/>
      <c r="J19" s="15"/>
      <c r="K19" s="16"/>
      <c r="L19" s="17"/>
      <c r="M19" s="18"/>
      <c r="N19" s="16"/>
      <c r="O19" s="17"/>
      <c r="P19" s="23"/>
      <c r="Q19" s="33"/>
      <c r="R19" s="17"/>
      <c r="S19" s="18"/>
      <c r="T19" s="16"/>
      <c r="U19" s="17"/>
      <c r="V19" s="23"/>
      <c r="X19" s="86"/>
    </row>
    <row r="20" spans="1:24" x14ac:dyDescent="0.2">
      <c r="A20" t="s">
        <v>9</v>
      </c>
      <c r="B20" s="24" t="s">
        <v>10</v>
      </c>
      <c r="C20" s="7" t="s">
        <v>11</v>
      </c>
      <c r="D20" s="8" t="s">
        <v>12</v>
      </c>
      <c r="E20" s="7" t="s">
        <v>10</v>
      </c>
      <c r="F20" s="7" t="s">
        <v>11</v>
      </c>
      <c r="G20" s="8" t="s">
        <v>12</v>
      </c>
      <c r="H20" s="6" t="s">
        <v>10</v>
      </c>
      <c r="I20" s="7" t="s">
        <v>11</v>
      </c>
      <c r="J20" s="8" t="s">
        <v>12</v>
      </c>
      <c r="K20" s="6" t="s">
        <v>10</v>
      </c>
      <c r="L20" s="7" t="s">
        <v>11</v>
      </c>
      <c r="M20" s="8" t="s">
        <v>12</v>
      </c>
      <c r="N20" s="6" t="s">
        <v>10</v>
      </c>
      <c r="O20" s="7" t="s">
        <v>11</v>
      </c>
      <c r="P20" s="25" t="s">
        <v>12</v>
      </c>
      <c r="Q20" s="24" t="s">
        <v>10</v>
      </c>
      <c r="R20" s="7" t="s">
        <v>11</v>
      </c>
      <c r="S20" s="8" t="s">
        <v>12</v>
      </c>
      <c r="T20" s="6" t="s">
        <v>10</v>
      </c>
      <c r="U20" s="7" t="s">
        <v>11</v>
      </c>
      <c r="V20" s="25" t="s">
        <v>12</v>
      </c>
      <c r="X20" s="83"/>
    </row>
    <row r="21" spans="1:24" x14ac:dyDescent="0.2">
      <c r="A21" t="s">
        <v>13</v>
      </c>
      <c r="B21" s="47">
        <v>1.38E-2</v>
      </c>
      <c r="C21" s="9">
        <v>9757100.7899999991</v>
      </c>
      <c r="D21" s="10">
        <v>134647.99090199999</v>
      </c>
      <c r="E21" s="32">
        <v>1.4200000000000001E-2</v>
      </c>
      <c r="F21" s="9">
        <v>24901895.409999799</v>
      </c>
      <c r="G21" s="10">
        <v>353606.91482199699</v>
      </c>
      <c r="H21" s="11">
        <v>1.4200000000000001E-2</v>
      </c>
      <c r="I21" s="9">
        <v>693451.61</v>
      </c>
      <c r="J21" s="10">
        <v>9847.0128619999996</v>
      </c>
      <c r="K21" s="11">
        <v>1.49E-2</v>
      </c>
      <c r="L21" s="9">
        <v>303948221.66000003</v>
      </c>
      <c r="M21" s="10">
        <v>4528828.5027339999</v>
      </c>
      <c r="N21" s="11">
        <v>1.5100000000000001E-2</v>
      </c>
      <c r="O21" s="9">
        <v>229859655.42001101</v>
      </c>
      <c r="P21" s="26">
        <v>3470880.7968421699</v>
      </c>
      <c r="Q21" s="27">
        <v>7.3000000000000001E-3</v>
      </c>
      <c r="R21" s="9">
        <v>47442433.969999902</v>
      </c>
      <c r="S21" s="10">
        <v>346329.76798099902</v>
      </c>
      <c r="T21" s="11">
        <v>7.1999999999999998E-3</v>
      </c>
      <c r="U21" s="9">
        <v>161943127.77001601</v>
      </c>
      <c r="V21" s="26">
        <v>1165990.51994411</v>
      </c>
    </row>
    <row r="22" spans="1:24" x14ac:dyDescent="0.2">
      <c r="A22" t="s">
        <v>14</v>
      </c>
      <c r="B22" s="27">
        <v>2.4899999999999999E-2</v>
      </c>
      <c r="C22" s="9">
        <v>9757100.7899999991</v>
      </c>
      <c r="D22" s="10">
        <v>242951.809671</v>
      </c>
      <c r="E22" s="32">
        <v>1.15E-2</v>
      </c>
      <c r="F22" s="9">
        <v>24901895.409999799</v>
      </c>
      <c r="G22" s="10">
        <v>286371.79721499799</v>
      </c>
      <c r="H22" s="11">
        <v>2.4899999999999999E-2</v>
      </c>
      <c r="I22" s="9">
        <v>693451.61</v>
      </c>
      <c r="J22" s="10">
        <v>17266.945089000001</v>
      </c>
      <c r="K22" s="48">
        <v>1.15E-2</v>
      </c>
      <c r="L22" s="9">
        <v>303948221.66000003</v>
      </c>
      <c r="M22" s="10">
        <v>3495404.5490899999</v>
      </c>
      <c r="N22" s="11">
        <v>1.1599999999999999E-2</v>
      </c>
      <c r="O22" s="9">
        <v>229859655.42001101</v>
      </c>
      <c r="P22" s="26">
        <v>2666372.0028721299</v>
      </c>
      <c r="Q22" s="27">
        <v>6.7999999999999996E-3</v>
      </c>
      <c r="R22" s="9">
        <v>47442433.969999902</v>
      </c>
      <c r="S22" s="10">
        <v>322608.55099599902</v>
      </c>
      <c r="T22" s="11">
        <v>8.6E-3</v>
      </c>
      <c r="U22" s="9">
        <v>161943127.77001601</v>
      </c>
      <c r="V22" s="26">
        <v>1392710.8988221399</v>
      </c>
    </row>
    <row r="23" spans="1:24" x14ac:dyDescent="0.2">
      <c r="A23" t="s">
        <v>15</v>
      </c>
      <c r="B23" s="27">
        <v>1.9900000000000001E-2</v>
      </c>
      <c r="C23" s="9">
        <v>9757100.7899999991</v>
      </c>
      <c r="D23" s="10">
        <v>194166.30572100001</v>
      </c>
      <c r="E23" s="46">
        <v>1.11E-2</v>
      </c>
      <c r="F23" s="9">
        <v>24901895.409999799</v>
      </c>
      <c r="G23" s="10">
        <v>276411.03905099799</v>
      </c>
      <c r="H23" s="48">
        <v>1.3899999999999999E-2</v>
      </c>
      <c r="I23" s="9">
        <v>693451.61</v>
      </c>
      <c r="J23" s="10">
        <v>9638.9773789999999</v>
      </c>
      <c r="K23" s="11">
        <v>1.4800000000000001E-2</v>
      </c>
      <c r="L23" s="9">
        <v>303948221.66000003</v>
      </c>
      <c r="M23" s="10">
        <v>4498433.6805680003</v>
      </c>
      <c r="N23" s="11">
        <v>1.55E-2</v>
      </c>
      <c r="O23" s="9">
        <v>229859655.42001101</v>
      </c>
      <c r="P23" s="26">
        <v>3562824.6590101798</v>
      </c>
      <c r="Q23" s="47">
        <v>5.7999999999999996E-3</v>
      </c>
      <c r="R23" s="9">
        <v>47442433.969999902</v>
      </c>
      <c r="S23" s="10">
        <v>275166.117025999</v>
      </c>
      <c r="T23" s="11">
        <v>7.4999999999999997E-3</v>
      </c>
      <c r="U23" s="9">
        <v>161943127.77001601</v>
      </c>
      <c r="V23" s="26">
        <v>1214573.45827512</v>
      </c>
    </row>
    <row r="24" spans="1:24" x14ac:dyDescent="0.2">
      <c r="A24" t="s">
        <v>16</v>
      </c>
      <c r="B24" s="27">
        <v>2.1999999999999999E-2</v>
      </c>
      <c r="C24" s="9">
        <v>9757100.7899999991</v>
      </c>
      <c r="D24" s="10">
        <v>214656.21737999999</v>
      </c>
      <c r="E24" s="32">
        <v>1.9900000000000001E-2</v>
      </c>
      <c r="F24" s="9">
        <v>24901895.409999799</v>
      </c>
      <c r="G24" s="10">
        <v>495547.71865899599</v>
      </c>
      <c r="H24" s="11">
        <v>1.4500000000000001E-2</v>
      </c>
      <c r="I24" s="9">
        <v>693451.61</v>
      </c>
      <c r="J24" s="10">
        <v>10055.048344999999</v>
      </c>
      <c r="K24" s="11">
        <v>1.29E-2</v>
      </c>
      <c r="L24" s="9">
        <v>303948221.66000003</v>
      </c>
      <c r="M24" s="10">
        <v>3920932.0594139998</v>
      </c>
      <c r="N24" s="11">
        <v>1.29E-2</v>
      </c>
      <c r="O24" s="9">
        <v>229859655.42001101</v>
      </c>
      <c r="P24" s="26">
        <v>2965189.55491815</v>
      </c>
      <c r="Q24" s="27">
        <v>9.9000000000000008E-3</v>
      </c>
      <c r="R24" s="9">
        <v>47442433.969999902</v>
      </c>
      <c r="S24" s="10">
        <v>469680.09630299901</v>
      </c>
      <c r="T24" s="48">
        <v>6.7000000000000002E-3</v>
      </c>
      <c r="U24" s="9">
        <v>161943127.77001601</v>
      </c>
      <c r="V24" s="26">
        <v>1085018.9560591099</v>
      </c>
    </row>
    <row r="25" spans="1:24" x14ac:dyDescent="0.2">
      <c r="A25" t="s">
        <v>17</v>
      </c>
      <c r="B25" s="27">
        <v>1.8800000000000001E-2</v>
      </c>
      <c r="C25" s="9">
        <v>9757100.7899999991</v>
      </c>
      <c r="D25" s="10">
        <v>183433.494852</v>
      </c>
      <c r="E25" s="32">
        <v>1.35E-2</v>
      </c>
      <c r="F25" s="9">
        <v>24901895.409999799</v>
      </c>
      <c r="G25" s="10">
        <v>336175.58803499799</v>
      </c>
      <c r="H25" s="48">
        <v>1.3899999999999999E-2</v>
      </c>
      <c r="I25" s="9">
        <v>693451.61</v>
      </c>
      <c r="J25" s="10">
        <v>9638.9773789999999</v>
      </c>
      <c r="K25" s="11">
        <v>1.67E-2</v>
      </c>
      <c r="L25" s="9">
        <v>303948221.66000003</v>
      </c>
      <c r="M25" s="10">
        <v>5075935.3017220004</v>
      </c>
      <c r="N25" s="11">
        <v>1.5599999999999999E-2</v>
      </c>
      <c r="O25" s="9">
        <v>229859655.42001101</v>
      </c>
      <c r="P25" s="26">
        <v>3585810.6245521801</v>
      </c>
      <c r="Q25" s="27">
        <v>6.3E-3</v>
      </c>
      <c r="R25" s="9">
        <v>47442433.969999902</v>
      </c>
      <c r="S25" s="10">
        <v>298887.33401099901</v>
      </c>
      <c r="T25" s="11">
        <v>7.1999999999999998E-3</v>
      </c>
      <c r="U25" s="9">
        <v>161943127.77001601</v>
      </c>
      <c r="V25" s="26">
        <v>1165990.51994411</v>
      </c>
    </row>
    <row r="26" spans="1:24" x14ac:dyDescent="0.2">
      <c r="A26" t="s">
        <v>18</v>
      </c>
      <c r="B26" s="27">
        <v>2.24E-2</v>
      </c>
      <c r="C26" s="9">
        <v>9757100.7899999991</v>
      </c>
      <c r="D26" s="10">
        <v>218559.057696</v>
      </c>
      <c r="E26" s="32">
        <v>2.24E-2</v>
      </c>
      <c r="F26" s="9">
        <v>24901895.409999799</v>
      </c>
      <c r="G26" s="10">
        <v>557802.45718399598</v>
      </c>
      <c r="H26" s="11">
        <v>2.24E-2</v>
      </c>
      <c r="I26" s="9">
        <v>693451.61</v>
      </c>
      <c r="J26" s="10">
        <v>15533.316064000001</v>
      </c>
      <c r="K26" s="11">
        <v>1.7399999999999999E-2</v>
      </c>
      <c r="L26" s="9">
        <v>303948221.66000003</v>
      </c>
      <c r="M26" s="10">
        <v>5288699.0568840001</v>
      </c>
      <c r="N26" s="45">
        <v>1.7399999999999999E-2</v>
      </c>
      <c r="O26" s="9">
        <v>229859655.42001101</v>
      </c>
      <c r="P26" s="26">
        <v>3999558.0043082</v>
      </c>
      <c r="Q26" s="27">
        <v>7.9000000000000008E-3</v>
      </c>
      <c r="R26" s="9">
        <v>47442433.969999902</v>
      </c>
      <c r="S26" s="10">
        <v>374795.22836299898</v>
      </c>
      <c r="T26" s="11">
        <v>7.1999999999999998E-3</v>
      </c>
      <c r="U26" s="9">
        <v>161943127.77001601</v>
      </c>
      <c r="V26" s="26">
        <v>1165990.51994411</v>
      </c>
    </row>
    <row r="27" spans="1:24" ht="13.5" thickBot="1" x14ac:dyDescent="0.25">
      <c r="A27" t="s">
        <v>19</v>
      </c>
      <c r="B27" s="42">
        <v>4.2999999999999997E-2</v>
      </c>
      <c r="C27" s="28">
        <v>9757100.7899999991</v>
      </c>
      <c r="D27" s="29">
        <v>419555.33396999998</v>
      </c>
      <c r="E27" s="43">
        <v>4.2999999999999997E-2</v>
      </c>
      <c r="F27" s="28">
        <v>24901895.409999799</v>
      </c>
      <c r="G27" s="29">
        <v>1070781.50262999</v>
      </c>
      <c r="H27" s="44">
        <v>4.2999999999999997E-2</v>
      </c>
      <c r="I27" s="28">
        <v>693451.61</v>
      </c>
      <c r="J27" s="29">
        <v>29818.41923</v>
      </c>
      <c r="K27" s="44">
        <v>4.2999999999999997E-2</v>
      </c>
      <c r="L27" s="28">
        <v>303948221.66000003</v>
      </c>
      <c r="M27" s="29">
        <v>13069773.53138</v>
      </c>
      <c r="N27" s="49">
        <v>8.9999999999999993E-3</v>
      </c>
      <c r="O27" s="28">
        <v>229859655.42001101</v>
      </c>
      <c r="P27" s="31">
        <v>2068736.8987801</v>
      </c>
      <c r="Q27" s="34">
        <v>2.5499999999999998E-2</v>
      </c>
      <c r="R27" s="28">
        <v>47442433.969999902</v>
      </c>
      <c r="S27" s="29">
        <v>1209782.066235</v>
      </c>
      <c r="T27" s="30">
        <v>8.9999999999999993E-3</v>
      </c>
      <c r="U27" s="28">
        <v>161943127.77001601</v>
      </c>
      <c r="V27" s="31">
        <v>1457488.14993014</v>
      </c>
    </row>
    <row r="28" spans="1:24" ht="13.5" thickBot="1" x14ac:dyDescent="0.25"/>
    <row r="29" spans="1:24" x14ac:dyDescent="0.2">
      <c r="A29" s="50" t="s">
        <v>21</v>
      </c>
      <c r="B29" s="51">
        <f>SMALL(B21:B27,1)</f>
        <v>1.38E-2</v>
      </c>
      <c r="C29" s="52">
        <f t="shared" ref="C29:V29" si="0">SMALL(C21:C27,1)</f>
        <v>9757100.7899999991</v>
      </c>
      <c r="D29" s="52">
        <f t="shared" si="0"/>
        <v>134647.99090199999</v>
      </c>
      <c r="E29" s="53">
        <f t="shared" si="0"/>
        <v>1.11E-2</v>
      </c>
      <c r="F29" s="52">
        <f t="shared" si="0"/>
        <v>24901895.409999799</v>
      </c>
      <c r="G29" s="54">
        <f t="shared" si="0"/>
        <v>276411.03905099799</v>
      </c>
      <c r="H29" s="53">
        <f t="shared" si="0"/>
        <v>1.3899999999999999E-2</v>
      </c>
      <c r="I29" s="52">
        <f t="shared" si="0"/>
        <v>693451.61</v>
      </c>
      <c r="J29" s="54">
        <f t="shared" si="0"/>
        <v>9638.9773789999999</v>
      </c>
      <c r="K29" s="53">
        <f t="shared" si="0"/>
        <v>1.15E-2</v>
      </c>
      <c r="L29" s="52">
        <f t="shared" si="0"/>
        <v>303948221.66000003</v>
      </c>
      <c r="M29" s="54">
        <f t="shared" si="0"/>
        <v>3495404.5490899999</v>
      </c>
      <c r="N29" s="53">
        <f t="shared" si="0"/>
        <v>8.9999999999999993E-3</v>
      </c>
      <c r="O29" s="52">
        <f t="shared" si="0"/>
        <v>229859655.42001101</v>
      </c>
      <c r="P29" s="55">
        <f t="shared" si="0"/>
        <v>2068736.8987801</v>
      </c>
      <c r="Q29" s="51">
        <f t="shared" si="0"/>
        <v>5.7999999999999996E-3</v>
      </c>
      <c r="R29" s="52">
        <f t="shared" si="0"/>
        <v>47442433.969999902</v>
      </c>
      <c r="S29" s="54">
        <f t="shared" si="0"/>
        <v>275166.117025999</v>
      </c>
      <c r="T29" s="53">
        <f t="shared" si="0"/>
        <v>6.7000000000000002E-3</v>
      </c>
      <c r="U29" s="52">
        <f t="shared" si="0"/>
        <v>161943127.77001601</v>
      </c>
      <c r="V29" s="55">
        <f t="shared" si="0"/>
        <v>1085018.9560591099</v>
      </c>
    </row>
    <row r="30" spans="1:24" s="41" customFormat="1" x14ac:dyDescent="0.2">
      <c r="A30" s="68"/>
      <c r="B30" s="69"/>
      <c r="C30" s="70"/>
      <c r="D30" s="70" t="str">
        <f>IF(D$29=D$21,$A$21,IF(D$29=D$22,$A$22,IF(D$29=D$23,$A$23,IF(D$29=D$24,$A$24,IF(D$29=D$25,$A$25,IF(D$29=D$26,$A$26,IF(D$29=D$27,$A$27,"Verificar")))))))</f>
        <v>CIELO</v>
      </c>
      <c r="E30" s="71"/>
      <c r="F30" s="70" t="str">
        <f t="shared" ref="F30:V30" si="1">IF(F$29=F$21,$A$21,IF(F$29=F$22,$A$22,IF(F$29=F$23,$A$23,IF(F$29=F$24,$A$24,IF(F$29=F$25,$A$25,IF(F$29=F$26,$A$26,IF(F$29=F$27,$A$27,"Verificar")))))))</f>
        <v>CIELO</v>
      </c>
      <c r="G30" s="72" t="str">
        <f>IF(G$29=G$21,$A$21,IF(G$29=G$22,$A$22,IF(G$29=G$23,$A$23,IF(G$29=G$24,$A$24,IF(G$29=G$25,$A$25,IF(G$29=G$26,$A$26,IF(G$29=G$27,$A$27,"Verificar")))))))</f>
        <v>GETNET</v>
      </c>
      <c r="H30" s="71"/>
      <c r="I30" s="70" t="str">
        <f t="shared" si="1"/>
        <v>CIELO</v>
      </c>
      <c r="J30" s="72" t="str">
        <f t="shared" si="1"/>
        <v>GETNET</v>
      </c>
      <c r="K30" s="71"/>
      <c r="L30" s="70" t="str">
        <f t="shared" si="1"/>
        <v>CIELO</v>
      </c>
      <c r="M30" s="72" t="str">
        <f t="shared" si="1"/>
        <v>FISERV</v>
      </c>
      <c r="N30" s="71"/>
      <c r="O30" s="70" t="str">
        <f t="shared" si="1"/>
        <v>CIELO</v>
      </c>
      <c r="P30" s="73" t="str">
        <f t="shared" si="1"/>
        <v>SUMUP</v>
      </c>
      <c r="Q30" s="74"/>
      <c r="R30" s="70" t="str">
        <f t="shared" si="1"/>
        <v>CIELO</v>
      </c>
      <c r="S30" s="72" t="str">
        <f t="shared" si="1"/>
        <v>GETNET</v>
      </c>
      <c r="T30" s="71"/>
      <c r="U30" s="70" t="str">
        <f t="shared" si="1"/>
        <v>CIELO</v>
      </c>
      <c r="V30" s="73" t="str">
        <f t="shared" si="1"/>
        <v>REDE</v>
      </c>
    </row>
    <row r="31" spans="1:24" x14ac:dyDescent="0.2">
      <c r="A31" s="56" t="s">
        <v>23</v>
      </c>
      <c r="B31" s="57">
        <f>SMALL(B21:B27,2)</f>
        <v>1.8800000000000001E-2</v>
      </c>
      <c r="C31" s="58">
        <f t="shared" ref="C31:V31" si="2">SMALL(C21:C27,2)</f>
        <v>9757100.7899999991</v>
      </c>
      <c r="D31" s="58">
        <f t="shared" si="2"/>
        <v>183433.494852</v>
      </c>
      <c r="E31" s="59">
        <f t="shared" si="2"/>
        <v>1.15E-2</v>
      </c>
      <c r="F31" s="58">
        <f t="shared" si="2"/>
        <v>24901895.409999799</v>
      </c>
      <c r="G31" s="60">
        <f t="shared" si="2"/>
        <v>286371.79721499799</v>
      </c>
      <c r="H31" s="59">
        <f t="shared" si="2"/>
        <v>1.3899999999999999E-2</v>
      </c>
      <c r="I31" s="58">
        <f t="shared" si="2"/>
        <v>693451.61</v>
      </c>
      <c r="J31" s="60">
        <f t="shared" si="2"/>
        <v>9638.9773789999999</v>
      </c>
      <c r="K31" s="59">
        <f t="shared" si="2"/>
        <v>1.29E-2</v>
      </c>
      <c r="L31" s="58">
        <f t="shared" si="2"/>
        <v>303948221.66000003</v>
      </c>
      <c r="M31" s="60">
        <f t="shared" si="2"/>
        <v>3920932.0594139998</v>
      </c>
      <c r="N31" s="59">
        <f t="shared" si="2"/>
        <v>1.1599999999999999E-2</v>
      </c>
      <c r="O31" s="58">
        <f t="shared" si="2"/>
        <v>229859655.42001101</v>
      </c>
      <c r="P31" s="61">
        <f t="shared" si="2"/>
        <v>2666372.0028721299</v>
      </c>
      <c r="Q31" s="57">
        <f t="shared" si="2"/>
        <v>6.3E-3</v>
      </c>
      <c r="R31" s="58">
        <f t="shared" si="2"/>
        <v>47442433.969999902</v>
      </c>
      <c r="S31" s="60">
        <f t="shared" si="2"/>
        <v>298887.33401099901</v>
      </c>
      <c r="T31" s="59">
        <f t="shared" si="2"/>
        <v>7.1999999999999998E-3</v>
      </c>
      <c r="U31" s="58">
        <f t="shared" si="2"/>
        <v>161943127.77001601</v>
      </c>
      <c r="V31" s="61">
        <f t="shared" si="2"/>
        <v>1165990.51994411</v>
      </c>
    </row>
    <row r="32" spans="1:24" s="41" customFormat="1" x14ac:dyDescent="0.2">
      <c r="A32" s="68"/>
      <c r="B32" s="69"/>
      <c r="C32" s="70"/>
      <c r="D32" s="70" t="str">
        <f>IF(D31=D$21,$A$21,IF(D31=D$22,$A$22,IF(D31=D$23,$A$23,IF(D31=D$24,$A$24,IF(D31=D$25,$A$25,IF(D31=D$26,$A$26,IF(D31=D$27,$A$27,"Verificar")))))))</f>
        <v>SAFRAPAY</v>
      </c>
      <c r="E32" s="71"/>
      <c r="F32" s="70" t="str">
        <f t="shared" ref="F32:V32" si="3">IF(F31=F$21,$A$21,IF(F31=F$22,$A$22,IF(F31=F$23,$A$23,IF(F31=F$24,$A$24,IF(F31=F$25,$A$25,IF(F31=F$26,$A$26,IF(F31=F$27,$A$27,"Verificar")))))))</f>
        <v>CIELO</v>
      </c>
      <c r="G32" s="72" t="str">
        <f t="shared" si="3"/>
        <v>FISERV</v>
      </c>
      <c r="H32" s="71"/>
      <c r="I32" s="70" t="str">
        <f t="shared" si="3"/>
        <v>CIELO</v>
      </c>
      <c r="J32" s="72" t="str">
        <f t="shared" si="3"/>
        <v>GETNET</v>
      </c>
      <c r="K32" s="71"/>
      <c r="L32" s="70" t="str">
        <f t="shared" si="3"/>
        <v>CIELO</v>
      </c>
      <c r="M32" s="72" t="str">
        <f t="shared" si="3"/>
        <v>REDE</v>
      </c>
      <c r="N32" s="71"/>
      <c r="O32" s="70" t="str">
        <f t="shared" si="3"/>
        <v>CIELO</v>
      </c>
      <c r="P32" s="73" t="str">
        <f t="shared" si="3"/>
        <v>FISERV</v>
      </c>
      <c r="Q32" s="74"/>
      <c r="R32" s="70" t="str">
        <f t="shared" si="3"/>
        <v>CIELO</v>
      </c>
      <c r="S32" s="72" t="str">
        <f t="shared" si="3"/>
        <v>SAFRAPAY</v>
      </c>
      <c r="T32" s="71"/>
      <c r="U32" s="70" t="str">
        <f t="shared" si="3"/>
        <v>CIELO</v>
      </c>
      <c r="V32" s="73" t="str">
        <f t="shared" si="3"/>
        <v>CIELO</v>
      </c>
    </row>
    <row r="33" spans="1:22" x14ac:dyDescent="0.2">
      <c r="A33" s="56" t="s">
        <v>24</v>
      </c>
      <c r="B33" s="57">
        <f>SMALL(B21:B27,3)</f>
        <v>1.9900000000000001E-2</v>
      </c>
      <c r="C33" s="58">
        <f t="shared" ref="C33:V33" si="4">SMALL(C21:C27,3)</f>
        <v>9757100.7899999991</v>
      </c>
      <c r="D33" s="58">
        <f t="shared" si="4"/>
        <v>194166.30572100001</v>
      </c>
      <c r="E33" s="59">
        <f t="shared" si="4"/>
        <v>1.35E-2</v>
      </c>
      <c r="F33" s="58">
        <f t="shared" si="4"/>
        <v>24901895.409999799</v>
      </c>
      <c r="G33" s="60">
        <f t="shared" si="4"/>
        <v>336175.58803499799</v>
      </c>
      <c r="H33" s="59">
        <f t="shared" si="4"/>
        <v>1.4200000000000001E-2</v>
      </c>
      <c r="I33" s="58">
        <f t="shared" si="4"/>
        <v>693451.61</v>
      </c>
      <c r="J33" s="60">
        <f t="shared" si="4"/>
        <v>9847.0128619999996</v>
      </c>
      <c r="K33" s="59">
        <f t="shared" si="4"/>
        <v>1.4800000000000001E-2</v>
      </c>
      <c r="L33" s="58">
        <f t="shared" si="4"/>
        <v>303948221.66000003</v>
      </c>
      <c r="M33" s="60">
        <f t="shared" si="4"/>
        <v>4498433.6805680003</v>
      </c>
      <c r="N33" s="59">
        <f t="shared" si="4"/>
        <v>1.29E-2</v>
      </c>
      <c r="O33" s="58">
        <f t="shared" si="4"/>
        <v>229859655.42001101</v>
      </c>
      <c r="P33" s="61">
        <f t="shared" si="4"/>
        <v>2965189.55491815</v>
      </c>
      <c r="Q33" s="57">
        <f t="shared" si="4"/>
        <v>6.7999999999999996E-3</v>
      </c>
      <c r="R33" s="58">
        <f t="shared" si="4"/>
        <v>47442433.969999902</v>
      </c>
      <c r="S33" s="60">
        <f t="shared" si="4"/>
        <v>322608.55099599902</v>
      </c>
      <c r="T33" s="59">
        <f t="shared" si="4"/>
        <v>7.1999999999999998E-3</v>
      </c>
      <c r="U33" s="58">
        <f t="shared" si="4"/>
        <v>161943127.77001601</v>
      </c>
      <c r="V33" s="61">
        <f t="shared" si="4"/>
        <v>1165990.51994411</v>
      </c>
    </row>
    <row r="34" spans="1:22" s="41" customFormat="1" ht="13.5" thickBot="1" x14ac:dyDescent="0.25">
      <c r="A34" s="75"/>
      <c r="B34" s="76"/>
      <c r="C34" s="77"/>
      <c r="D34" s="77" t="str">
        <f>IF(D33=D$21,$A$21,IF(D33=D$22,$A$22,IF(D33=D$23,$A$23,IF(D33=D$24,$A$24,IF(D33=D$25,$A$25,IF(D33=D$26,$A$26,IF(D33=D$27,$A$27,"Verificar")))))))</f>
        <v>GETNET</v>
      </c>
      <c r="E34" s="78"/>
      <c r="F34" s="77" t="str">
        <f t="shared" ref="F34:V34" si="5">IF(F33=F$21,$A$21,IF(F33=F$22,$A$22,IF(F33=F$23,$A$23,IF(F33=F$24,$A$24,IF(F33=F$25,$A$25,IF(F33=F$26,$A$26,IF(F33=F$27,$A$27,"Verificar")))))))</f>
        <v>CIELO</v>
      </c>
      <c r="G34" s="79" t="str">
        <f t="shared" si="5"/>
        <v>SAFRAPAY</v>
      </c>
      <c r="H34" s="78"/>
      <c r="I34" s="77" t="str">
        <f t="shared" si="5"/>
        <v>CIELO</v>
      </c>
      <c r="J34" s="79" t="str">
        <f t="shared" si="5"/>
        <v>CIELO</v>
      </c>
      <c r="K34" s="78"/>
      <c r="L34" s="77" t="str">
        <f t="shared" si="5"/>
        <v>CIELO</v>
      </c>
      <c r="M34" s="79" t="str">
        <f t="shared" si="5"/>
        <v>GETNET</v>
      </c>
      <c r="N34" s="78"/>
      <c r="O34" s="77" t="str">
        <f t="shared" si="5"/>
        <v>CIELO</v>
      </c>
      <c r="P34" s="80" t="str">
        <f t="shared" si="5"/>
        <v>REDE</v>
      </c>
      <c r="Q34" s="81"/>
      <c r="R34" s="77" t="str">
        <f t="shared" si="5"/>
        <v>CIELO</v>
      </c>
      <c r="S34" s="79" t="str">
        <f t="shared" si="5"/>
        <v>FISERV</v>
      </c>
      <c r="T34" s="78"/>
      <c r="U34" s="77" t="str">
        <f t="shared" si="5"/>
        <v>CIELO</v>
      </c>
      <c r="V34" s="80" t="str">
        <f t="shared" si="5"/>
        <v>CIELO</v>
      </c>
    </row>
    <row r="38" spans="1:22" x14ac:dyDescent="0.2">
      <c r="B38" s="82" t="s">
        <v>22</v>
      </c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</sheetData>
  <mergeCells count="26">
    <mergeCell ref="Q18:S18"/>
    <mergeCell ref="T18:V18"/>
    <mergeCell ref="B38:Q38"/>
    <mergeCell ref="B18:D18"/>
    <mergeCell ref="E18:G18"/>
    <mergeCell ref="H18:J18"/>
    <mergeCell ref="K18:M18"/>
    <mergeCell ref="N18:P18"/>
    <mergeCell ref="B16:P16"/>
    <mergeCell ref="Q16:V16"/>
    <mergeCell ref="B17:D17"/>
    <mergeCell ref="E17:G17"/>
    <mergeCell ref="H17:J17"/>
    <mergeCell ref="K17:M17"/>
    <mergeCell ref="N17:P17"/>
    <mergeCell ref="Q17:S17"/>
    <mergeCell ref="T17:V17"/>
    <mergeCell ref="B1:P1"/>
    <mergeCell ref="Q1:V1"/>
    <mergeCell ref="B2:D2"/>
    <mergeCell ref="E2:G2"/>
    <mergeCell ref="H2:J2"/>
    <mergeCell ref="K2:M2"/>
    <mergeCell ref="N2:P2"/>
    <mergeCell ref="Q2:S2"/>
    <mergeCell ref="T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Silva Teixeira</dc:creator>
  <cp:keywords/>
  <dc:description/>
  <cp:lastModifiedBy>Patricia Silva Teixeira</cp:lastModifiedBy>
  <dcterms:created xsi:type="dcterms:W3CDTF">2025-03-05T14:54:21Z</dcterms:created>
  <dcterms:modified xsi:type="dcterms:W3CDTF">2025-03-05T14:55:50Z</dcterms:modified>
  <cp:category/>
</cp:coreProperties>
</file>