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xr:revisionPtr revIDLastSave="0" documentId="8_{9ABA9156-2275-4EE2-B109-9D4CEB4E1997}" xr6:coauthVersionLast="47" xr6:coauthVersionMax="47" xr10:uidLastSave="{00000000-0000-0000-0000-000000000000}"/>
  <bookViews>
    <workbookView xWindow="-28920" yWindow="-4815" windowWidth="29040" windowHeight="15840" activeTab="1" xr2:uid="{00000000-000D-0000-FFFF-FFFF00000000}"/>
  </bookViews>
  <sheets>
    <sheet name="Dados do BI" sheetId="1" r:id="rId1"/>
    <sheet name="Resumo" sheetId="2" r:id="rId2"/>
  </sheets>
  <calcPr calcId="181029"/>
</workbook>
</file>

<file path=xl/calcChain.xml><?xml version="1.0" encoding="utf-8"?>
<calcChain xmlns="http://schemas.openxmlformats.org/spreadsheetml/2006/main">
  <c r="N61" i="2" l="1"/>
  <c r="L61" i="2"/>
  <c r="J61" i="2"/>
  <c r="H61" i="2"/>
  <c r="F61" i="2"/>
  <c r="D61" i="2"/>
  <c r="B61" i="2"/>
  <c r="N59" i="2"/>
  <c r="L59" i="2"/>
  <c r="J59" i="2"/>
  <c r="H59" i="2"/>
  <c r="F59" i="2"/>
  <c r="D59" i="2"/>
  <c r="B59" i="2"/>
  <c r="N57" i="2"/>
  <c r="L57" i="2"/>
  <c r="J57" i="2"/>
  <c r="H57" i="2"/>
  <c r="F57" i="2"/>
  <c r="D57" i="2"/>
  <c r="B57" i="2"/>
  <c r="H25" i="2"/>
  <c r="H46" i="2" s="1"/>
  <c r="I55" i="2" s="1"/>
  <c r="A32" i="2"/>
  <c r="A53" i="2" s="1"/>
  <c r="A33" i="2"/>
  <c r="A54" i="2" s="1"/>
  <c r="N40" i="2"/>
  <c r="F40" i="2"/>
  <c r="J38" i="2"/>
  <c r="I30" i="2"/>
  <c r="N36" i="2"/>
  <c r="L40" i="2"/>
  <c r="J36" i="2"/>
  <c r="H36" i="2"/>
  <c r="F36" i="2"/>
  <c r="D40" i="2"/>
  <c r="B40" i="2"/>
  <c r="I13" i="2"/>
  <c r="I12" i="2"/>
  <c r="G12" i="2"/>
  <c r="I11" i="2"/>
  <c r="G11" i="2"/>
  <c r="E11" i="2"/>
  <c r="E10" i="2"/>
  <c r="C10" i="2"/>
  <c r="E9" i="2"/>
  <c r="C9" i="2"/>
  <c r="O8" i="2"/>
  <c r="C8" i="2"/>
  <c r="O7" i="2"/>
  <c r="M7" i="2"/>
  <c r="N4" i="2"/>
  <c r="N25" i="2" s="1"/>
  <c r="L4" i="2"/>
  <c r="M9" i="2" s="1"/>
  <c r="J4" i="2"/>
  <c r="K9" i="2" s="1"/>
  <c r="H4" i="2"/>
  <c r="I8" i="2" s="1"/>
  <c r="F4" i="2"/>
  <c r="G7" i="2" s="1"/>
  <c r="D4" i="2"/>
  <c r="E7" i="2" s="1"/>
  <c r="B4" i="2"/>
  <c r="B25" i="2" s="1"/>
  <c r="B7" i="2"/>
  <c r="D7" i="2"/>
  <c r="F7" i="2"/>
  <c r="H7" i="2"/>
  <c r="I7" i="2" s="1"/>
  <c r="J7" i="2"/>
  <c r="L7" i="2"/>
  <c r="N7" i="2"/>
  <c r="B8" i="2"/>
  <c r="D8" i="2"/>
  <c r="F8" i="2"/>
  <c r="H8" i="2"/>
  <c r="J8" i="2"/>
  <c r="L8" i="2"/>
  <c r="N8" i="2"/>
  <c r="B9" i="2"/>
  <c r="D9" i="2"/>
  <c r="F9" i="2"/>
  <c r="H9" i="2"/>
  <c r="J9" i="2"/>
  <c r="L9" i="2"/>
  <c r="N9" i="2"/>
  <c r="B10" i="2"/>
  <c r="D10" i="2"/>
  <c r="F10" i="2"/>
  <c r="H10" i="2"/>
  <c r="J10" i="2"/>
  <c r="L10" i="2"/>
  <c r="N10" i="2"/>
  <c r="B11" i="2"/>
  <c r="D11" i="2"/>
  <c r="F11" i="2"/>
  <c r="H11" i="2"/>
  <c r="J11" i="2"/>
  <c r="L11" i="2"/>
  <c r="N11" i="2"/>
  <c r="B12" i="2"/>
  <c r="C12" i="2" s="1"/>
  <c r="D12" i="2"/>
  <c r="F12" i="2"/>
  <c r="H12" i="2"/>
  <c r="J12" i="2"/>
  <c r="L12" i="2"/>
  <c r="N12" i="2"/>
  <c r="B13" i="2"/>
  <c r="D13" i="2"/>
  <c r="E13" i="2" s="1"/>
  <c r="F13" i="2"/>
  <c r="H13" i="2"/>
  <c r="J13" i="2"/>
  <c r="L13" i="2"/>
  <c r="N13" i="2"/>
  <c r="A8" i="2"/>
  <c r="A29" i="2" s="1"/>
  <c r="A50" i="2" s="1"/>
  <c r="A9" i="2"/>
  <c r="A30" i="2" s="1"/>
  <c r="A51" i="2" s="1"/>
  <c r="A10" i="2"/>
  <c r="A31" i="2" s="1"/>
  <c r="A52" i="2" s="1"/>
  <c r="A11" i="2"/>
  <c r="A12" i="2"/>
  <c r="A13" i="2"/>
  <c r="A34" i="2" s="1"/>
  <c r="A55" i="2" s="1"/>
  <c r="A7" i="2"/>
  <c r="A28" i="2" s="1"/>
  <c r="A49" i="2" s="1"/>
  <c r="C33" i="2" l="1"/>
  <c r="B46" i="2"/>
  <c r="C55" i="2" s="1"/>
  <c r="O28" i="2"/>
  <c r="O29" i="2"/>
  <c r="N46" i="2"/>
  <c r="O54" i="2" s="1"/>
  <c r="K8" i="2"/>
  <c r="O10" i="2"/>
  <c r="K7" i="2"/>
  <c r="M8" i="2"/>
  <c r="O9" i="2"/>
  <c r="C11" i="2"/>
  <c r="E12" i="2"/>
  <c r="G13" i="2"/>
  <c r="I29" i="2"/>
  <c r="L25" i="2"/>
  <c r="F25" i="2"/>
  <c r="M13" i="2"/>
  <c r="C7" i="2"/>
  <c r="E8" i="2"/>
  <c r="G9" i="2"/>
  <c r="I10" i="2"/>
  <c r="K11" i="2"/>
  <c r="M12" i="2"/>
  <c r="O13" i="2"/>
  <c r="D25" i="2"/>
  <c r="K13" i="2"/>
  <c r="K12" i="2"/>
  <c r="G8" i="2"/>
  <c r="I9" i="2"/>
  <c r="K10" i="2"/>
  <c r="M11" i="2"/>
  <c r="O12" i="2"/>
  <c r="J25" i="2"/>
  <c r="G10" i="2"/>
  <c r="M10" i="2"/>
  <c r="O11" i="2"/>
  <c r="C13" i="2"/>
  <c r="I31" i="2"/>
  <c r="O52" i="2"/>
  <c r="O55" i="2"/>
  <c r="C49" i="2"/>
  <c r="C50" i="2"/>
  <c r="C51" i="2"/>
  <c r="C52" i="2"/>
  <c r="C53" i="2"/>
  <c r="C54" i="2"/>
  <c r="I49" i="2"/>
  <c r="I50" i="2"/>
  <c r="I51" i="2"/>
  <c r="I52" i="2"/>
  <c r="I53" i="2"/>
  <c r="I54" i="2"/>
  <c r="K32" i="2"/>
  <c r="K33" i="2"/>
  <c r="C31" i="2"/>
  <c r="C32" i="2"/>
  <c r="K31" i="2"/>
  <c r="M33" i="2"/>
  <c r="I28" i="2"/>
  <c r="C30" i="2"/>
  <c r="K30" i="2"/>
  <c r="E32" i="2"/>
  <c r="O34" i="2"/>
  <c r="D38" i="2"/>
  <c r="L38" i="2"/>
  <c r="B38" i="2"/>
  <c r="C28" i="2"/>
  <c r="K28" i="2"/>
  <c r="E30" i="2"/>
  <c r="O32" i="2"/>
  <c r="I34" i="2"/>
  <c r="F38" i="2"/>
  <c r="N38" i="2"/>
  <c r="B36" i="2"/>
  <c r="H40" i="2"/>
  <c r="E29" i="2"/>
  <c r="M29" i="2"/>
  <c r="O31" i="2"/>
  <c r="I33" i="2"/>
  <c r="D36" i="2"/>
  <c r="L36" i="2"/>
  <c r="J40" i="2"/>
  <c r="M34" i="2"/>
  <c r="C29" i="2"/>
  <c r="O30" i="2"/>
  <c r="I32" i="2"/>
  <c r="C34" i="2"/>
  <c r="K34" i="2"/>
  <c r="H38" i="2"/>
  <c r="O33" i="2"/>
  <c r="J15" i="2"/>
  <c r="J19" i="2"/>
  <c r="B15" i="2"/>
  <c r="H19" i="2"/>
  <c r="L17" i="2"/>
  <c r="F17" i="2"/>
  <c r="L19" i="2"/>
  <c r="J17" i="2"/>
  <c r="L15" i="2"/>
  <c r="D19" i="2"/>
  <c r="N19" i="2"/>
  <c r="B17" i="2"/>
  <c r="H17" i="2"/>
  <c r="F15" i="2"/>
  <c r="N17" i="2"/>
  <c r="F19" i="2"/>
  <c r="B19" i="2"/>
  <c r="H15" i="2"/>
  <c r="N15" i="2"/>
  <c r="D17" i="2"/>
  <c r="D15" i="2"/>
  <c r="O50" i="2" l="1"/>
  <c r="O51" i="2"/>
  <c r="G33" i="2"/>
  <c r="F46" i="2"/>
  <c r="M28" i="2"/>
  <c r="L46" i="2"/>
  <c r="M30" i="2"/>
  <c r="G34" i="2"/>
  <c r="M32" i="2"/>
  <c r="G32" i="2"/>
  <c r="G36" i="2" s="1"/>
  <c r="G37" i="2" s="1"/>
  <c r="M31" i="2"/>
  <c r="G29" i="2"/>
  <c r="O49" i="2"/>
  <c r="O57" i="2" s="1"/>
  <c r="O58" i="2" s="1"/>
  <c r="G30" i="2"/>
  <c r="G31" i="2"/>
  <c r="G28" i="2"/>
  <c r="O53" i="2"/>
  <c r="K29" i="2"/>
  <c r="K40" i="2" s="1"/>
  <c r="K41" i="2" s="1"/>
  <c r="J46" i="2"/>
  <c r="E33" i="2"/>
  <c r="D46" i="2"/>
  <c r="E28" i="2"/>
  <c r="E34" i="2"/>
  <c r="E31" i="2"/>
  <c r="E40" i="2" s="1"/>
  <c r="E41" i="2" s="1"/>
  <c r="M36" i="2"/>
  <c r="M37" i="2" s="1"/>
  <c r="I59" i="2"/>
  <c r="I60" i="2" s="1"/>
  <c r="I61" i="2"/>
  <c r="I62" i="2" s="1"/>
  <c r="I57" i="2"/>
  <c r="I58" i="2" s="1"/>
  <c r="C59" i="2"/>
  <c r="C60" i="2" s="1"/>
  <c r="C61" i="2"/>
  <c r="C62" i="2" s="1"/>
  <c r="C57" i="2"/>
  <c r="C58" i="2" s="1"/>
  <c r="O36" i="2"/>
  <c r="O37" i="2" s="1"/>
  <c r="E38" i="2"/>
  <c r="E39" i="2" s="1"/>
  <c r="O40" i="2"/>
  <c r="O41" i="2" s="1"/>
  <c r="I38" i="2"/>
  <c r="I39" i="2" s="1"/>
  <c r="I40" i="2"/>
  <c r="I41" i="2" s="1"/>
  <c r="I36" i="2"/>
  <c r="I37" i="2" s="1"/>
  <c r="O38" i="2"/>
  <c r="O39" i="2" s="1"/>
  <c r="C40" i="2"/>
  <c r="C41" i="2" s="1"/>
  <c r="C38" i="2"/>
  <c r="C39" i="2" s="1"/>
  <c r="C36" i="2"/>
  <c r="C37" i="2" s="1"/>
  <c r="C19" i="2"/>
  <c r="C20" i="2" s="1"/>
  <c r="C17" i="2"/>
  <c r="C18" i="2" s="1"/>
  <c r="K15" i="2"/>
  <c r="K16" i="2" s="1"/>
  <c r="E19" i="2"/>
  <c r="E20" i="2" s="1"/>
  <c r="C15" i="2"/>
  <c r="C16" i="2" s="1"/>
  <c r="E15" i="2"/>
  <c r="E16" i="2" s="1"/>
  <c r="K17" i="2"/>
  <c r="K18" i="2" s="1"/>
  <c r="E17" i="2"/>
  <c r="E18" i="2" s="1"/>
  <c r="K19" i="2"/>
  <c r="K20" i="2" s="1"/>
  <c r="Q4" i="2"/>
  <c r="O59" i="2" l="1"/>
  <c r="O60" i="2" s="1"/>
  <c r="O61" i="2"/>
  <c r="O62" i="2" s="1"/>
  <c r="E36" i="2"/>
  <c r="E37" i="2" s="1"/>
  <c r="G40" i="2"/>
  <c r="G41" i="2" s="1"/>
  <c r="M40" i="2"/>
  <c r="M41" i="2" s="1"/>
  <c r="K38" i="2"/>
  <c r="K39" i="2" s="1"/>
  <c r="K36" i="2"/>
  <c r="K37" i="2" s="1"/>
  <c r="M38" i="2"/>
  <c r="M39" i="2" s="1"/>
  <c r="G38" i="2"/>
  <c r="G39" i="2" s="1"/>
  <c r="M55" i="2"/>
  <c r="M53" i="2"/>
  <c r="M49" i="2"/>
  <c r="M50" i="2"/>
  <c r="M51" i="2"/>
  <c r="M52" i="2"/>
  <c r="M54" i="2"/>
  <c r="E49" i="2"/>
  <c r="E55" i="2"/>
  <c r="E54" i="2"/>
  <c r="E53" i="2"/>
  <c r="E50" i="2"/>
  <c r="E51" i="2"/>
  <c r="E52" i="2"/>
  <c r="G52" i="2"/>
  <c r="G49" i="2"/>
  <c r="G51" i="2"/>
  <c r="G53" i="2"/>
  <c r="G54" i="2"/>
  <c r="G50" i="2"/>
  <c r="G55" i="2"/>
  <c r="K55" i="2"/>
  <c r="K52" i="2"/>
  <c r="K53" i="2"/>
  <c r="K54" i="2"/>
  <c r="K50" i="2"/>
  <c r="K51" i="2"/>
  <c r="K49" i="2"/>
  <c r="O19" i="2"/>
  <c r="O20" i="2" s="1"/>
  <c r="O17" i="2"/>
  <c r="O18" i="2" s="1"/>
  <c r="O15" i="2"/>
  <c r="O16" i="2" s="1"/>
  <c r="M17" i="2"/>
  <c r="M18" i="2" s="1"/>
  <c r="M15" i="2"/>
  <c r="M16" i="2" s="1"/>
  <c r="M19" i="2"/>
  <c r="M20" i="2" s="1"/>
  <c r="I17" i="2"/>
  <c r="I18" i="2" s="1"/>
  <c r="I15" i="2"/>
  <c r="I16" i="2" s="1"/>
  <c r="I19" i="2"/>
  <c r="I20" i="2" s="1"/>
  <c r="G17" i="2"/>
  <c r="G18" i="2" s="1"/>
  <c r="G19" i="2"/>
  <c r="G20" i="2" s="1"/>
  <c r="G15" i="2"/>
  <c r="G16" i="2" s="1"/>
  <c r="M61" i="2" l="1"/>
  <c r="M62" i="2" s="1"/>
  <c r="M57" i="2"/>
  <c r="M58" i="2" s="1"/>
  <c r="M59" i="2"/>
  <c r="M60" i="2" s="1"/>
  <c r="K57" i="2"/>
  <c r="K58" i="2" s="1"/>
  <c r="K61" i="2"/>
  <c r="K62" i="2" s="1"/>
  <c r="K59" i="2"/>
  <c r="K60" i="2" s="1"/>
  <c r="G57" i="2"/>
  <c r="G58" i="2" s="1"/>
  <c r="G59" i="2"/>
  <c r="G60" i="2" s="1"/>
  <c r="G61" i="2"/>
  <c r="G62" i="2" s="1"/>
  <c r="E57" i="2"/>
  <c r="E58" i="2" s="1"/>
  <c r="E59" i="2"/>
  <c r="E60" i="2" s="1"/>
  <c r="E61" i="2"/>
  <c r="E62" i="2" s="1"/>
</calcChain>
</file>

<file path=xl/sharedStrings.xml><?xml version="1.0" encoding="utf-8"?>
<sst xmlns="http://schemas.openxmlformats.org/spreadsheetml/2006/main" count="222" uniqueCount="30">
  <si>
    <t>if(CODESPECIE_PROPOSAL = 'CARDEB','Débito','Credito')</t>
  </si>
  <si>
    <t>Credito</t>
  </si>
  <si>
    <t>Débito</t>
  </si>
  <si>
    <t>BANDEIRA_PROPOSAL</t>
  </si>
  <si>
    <t>AMERICAN EXPRESS</t>
  </si>
  <si>
    <t>ELO</t>
  </si>
  <si>
    <t>HIPERCARD</t>
  </si>
  <si>
    <t>MASTERCARD</t>
  </si>
  <si>
    <t>VISA</t>
  </si>
  <si>
    <t>ADQUIRENTE</t>
  </si>
  <si>
    <t>Taxas (%)</t>
  </si>
  <si>
    <t>Total</t>
  </si>
  <si>
    <t>Taxa R$</t>
  </si>
  <si>
    <t>CIELO</t>
  </si>
  <si>
    <t>FISERV</t>
  </si>
  <si>
    <t>GETNET</t>
  </si>
  <si>
    <t>REDE</t>
  </si>
  <si>
    <t>SAFRAPAY</t>
  </si>
  <si>
    <t>STONE</t>
  </si>
  <si>
    <t>SUMUP</t>
  </si>
  <si>
    <t>TOTAL</t>
  </si>
  <si>
    <t>Total de vendas</t>
  </si>
  <si>
    <t>2º melhor cenário</t>
  </si>
  <si>
    <t>3º melhor cenário</t>
  </si>
  <si>
    <t>1º Melhor cenário</t>
  </si>
  <si>
    <t>Taxa R</t>
  </si>
  <si>
    <t>Colar a planilha do BI - Se alterar manualmente as taxas, muda no resumo</t>
  </si>
  <si>
    <t>Cotação 1</t>
  </si>
  <si>
    <t>Cotação 2</t>
  </si>
  <si>
    <t>Proposta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</si>
</sst>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\R\$#,##0.00;\-\R\$#,##0.00"/>
    <numFmt numFmtId="167" formatCode="_-&quot;R$&quot;\ * #,##0.00_-;\-&quot;R$&quot;\ * #,##0.00_-;_-&quot;R$&quot;\ * &quot;-&quot;??_-;_-@_-"/>
    <numFmt numFmtId="169" formatCode="#,##0.00_ ;\-#,##0.00\ 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91">
    <xf numFmtId="0" fontId="0" fillId="0" borderId="0" xfId="0"/>
    <xf numFmtId="10" fontId="0" fillId="2" borderId="0" xfId="0" applyNumberFormat="1" applyFill="1"/>
    <xf numFmtId="164" fontId="0" fillId="0" borderId="0" xfId="0" applyNumberFormat="1"/>
    <xf numFmtId="10" fontId="0" fillId="3" borderId="0" xfId="0" applyNumberFormat="1" applyFill="1"/>
    <xf numFmtId="10" fontId="0" fillId="4" borderId="0" xfId="0" applyNumberFormat="1" applyFill="1"/>
    <xf numFmtId="0" fontId="0" fillId="0" borderId="0" xfId="0"/>
    <xf numFmtId="0" fontId="2" fillId="0" borderId="0" xfId="0" applyFont="1"/>
    <xf numFmtId="0" fontId="0" fillId="0" borderId="0" xfId="0" applyFill="1"/>
    <xf numFmtId="10" fontId="0" fillId="0" borderId="13" xfId="0" applyNumberFormat="1" applyFill="1" applyBorder="1"/>
    <xf numFmtId="164" fontId="0" fillId="0" borderId="5" xfId="0" applyNumberFormat="1" applyFill="1" applyBorder="1"/>
    <xf numFmtId="164" fontId="0" fillId="0" borderId="14" xfId="0" applyNumberFormat="1" applyFill="1" applyBorder="1"/>
    <xf numFmtId="10" fontId="0" fillId="0" borderId="15" xfId="0" applyNumberFormat="1" applyFill="1" applyBorder="1"/>
    <xf numFmtId="164" fontId="0" fillId="0" borderId="17" xfId="0" applyNumberFormat="1" applyFill="1" applyBorder="1"/>
    <xf numFmtId="10" fontId="0" fillId="0" borderId="16" xfId="0" applyNumberFormat="1" applyFill="1" applyBorder="1"/>
    <xf numFmtId="164" fontId="0" fillId="0" borderId="19" xfId="0" applyNumberFormat="1" applyFill="1" applyBorder="1"/>
    <xf numFmtId="0" fontId="0" fillId="0" borderId="0" xfId="0"/>
    <xf numFmtId="0" fontId="0" fillId="0" borderId="5" xfId="0" applyBorder="1"/>
    <xf numFmtId="164" fontId="0" fillId="0" borderId="5" xfId="0" applyNumberForma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0" fontId="0" fillId="0" borderId="14" xfId="0" applyBorder="1"/>
    <xf numFmtId="0" fontId="0" fillId="0" borderId="13" xfId="0" applyBorder="1"/>
    <xf numFmtId="0" fontId="2" fillId="0" borderId="0" xfId="0" applyFont="1"/>
    <xf numFmtId="0" fontId="2" fillId="0" borderId="24" xfId="0" applyFont="1" applyBorder="1"/>
    <xf numFmtId="0" fontId="0" fillId="0" borderId="28" xfId="0" applyBorder="1"/>
    <xf numFmtId="0" fontId="0" fillId="0" borderId="28" xfId="0" applyFill="1" applyBorder="1"/>
    <xf numFmtId="0" fontId="0" fillId="0" borderId="27" xfId="0" applyFill="1" applyBorder="1"/>
    <xf numFmtId="0" fontId="0" fillId="6" borderId="28" xfId="0" applyFill="1" applyBorder="1"/>
    <xf numFmtId="0" fontId="0" fillId="6" borderId="13" xfId="0" applyFill="1" applyBorder="1"/>
    <xf numFmtId="0" fontId="0" fillId="6" borderId="5" xfId="0" applyFill="1" applyBorder="1"/>
    <xf numFmtId="0" fontId="0" fillId="6" borderId="14" xfId="0" applyFill="1" applyBorder="1"/>
    <xf numFmtId="164" fontId="0" fillId="0" borderId="0" xfId="0" applyNumberFormat="1" applyBorder="1" applyAlignment="1">
      <alignment horizontal="center"/>
    </xf>
    <xf numFmtId="0" fontId="0" fillId="0" borderId="0" xfId="0" applyBorder="1"/>
    <xf numFmtId="0" fontId="0" fillId="6" borderId="0" xfId="0" applyFill="1" applyBorder="1"/>
    <xf numFmtId="10" fontId="0" fillId="0" borderId="0" xfId="0" applyNumberFormat="1" applyFill="1" applyBorder="1"/>
    <xf numFmtId="0" fontId="2" fillId="6" borderId="24" xfId="0" applyFont="1" applyFill="1" applyBorder="1"/>
    <xf numFmtId="0" fontId="2" fillId="6" borderId="11" xfId="0" applyFont="1" applyFill="1" applyBorder="1"/>
    <xf numFmtId="0" fontId="2" fillId="6" borderId="2" xfId="0" applyFont="1" applyFill="1" applyBorder="1"/>
    <xf numFmtId="0" fontId="2" fillId="6" borderId="3" xfId="0" applyFont="1" applyFill="1" applyBorder="1"/>
    <xf numFmtId="0" fontId="2" fillId="6" borderId="12" xfId="0" applyFont="1" applyFill="1" applyBorder="1"/>
    <xf numFmtId="164" fontId="0" fillId="0" borderId="13" xfId="0" applyNumberForma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0" fillId="0" borderId="14" xfId="0" applyNumberFormat="1" applyFill="1" applyBorder="1" applyAlignment="1">
      <alignment horizontal="center"/>
    </xf>
    <xf numFmtId="0" fontId="0" fillId="7" borderId="8" xfId="0" applyFill="1" applyBorder="1"/>
    <xf numFmtId="0" fontId="0" fillId="7" borderId="9" xfId="0" applyFill="1" applyBorder="1"/>
    <xf numFmtId="0" fontId="0" fillId="7" borderId="10" xfId="0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44" fontId="2" fillId="5" borderId="22" xfId="2" applyFont="1" applyFill="1" applyBorder="1"/>
    <xf numFmtId="44" fontId="2" fillId="5" borderId="7" xfId="2" applyFont="1" applyFill="1" applyBorder="1"/>
    <xf numFmtId="44" fontId="2" fillId="5" borderId="6" xfId="2" applyFont="1" applyFill="1" applyBorder="1"/>
    <xf numFmtId="44" fontId="2" fillId="5" borderId="23" xfId="2" applyFont="1" applyFill="1" applyBorder="1"/>
    <xf numFmtId="44" fontId="2" fillId="5" borderId="15" xfId="2" applyFont="1" applyFill="1" applyBorder="1"/>
    <xf numFmtId="44" fontId="2" fillId="5" borderId="16" xfId="2" applyFont="1" applyFill="1" applyBorder="1"/>
    <xf numFmtId="44" fontId="2" fillId="5" borderId="18" xfId="2" applyFont="1" applyFill="1" applyBorder="1"/>
    <xf numFmtId="44" fontId="2" fillId="5" borderId="19" xfId="2" applyFont="1" applyFill="1" applyBorder="1"/>
    <xf numFmtId="10" fontId="2" fillId="7" borderId="22" xfId="1" applyNumberFormat="1" applyFont="1" applyFill="1" applyBorder="1"/>
    <xf numFmtId="44" fontId="2" fillId="7" borderId="7" xfId="2" applyFont="1" applyFill="1" applyBorder="1"/>
    <xf numFmtId="44" fontId="2" fillId="7" borderId="6" xfId="2" applyFont="1" applyFill="1" applyBorder="1"/>
    <xf numFmtId="10" fontId="2" fillId="7" borderId="15" xfId="1" applyNumberFormat="1" applyFont="1" applyFill="1" applyBorder="1"/>
    <xf numFmtId="44" fontId="2" fillId="7" borderId="16" xfId="2" applyFont="1" applyFill="1" applyBorder="1"/>
    <xf numFmtId="44" fontId="2" fillId="7" borderId="18" xfId="2" applyFont="1" applyFill="1" applyBorder="1"/>
    <xf numFmtId="0" fontId="0" fillId="6" borderId="24" xfId="0" applyFill="1" applyBorder="1"/>
    <xf numFmtId="0" fontId="2" fillId="6" borderId="25" xfId="0" applyFont="1" applyFill="1" applyBorder="1"/>
    <xf numFmtId="0" fontId="0" fillId="6" borderId="26" xfId="0" applyFill="1" applyBorder="1"/>
    <xf numFmtId="0" fontId="2" fillId="6" borderId="27" xfId="0" applyFont="1" applyFill="1" applyBorder="1"/>
    <xf numFmtId="10" fontId="0" fillId="6" borderId="8" xfId="1" applyNumberFormat="1" applyFont="1" applyFill="1" applyBorder="1"/>
    <xf numFmtId="44" fontId="0" fillId="6" borderId="9" xfId="2" applyFont="1" applyFill="1" applyBorder="1"/>
    <xf numFmtId="10" fontId="0" fillId="6" borderId="21" xfId="1" applyNumberFormat="1" applyFont="1" applyFill="1" applyBorder="1"/>
    <xf numFmtId="44" fontId="0" fillId="6" borderId="20" xfId="2" applyFont="1" applyFill="1" applyBorder="1"/>
    <xf numFmtId="44" fontId="0" fillId="6" borderId="10" xfId="2" applyFont="1" applyFill="1" applyBorder="1"/>
    <xf numFmtId="10" fontId="0" fillId="6" borderId="11" xfId="1" applyNumberFormat="1" applyFont="1" applyFill="1" applyBorder="1"/>
    <xf numFmtId="44" fontId="0" fillId="6" borderId="2" xfId="2" applyFont="1" applyFill="1" applyBorder="1"/>
    <xf numFmtId="10" fontId="0" fillId="6" borderId="1" xfId="1" applyNumberFormat="1" applyFont="1" applyFill="1" applyBorder="1"/>
    <xf numFmtId="44" fontId="0" fillId="6" borderId="3" xfId="2" applyFont="1" applyFill="1" applyBorder="1"/>
    <xf numFmtId="44" fontId="0" fillId="6" borderId="12" xfId="2" applyFont="1" applyFill="1" applyBorder="1"/>
    <xf numFmtId="169" fontId="0" fillId="0" borderId="0" xfId="0" applyNumberFormat="1" applyFill="1"/>
    <xf numFmtId="44" fontId="0" fillId="6" borderId="27" xfId="2" applyFont="1" applyFill="1" applyBorder="1"/>
    <xf numFmtId="0" fontId="0" fillId="8" borderId="0" xfId="0" applyFill="1"/>
    <xf numFmtId="0" fontId="0" fillId="8" borderId="0" xfId="0" applyFill="1"/>
    <xf numFmtId="164" fontId="0" fillId="0" borderId="4" xfId="0" applyNumberFormat="1" applyFill="1" applyBorder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</cellXfs>
  <cellStyles count="4">
    <cellStyle name="Moeda" xfId="2" builtinId="4"/>
    <cellStyle name="Moeda 2" xfId="3" xr:uid="{5C322803-0B43-4830-B102-C93FA55FABF6}"/>
    <cellStyle name="Normal" xfId="0" builtinId="0"/>
    <cellStyle name="Porcentagem" xfId="1" builtinId="5"/>
  </cellStyles>
  <dxfs count="5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1776B-317C-482E-BC5B-744495560D48}">
  <dimension ref="A1:V13"/>
  <sheetViews>
    <sheetView workbookViewId="0">
      <selection activeCell="L23" sqref="L23"/>
    </sheetView>
  </sheetViews>
  <sheetFormatPr defaultRowHeight="12.75" x14ac:dyDescent="0.2"/>
  <cols>
    <col min="1" max="1" width="15.85546875" customWidth="1"/>
    <col min="2" max="2" width="9.42578125" bestFit="1" customWidth="1"/>
    <col min="3" max="3" width="14.140625" bestFit="1" customWidth="1"/>
    <col min="4" max="4" width="12.42578125" bestFit="1" customWidth="1"/>
    <col min="5" max="5" width="9.42578125" bestFit="1" customWidth="1"/>
    <col min="6" max="6" width="15.140625" bestFit="1" customWidth="1"/>
    <col min="7" max="7" width="12.42578125" bestFit="1" customWidth="1"/>
    <col min="8" max="8" width="9.42578125" bestFit="1" customWidth="1"/>
    <col min="9" max="9" width="12.42578125" bestFit="1" customWidth="1"/>
    <col min="10" max="10" width="10.42578125" bestFit="1" customWidth="1"/>
    <col min="11" max="11" width="9.42578125" bestFit="1" customWidth="1"/>
    <col min="12" max="12" width="16.140625" bestFit="1" customWidth="1"/>
    <col min="13" max="13" width="14.140625" bestFit="1" customWidth="1"/>
    <col min="14" max="14" width="9.42578125" bestFit="1" customWidth="1"/>
    <col min="15" max="15" width="16.140625" bestFit="1" customWidth="1"/>
    <col min="16" max="16" width="14.140625" bestFit="1" customWidth="1"/>
    <col min="17" max="17" width="9.42578125" bestFit="1" customWidth="1"/>
    <col min="18" max="18" width="15.140625" bestFit="1" customWidth="1"/>
    <col min="19" max="19" width="12.42578125" bestFit="1" customWidth="1"/>
    <col min="20" max="20" width="9.42578125" bestFit="1" customWidth="1"/>
    <col min="21" max="21" width="15.140625" bestFit="1" customWidth="1"/>
    <col min="22" max="22" width="12.42578125" bestFit="1" customWidth="1"/>
  </cols>
  <sheetData>
    <row r="1" spans="1:22" s="15" customFormat="1" x14ac:dyDescent="0.2">
      <c r="A1" s="82" t="s">
        <v>26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4"/>
    </row>
    <row r="2" spans="1:22" s="15" customFormat="1" x14ac:dyDescent="0.2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87"/>
    </row>
    <row r="3" spans="1:22" s="15" customFormat="1" ht="13.5" thickBot="1" x14ac:dyDescent="0.25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90"/>
    </row>
    <row r="4" spans="1:22" s="79" customFormat="1" x14ac:dyDescent="0.2">
      <c r="A4" s="79" t="s">
        <v>0</v>
      </c>
      <c r="B4" s="80" t="s">
        <v>1</v>
      </c>
      <c r="C4" s="80" t="s">
        <v>1</v>
      </c>
      <c r="D4" s="80" t="s">
        <v>1</v>
      </c>
      <c r="E4" s="80" t="s">
        <v>1</v>
      </c>
      <c r="F4" s="80" t="s">
        <v>1</v>
      </c>
      <c r="G4" s="80" t="s">
        <v>1</v>
      </c>
      <c r="H4" s="80" t="s">
        <v>1</v>
      </c>
      <c r="I4" s="80" t="s">
        <v>1</v>
      </c>
      <c r="J4" s="80" t="s">
        <v>1</v>
      </c>
      <c r="K4" s="80" t="s">
        <v>1</v>
      </c>
      <c r="L4" s="80" t="s">
        <v>1</v>
      </c>
      <c r="M4" s="80" t="s">
        <v>1</v>
      </c>
      <c r="N4" s="80" t="s">
        <v>1</v>
      </c>
      <c r="O4" s="80" t="s">
        <v>1</v>
      </c>
      <c r="P4" s="80" t="s">
        <v>1</v>
      </c>
      <c r="Q4" s="80" t="s">
        <v>2</v>
      </c>
      <c r="R4" s="80" t="s">
        <v>2</v>
      </c>
      <c r="S4" s="80" t="s">
        <v>2</v>
      </c>
      <c r="T4" s="80" t="s">
        <v>2</v>
      </c>
      <c r="U4" s="80" t="s">
        <v>2</v>
      </c>
      <c r="V4" s="80" t="s">
        <v>2</v>
      </c>
    </row>
    <row r="5" spans="1:22" s="79" customFormat="1" x14ac:dyDescent="0.2">
      <c r="A5" s="79" t="s">
        <v>3</v>
      </c>
      <c r="B5" s="80" t="s">
        <v>4</v>
      </c>
      <c r="C5" s="80" t="s">
        <v>4</v>
      </c>
      <c r="D5" s="80" t="s">
        <v>4</v>
      </c>
      <c r="E5" s="80" t="s">
        <v>5</v>
      </c>
      <c r="F5" s="80" t="s">
        <v>5</v>
      </c>
      <c r="G5" s="80" t="s">
        <v>5</v>
      </c>
      <c r="H5" s="80" t="s">
        <v>6</v>
      </c>
      <c r="I5" s="80" t="s">
        <v>6</v>
      </c>
      <c r="J5" s="80" t="s">
        <v>6</v>
      </c>
      <c r="K5" s="80" t="s">
        <v>7</v>
      </c>
      <c r="L5" s="80" t="s">
        <v>7</v>
      </c>
      <c r="M5" s="80" t="s">
        <v>7</v>
      </c>
      <c r="N5" s="80" t="s">
        <v>8</v>
      </c>
      <c r="O5" s="80" t="s">
        <v>8</v>
      </c>
      <c r="P5" s="80" t="s">
        <v>8</v>
      </c>
      <c r="Q5" s="80" t="s">
        <v>5</v>
      </c>
      <c r="R5" s="80" t="s">
        <v>5</v>
      </c>
      <c r="S5" s="80" t="s">
        <v>5</v>
      </c>
      <c r="T5" s="80" t="s">
        <v>8</v>
      </c>
      <c r="U5" s="80" t="s">
        <v>8</v>
      </c>
      <c r="V5" s="80" t="s">
        <v>8</v>
      </c>
    </row>
    <row r="6" spans="1:22" s="79" customFormat="1" x14ac:dyDescent="0.2">
      <c r="A6" s="79" t="s">
        <v>9</v>
      </c>
      <c r="B6" s="79" t="s">
        <v>10</v>
      </c>
      <c r="C6" s="79" t="s">
        <v>11</v>
      </c>
      <c r="D6" s="79" t="s">
        <v>12</v>
      </c>
      <c r="E6" s="79" t="s">
        <v>10</v>
      </c>
      <c r="F6" s="79" t="s">
        <v>11</v>
      </c>
      <c r="G6" s="79" t="s">
        <v>12</v>
      </c>
      <c r="H6" s="79" t="s">
        <v>10</v>
      </c>
      <c r="I6" s="79" t="s">
        <v>11</v>
      </c>
      <c r="J6" s="79" t="s">
        <v>12</v>
      </c>
      <c r="K6" s="79" t="s">
        <v>10</v>
      </c>
      <c r="L6" s="79" t="s">
        <v>11</v>
      </c>
      <c r="M6" s="79" t="s">
        <v>12</v>
      </c>
      <c r="N6" s="79" t="s">
        <v>10</v>
      </c>
      <c r="O6" s="79" t="s">
        <v>11</v>
      </c>
      <c r="P6" s="79" t="s">
        <v>12</v>
      </c>
      <c r="Q6" s="79" t="s">
        <v>10</v>
      </c>
      <c r="R6" s="79" t="s">
        <v>11</v>
      </c>
      <c r="S6" s="79" t="s">
        <v>12</v>
      </c>
      <c r="T6" s="79" t="s">
        <v>10</v>
      </c>
      <c r="U6" s="79" t="s">
        <v>11</v>
      </c>
      <c r="V6" s="79" t="s">
        <v>12</v>
      </c>
    </row>
    <row r="7" spans="1:22" x14ac:dyDescent="0.2">
      <c r="A7" t="s">
        <v>13</v>
      </c>
      <c r="B7" s="1">
        <v>1.38E-2</v>
      </c>
      <c r="C7" s="2">
        <v>4219179.8099999996</v>
      </c>
      <c r="D7" s="2">
        <v>58224.681378000001</v>
      </c>
      <c r="E7" s="3">
        <v>1.4200000000000001E-2</v>
      </c>
      <c r="F7" s="2">
        <v>11084701.65</v>
      </c>
      <c r="G7" s="2">
        <v>157402.76342999999</v>
      </c>
      <c r="H7" s="3">
        <v>1.4200000000000001E-2</v>
      </c>
      <c r="I7" s="2">
        <v>168797.58</v>
      </c>
      <c r="J7" s="2">
        <v>2396.9256359999999</v>
      </c>
      <c r="K7" s="3">
        <v>1.49E-2</v>
      </c>
      <c r="L7" s="2">
        <v>141350747.81000999</v>
      </c>
      <c r="M7" s="2">
        <v>2106126.1423691399</v>
      </c>
      <c r="N7" s="3">
        <v>1.5100000000000001E-2</v>
      </c>
      <c r="O7" s="2">
        <v>105231576.650003</v>
      </c>
      <c r="P7" s="2">
        <v>1588996.80741505</v>
      </c>
      <c r="Q7" s="3">
        <v>7.3000000000000001E-3</v>
      </c>
      <c r="R7" s="2">
        <v>20255513.629999701</v>
      </c>
      <c r="S7" s="2">
        <v>147865.24949899799</v>
      </c>
      <c r="T7" s="3">
        <v>7.1999999999999998E-3</v>
      </c>
      <c r="U7" s="2">
        <v>72286329.270003006</v>
      </c>
      <c r="V7" s="2">
        <v>520461.57074402098</v>
      </c>
    </row>
    <row r="8" spans="1:22" x14ac:dyDescent="0.2">
      <c r="A8" t="s">
        <v>14</v>
      </c>
      <c r="B8" s="3">
        <v>2.4899999999999999E-2</v>
      </c>
      <c r="C8" s="2">
        <v>4219179.8099999996</v>
      </c>
      <c r="D8" s="2">
        <v>105057.577269</v>
      </c>
      <c r="E8" s="3">
        <v>1.15E-2</v>
      </c>
      <c r="F8" s="2">
        <v>11084701.65</v>
      </c>
      <c r="G8" s="2">
        <v>127474.068975</v>
      </c>
      <c r="H8" s="3">
        <v>2.4899999999999999E-2</v>
      </c>
      <c r="I8" s="2">
        <v>168797.58</v>
      </c>
      <c r="J8" s="2">
        <v>4203.0597420000004</v>
      </c>
      <c r="K8" s="1">
        <v>1.15E-2</v>
      </c>
      <c r="L8" s="2">
        <v>141350747.81000999</v>
      </c>
      <c r="M8" s="2">
        <v>1625533.59981511</v>
      </c>
      <c r="N8" s="3">
        <v>1.1599999999999999E-2</v>
      </c>
      <c r="O8" s="2">
        <v>105231576.650003</v>
      </c>
      <c r="P8" s="2">
        <v>1220686.2891400401</v>
      </c>
      <c r="Q8" s="3">
        <v>8.6E-3</v>
      </c>
      <c r="R8" s="2">
        <v>20255513.629999701</v>
      </c>
      <c r="S8" s="2">
        <v>174197.41721799699</v>
      </c>
      <c r="T8" s="3">
        <v>8.6E-3</v>
      </c>
      <c r="U8" s="2">
        <v>72286329.270003006</v>
      </c>
      <c r="V8" s="2">
        <v>621662.43172202597</v>
      </c>
    </row>
    <row r="9" spans="1:22" x14ac:dyDescent="0.2">
      <c r="A9" t="s">
        <v>15</v>
      </c>
      <c r="B9" s="3">
        <v>1.9900000000000001E-2</v>
      </c>
      <c r="C9" s="2">
        <v>4219179.8099999996</v>
      </c>
      <c r="D9" s="2">
        <v>83961.678218999994</v>
      </c>
      <c r="E9" s="3">
        <v>1.5100000000000001E-2</v>
      </c>
      <c r="F9" s="2">
        <v>11084701.65</v>
      </c>
      <c r="G9" s="2">
        <v>167378.99491499999</v>
      </c>
      <c r="H9" s="1">
        <v>1.11E-2</v>
      </c>
      <c r="I9" s="2">
        <v>168797.58</v>
      </c>
      <c r="J9" s="2">
        <v>1873.6531379999999</v>
      </c>
      <c r="K9" s="3">
        <v>1.4800000000000001E-2</v>
      </c>
      <c r="L9" s="2">
        <v>141350747.81000999</v>
      </c>
      <c r="M9" s="2">
        <v>2091991.06758814</v>
      </c>
      <c r="N9" s="3">
        <v>1.55E-2</v>
      </c>
      <c r="O9" s="2">
        <v>105231576.650003</v>
      </c>
      <c r="P9" s="2">
        <v>1631089.43807505</v>
      </c>
      <c r="Q9" s="3">
        <v>7.1999999999999998E-3</v>
      </c>
      <c r="R9" s="2">
        <v>20255513.629999701</v>
      </c>
      <c r="S9" s="2">
        <v>145839.69813599801</v>
      </c>
      <c r="T9" s="3">
        <v>7.4999999999999997E-3</v>
      </c>
      <c r="U9" s="2">
        <v>72286329.270003006</v>
      </c>
      <c r="V9" s="2">
        <v>542147.46952502197</v>
      </c>
    </row>
    <row r="10" spans="1:22" x14ac:dyDescent="0.2">
      <c r="A10" t="s">
        <v>16</v>
      </c>
      <c r="B10" s="3">
        <v>2.1999999999999999E-2</v>
      </c>
      <c r="C10" s="2">
        <v>4219179.8099999996</v>
      </c>
      <c r="D10" s="2">
        <v>92821.955820000003</v>
      </c>
      <c r="E10" s="3">
        <v>1.9900000000000001E-2</v>
      </c>
      <c r="F10" s="2">
        <v>11084701.65</v>
      </c>
      <c r="G10" s="2">
        <v>220585.56283499999</v>
      </c>
      <c r="H10" s="3">
        <v>1.4500000000000001E-2</v>
      </c>
      <c r="I10" s="2">
        <v>168797.58</v>
      </c>
      <c r="J10" s="2">
        <v>2447.5649100000001</v>
      </c>
      <c r="K10" s="3">
        <v>1.29E-2</v>
      </c>
      <c r="L10" s="2">
        <v>141350747.81000999</v>
      </c>
      <c r="M10" s="2">
        <v>1823424.64674912</v>
      </c>
      <c r="N10" s="3">
        <v>1.29E-2</v>
      </c>
      <c r="O10" s="2">
        <v>105231576.650003</v>
      </c>
      <c r="P10" s="2">
        <v>1357487.33878504</v>
      </c>
      <c r="Q10" s="3">
        <v>9.9000000000000008E-3</v>
      </c>
      <c r="R10" s="2">
        <v>20255513.629999701</v>
      </c>
      <c r="S10" s="2">
        <v>200529.58493699701</v>
      </c>
      <c r="T10" s="1">
        <v>6.7000000000000002E-3</v>
      </c>
      <c r="U10" s="2">
        <v>72286329.270003006</v>
      </c>
      <c r="V10" s="2">
        <v>484318.40610902</v>
      </c>
    </row>
    <row r="11" spans="1:22" x14ac:dyDescent="0.2">
      <c r="A11" t="s">
        <v>17</v>
      </c>
      <c r="B11" s="3">
        <v>1.8800000000000001E-2</v>
      </c>
      <c r="C11" s="2">
        <v>4219179.8099999996</v>
      </c>
      <c r="D11" s="2">
        <v>79320.580428000001</v>
      </c>
      <c r="E11" s="3">
        <v>1.35E-2</v>
      </c>
      <c r="F11" s="2">
        <v>11084701.65</v>
      </c>
      <c r="G11" s="2">
        <v>149643.47227500001</v>
      </c>
      <c r="H11" s="3">
        <v>1.3899999999999999E-2</v>
      </c>
      <c r="I11" s="2">
        <v>168797.58</v>
      </c>
      <c r="J11" s="2">
        <v>2346.2863619999998</v>
      </c>
      <c r="K11" s="3">
        <v>1.67E-2</v>
      </c>
      <c r="L11" s="2">
        <v>141350747.81000999</v>
      </c>
      <c r="M11" s="2">
        <v>2360557.4884271598</v>
      </c>
      <c r="N11" s="3">
        <v>1.5599999999999999E-2</v>
      </c>
      <c r="O11" s="2">
        <v>105231576.650003</v>
      </c>
      <c r="P11" s="2">
        <v>1641612.5957400501</v>
      </c>
      <c r="Q11" s="1">
        <v>6.3E-3</v>
      </c>
      <c r="R11" s="2">
        <v>20255513.629999701</v>
      </c>
      <c r="S11" s="2">
        <v>127609.735868998</v>
      </c>
      <c r="T11" s="3">
        <v>7.1999999999999998E-3</v>
      </c>
      <c r="U11" s="2">
        <v>72286329.270003006</v>
      </c>
      <c r="V11" s="2">
        <v>520461.57074402098</v>
      </c>
    </row>
    <row r="12" spans="1:22" x14ac:dyDescent="0.2">
      <c r="A12" t="s">
        <v>18</v>
      </c>
      <c r="B12" s="3">
        <v>2.24E-2</v>
      </c>
      <c r="C12" s="2">
        <v>4219179.8099999996</v>
      </c>
      <c r="D12" s="2">
        <v>94509.627743999998</v>
      </c>
      <c r="E12" s="3">
        <v>2.24E-2</v>
      </c>
      <c r="F12" s="2">
        <v>11084701.65</v>
      </c>
      <c r="G12" s="2">
        <v>248297.31696</v>
      </c>
      <c r="H12" s="3">
        <v>2.24E-2</v>
      </c>
      <c r="I12" s="2">
        <v>168797.58</v>
      </c>
      <c r="J12" s="2">
        <v>3781.0657919999999</v>
      </c>
      <c r="K12" s="3">
        <v>1.7399999999999999E-2</v>
      </c>
      <c r="L12" s="2">
        <v>141350747.81000999</v>
      </c>
      <c r="M12" s="2">
        <v>2459503.0118941702</v>
      </c>
      <c r="N12" s="4">
        <v>1.7399999999999999E-2</v>
      </c>
      <c r="O12" s="2">
        <v>105231576.650003</v>
      </c>
      <c r="P12" s="2">
        <v>1831029.4337100501</v>
      </c>
      <c r="Q12" s="3">
        <v>7.9000000000000008E-3</v>
      </c>
      <c r="R12" s="2">
        <v>20255513.629999701</v>
      </c>
      <c r="S12" s="2">
        <v>160018.55767699701</v>
      </c>
      <c r="T12" s="3">
        <v>7.1999999999999998E-3</v>
      </c>
      <c r="U12" s="2">
        <v>72286329.270003006</v>
      </c>
      <c r="V12" s="2">
        <v>520461.57074402098</v>
      </c>
    </row>
    <row r="13" spans="1:22" x14ac:dyDescent="0.2">
      <c r="A13" t="s">
        <v>19</v>
      </c>
      <c r="B13" s="4">
        <v>4.2999999999999997E-2</v>
      </c>
      <c r="C13" s="2">
        <v>4219179.8099999996</v>
      </c>
      <c r="D13" s="2">
        <v>181424.73183</v>
      </c>
      <c r="E13" s="4">
        <v>4.2999999999999997E-2</v>
      </c>
      <c r="F13" s="2">
        <v>11084701.65</v>
      </c>
      <c r="G13" s="2">
        <v>476642.17095000099</v>
      </c>
      <c r="H13" s="4">
        <v>4.2999999999999997E-2</v>
      </c>
      <c r="I13" s="2">
        <v>168797.58</v>
      </c>
      <c r="J13" s="2">
        <v>7258.29594</v>
      </c>
      <c r="K13" s="4">
        <v>4.2999999999999997E-2</v>
      </c>
      <c r="L13" s="2">
        <v>141350747.81000999</v>
      </c>
      <c r="M13" s="2">
        <v>6078082.1558304103</v>
      </c>
      <c r="N13" s="3">
        <v>8.9999999999999993E-3</v>
      </c>
      <c r="O13" s="2">
        <v>105231576.650003</v>
      </c>
      <c r="P13" s="2">
        <v>947084.18985002802</v>
      </c>
      <c r="Q13" s="3">
        <v>2.5499999999999998E-2</v>
      </c>
      <c r="R13" s="2">
        <v>20255513.629999701</v>
      </c>
      <c r="S13" s="2">
        <v>516515.59756499197</v>
      </c>
      <c r="T13" s="3">
        <v>8.9999999999999993E-3</v>
      </c>
      <c r="U13" s="2">
        <v>72286329.270003006</v>
      </c>
      <c r="V13" s="2">
        <v>650576.96343002701</v>
      </c>
    </row>
  </sheetData>
  <mergeCells count="10">
    <mergeCell ref="A1:T3"/>
    <mergeCell ref="B4:P4"/>
    <mergeCell ref="Q4:V4"/>
    <mergeCell ref="B5:D5"/>
    <mergeCell ref="E5:G5"/>
    <mergeCell ref="H5:J5"/>
    <mergeCell ref="K5:M5"/>
    <mergeCell ref="N5:P5"/>
    <mergeCell ref="Q5:S5"/>
    <mergeCell ref="T5:V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E7176-3EDF-406E-84B8-7C45673F5887}">
  <sheetPr>
    <outlinePr summaryBelow="0"/>
  </sheetPr>
  <dimension ref="A1:Q66"/>
  <sheetViews>
    <sheetView tabSelected="1" workbookViewId="0">
      <selection activeCell="H67" sqref="H67"/>
    </sheetView>
  </sheetViews>
  <sheetFormatPr defaultRowHeight="12.75" outlineLevelRow="1" x14ac:dyDescent="0.2"/>
  <cols>
    <col min="1" max="1" width="22.28515625" bestFit="1" customWidth="1"/>
    <col min="2" max="2" width="9.42578125" bestFit="1" customWidth="1"/>
    <col min="3" max="3" width="13.28515625" bestFit="1" customWidth="1"/>
    <col min="4" max="4" width="9.42578125" bestFit="1" customWidth="1"/>
    <col min="5" max="5" width="14.28515625" bestFit="1" customWidth="1"/>
    <col min="6" max="6" width="9.42578125" bestFit="1" customWidth="1"/>
    <col min="7" max="7" width="12.140625" bestFit="1" customWidth="1"/>
    <col min="8" max="8" width="9.42578125" bestFit="1" customWidth="1"/>
    <col min="9" max="9" width="15.85546875" bestFit="1" customWidth="1"/>
    <col min="10" max="10" width="9.42578125" bestFit="1" customWidth="1"/>
    <col min="11" max="11" width="15.85546875" bestFit="1" customWidth="1"/>
    <col min="12" max="12" width="9.42578125" bestFit="1" customWidth="1"/>
    <col min="13" max="13" width="14.28515625" bestFit="1" customWidth="1"/>
    <col min="14" max="14" width="9.42578125" bestFit="1" customWidth="1"/>
    <col min="15" max="15" width="14.28515625" bestFit="1" customWidth="1"/>
    <col min="17" max="17" width="18" bestFit="1" customWidth="1"/>
  </cols>
  <sheetData>
    <row r="1" spans="1:17" ht="13.5" thickBot="1" x14ac:dyDescent="0.25">
      <c r="A1" s="21" t="s">
        <v>29</v>
      </c>
    </row>
    <row r="2" spans="1:17" ht="13.5" thickBot="1" x14ac:dyDescent="0.25">
      <c r="A2" s="5"/>
      <c r="B2" s="43" t="s">
        <v>1</v>
      </c>
      <c r="C2" s="44" t="s">
        <v>1</v>
      </c>
      <c r="D2" s="44" t="s">
        <v>1</v>
      </c>
      <c r="E2" s="44" t="s">
        <v>1</v>
      </c>
      <c r="F2" s="44" t="s">
        <v>1</v>
      </c>
      <c r="G2" s="44" t="s">
        <v>1</v>
      </c>
      <c r="H2" s="44" t="s">
        <v>1</v>
      </c>
      <c r="I2" s="44" t="s">
        <v>1</v>
      </c>
      <c r="J2" s="44" t="s">
        <v>1</v>
      </c>
      <c r="K2" s="45" t="s">
        <v>1</v>
      </c>
      <c r="L2" s="46" t="s">
        <v>2</v>
      </c>
      <c r="M2" s="47" t="s">
        <v>2</v>
      </c>
      <c r="N2" s="47" t="s">
        <v>2</v>
      </c>
      <c r="O2" s="48" t="s">
        <v>2</v>
      </c>
    </row>
    <row r="3" spans="1:17" x14ac:dyDescent="0.2">
      <c r="A3" s="34" t="s">
        <v>3</v>
      </c>
      <c r="B3" s="35" t="s">
        <v>4</v>
      </c>
      <c r="C3" s="37" t="s">
        <v>4</v>
      </c>
      <c r="D3" s="36" t="s">
        <v>5</v>
      </c>
      <c r="E3" s="37" t="s">
        <v>5</v>
      </c>
      <c r="F3" s="36" t="s">
        <v>6</v>
      </c>
      <c r="G3" s="37" t="s">
        <v>6</v>
      </c>
      <c r="H3" s="36" t="s">
        <v>7</v>
      </c>
      <c r="I3" s="37" t="s">
        <v>7</v>
      </c>
      <c r="J3" s="36" t="s">
        <v>8</v>
      </c>
      <c r="K3" s="38" t="s">
        <v>8</v>
      </c>
      <c r="L3" s="35" t="s">
        <v>5</v>
      </c>
      <c r="M3" s="37" t="s">
        <v>5</v>
      </c>
      <c r="N3" s="36" t="s">
        <v>8</v>
      </c>
      <c r="O3" s="38" t="s">
        <v>8</v>
      </c>
      <c r="P3" s="6"/>
      <c r="Q3" s="22" t="s">
        <v>20</v>
      </c>
    </row>
    <row r="4" spans="1:17" ht="13.5" thickBot="1" x14ac:dyDescent="0.25">
      <c r="A4" s="24" t="s">
        <v>21</v>
      </c>
      <c r="B4" s="39">
        <f>'Dados do BI'!C7</f>
        <v>4219179.8099999996</v>
      </c>
      <c r="C4" s="41"/>
      <c r="D4" s="40">
        <f>'Dados do BI'!F7</f>
        <v>11084701.65</v>
      </c>
      <c r="E4" s="41"/>
      <c r="F4" s="40">
        <f>'Dados do BI'!I7</f>
        <v>168797.58</v>
      </c>
      <c r="G4" s="41"/>
      <c r="H4" s="40">
        <f>'Dados do BI'!L7</f>
        <v>141350747.81000999</v>
      </c>
      <c r="I4" s="41"/>
      <c r="J4" s="40">
        <f>'Dados do BI'!O7</f>
        <v>105231576.650003</v>
      </c>
      <c r="K4" s="42"/>
      <c r="L4" s="39">
        <f>'Dados do BI'!R7</f>
        <v>20255513.629999701</v>
      </c>
      <c r="M4" s="41"/>
      <c r="N4" s="40">
        <f>'Dados do BI'!U7</f>
        <v>72286329.270003006</v>
      </c>
      <c r="O4" s="42"/>
      <c r="P4" s="5"/>
      <c r="Q4" s="78">
        <f>SUM(B4:O4)</f>
        <v>354596846.40001571</v>
      </c>
    </row>
    <row r="5" spans="1:17" x14ac:dyDescent="0.2">
      <c r="A5" s="23"/>
      <c r="B5" s="18"/>
      <c r="C5" s="17"/>
      <c r="D5" s="30"/>
      <c r="E5" s="17"/>
      <c r="F5" s="30"/>
      <c r="G5" s="17"/>
      <c r="H5" s="31"/>
      <c r="I5" s="16"/>
      <c r="J5" s="31"/>
      <c r="K5" s="19"/>
      <c r="L5" s="20"/>
      <c r="M5" s="16"/>
      <c r="N5" s="31"/>
      <c r="O5" s="19"/>
      <c r="P5" s="5"/>
      <c r="Q5" s="31"/>
    </row>
    <row r="6" spans="1:17" s="7" customFormat="1" x14ac:dyDescent="0.2">
      <c r="A6" s="26" t="s">
        <v>9</v>
      </c>
      <c r="B6" s="27" t="s">
        <v>10</v>
      </c>
      <c r="C6" s="28" t="s">
        <v>25</v>
      </c>
      <c r="D6" s="32" t="s">
        <v>10</v>
      </c>
      <c r="E6" s="28" t="s">
        <v>25</v>
      </c>
      <c r="F6" s="32" t="s">
        <v>10</v>
      </c>
      <c r="G6" s="28" t="s">
        <v>25</v>
      </c>
      <c r="H6" s="32" t="s">
        <v>10</v>
      </c>
      <c r="I6" s="28" t="s">
        <v>25</v>
      </c>
      <c r="J6" s="32" t="s">
        <v>10</v>
      </c>
      <c r="K6" s="29" t="s">
        <v>25</v>
      </c>
      <c r="L6" s="27" t="s">
        <v>10</v>
      </c>
      <c r="M6" s="28" t="s">
        <v>25</v>
      </c>
      <c r="N6" s="32" t="s">
        <v>10</v>
      </c>
      <c r="O6" s="29" t="s">
        <v>25</v>
      </c>
      <c r="Q6" s="77"/>
    </row>
    <row r="7" spans="1:17" s="7" customFormat="1" x14ac:dyDescent="0.2">
      <c r="A7" s="24" t="str">
        <f>'Dados do BI'!A7</f>
        <v>CIELO</v>
      </c>
      <c r="B7" s="8">
        <f>'Dados do BI'!B7</f>
        <v>1.38E-2</v>
      </c>
      <c r="C7" s="9">
        <f>B4*B7</f>
        <v>58224.681377999994</v>
      </c>
      <c r="D7" s="33">
        <f>'Dados do BI'!E7</f>
        <v>1.4200000000000001E-2</v>
      </c>
      <c r="E7" s="9">
        <f>D4*D7</f>
        <v>157402.76343000002</v>
      </c>
      <c r="F7" s="33">
        <f>'Dados do BI'!H7</f>
        <v>1.4200000000000001E-2</v>
      </c>
      <c r="G7" s="9">
        <f>F4*F7</f>
        <v>2396.9256359999999</v>
      </c>
      <c r="H7" s="33">
        <f>'Dados do BI'!K7</f>
        <v>1.49E-2</v>
      </c>
      <c r="I7" s="9">
        <f>H4*H7</f>
        <v>2106126.1423691488</v>
      </c>
      <c r="J7" s="33">
        <f>'Dados do BI'!N7</f>
        <v>1.5100000000000001E-2</v>
      </c>
      <c r="K7" s="9">
        <f>J4*J7</f>
        <v>1588996.8074150453</v>
      </c>
      <c r="L7" s="8">
        <f>'Dados do BI'!Q7</f>
        <v>7.3000000000000001E-3</v>
      </c>
      <c r="M7" s="9">
        <f>L4*L7</f>
        <v>147865.24949899781</v>
      </c>
      <c r="N7" s="33">
        <f>'Dados do BI'!T7</f>
        <v>7.1999999999999998E-3</v>
      </c>
      <c r="O7" s="10">
        <f>N4*N7</f>
        <v>520461.57074402162</v>
      </c>
    </row>
    <row r="8" spans="1:17" s="7" customFormat="1" x14ac:dyDescent="0.2">
      <c r="A8" s="24" t="str">
        <f>'Dados do BI'!A8</f>
        <v>FISERV</v>
      </c>
      <c r="B8" s="8">
        <f>'Dados do BI'!B8</f>
        <v>2.4899999999999999E-2</v>
      </c>
      <c r="C8" s="9">
        <f>B4*B8</f>
        <v>105057.57726899999</v>
      </c>
      <c r="D8" s="33">
        <f>'Dados do BI'!E8</f>
        <v>1.15E-2</v>
      </c>
      <c r="E8" s="9">
        <f>D4*D8</f>
        <v>127474.068975</v>
      </c>
      <c r="F8" s="33">
        <f>'Dados do BI'!H8</f>
        <v>2.4899999999999999E-2</v>
      </c>
      <c r="G8" s="9">
        <f>F4*F8</f>
        <v>4203.0597419999995</v>
      </c>
      <c r="H8" s="33">
        <f>'Dados do BI'!K8</f>
        <v>1.15E-2</v>
      </c>
      <c r="I8" s="9">
        <f>H4*H8</f>
        <v>1625533.5998151149</v>
      </c>
      <c r="J8" s="33">
        <f>'Dados do BI'!N8</f>
        <v>1.1599999999999999E-2</v>
      </c>
      <c r="K8" s="10">
        <f>J4*J8</f>
        <v>1220686.2891400347</v>
      </c>
      <c r="L8" s="8">
        <f>'Dados do BI'!Q8</f>
        <v>8.6E-3</v>
      </c>
      <c r="M8" s="9">
        <f>L4*L8</f>
        <v>174197.41721799743</v>
      </c>
      <c r="N8" s="33">
        <f>'Dados do BI'!T8</f>
        <v>8.6E-3</v>
      </c>
      <c r="O8" s="10">
        <f>N4*N8</f>
        <v>621662.43172202585</v>
      </c>
    </row>
    <row r="9" spans="1:17" s="7" customFormat="1" x14ac:dyDescent="0.2">
      <c r="A9" s="24" t="str">
        <f>'Dados do BI'!A9</f>
        <v>GETNET</v>
      </c>
      <c r="B9" s="8">
        <f>'Dados do BI'!B9</f>
        <v>1.9900000000000001E-2</v>
      </c>
      <c r="C9" s="9">
        <f>B4*B9</f>
        <v>83961.678218999994</v>
      </c>
      <c r="D9" s="33">
        <f>'Dados do BI'!E9</f>
        <v>1.5100000000000001E-2</v>
      </c>
      <c r="E9" s="9">
        <f>D4*D9</f>
        <v>167378.99491500002</v>
      </c>
      <c r="F9" s="33">
        <f>'Dados do BI'!H9</f>
        <v>1.11E-2</v>
      </c>
      <c r="G9" s="9">
        <f>F4*F9</f>
        <v>1873.6531379999999</v>
      </c>
      <c r="H9" s="33">
        <f>'Dados do BI'!K9</f>
        <v>1.4800000000000001E-2</v>
      </c>
      <c r="I9" s="9">
        <f>H4*H9</f>
        <v>2091991.0675881479</v>
      </c>
      <c r="J9" s="33">
        <f>'Dados do BI'!N9</f>
        <v>1.55E-2</v>
      </c>
      <c r="K9" s="10">
        <f>J4*J9</f>
        <v>1631089.4380750465</v>
      </c>
      <c r="L9" s="8">
        <f>'Dados do BI'!Q9</f>
        <v>7.1999999999999998E-3</v>
      </c>
      <c r="M9" s="9">
        <f>L4*L9</f>
        <v>145839.69813599784</v>
      </c>
      <c r="N9" s="33">
        <f>'Dados do BI'!T9</f>
        <v>7.4999999999999997E-3</v>
      </c>
      <c r="O9" s="10">
        <f>N4*N9</f>
        <v>542147.46952502255</v>
      </c>
    </row>
    <row r="10" spans="1:17" s="7" customFormat="1" x14ac:dyDescent="0.2">
      <c r="A10" s="24" t="str">
        <f>'Dados do BI'!A10</f>
        <v>REDE</v>
      </c>
      <c r="B10" s="8">
        <f>'Dados do BI'!B10</f>
        <v>2.1999999999999999E-2</v>
      </c>
      <c r="C10" s="9">
        <f>B4*B10</f>
        <v>92821.955819999988</v>
      </c>
      <c r="D10" s="33">
        <f>'Dados do BI'!E10</f>
        <v>1.9900000000000001E-2</v>
      </c>
      <c r="E10" s="9">
        <f>D4*D10</f>
        <v>220585.56283500002</v>
      </c>
      <c r="F10" s="33">
        <f>'Dados do BI'!H10</f>
        <v>1.4500000000000001E-2</v>
      </c>
      <c r="G10" s="9">
        <f>F4*F10</f>
        <v>2447.5649100000001</v>
      </c>
      <c r="H10" s="33">
        <f>'Dados do BI'!K10</f>
        <v>1.29E-2</v>
      </c>
      <c r="I10" s="9">
        <f>H4*H10</f>
        <v>1823424.6467491288</v>
      </c>
      <c r="J10" s="33">
        <f>'Dados do BI'!N10</f>
        <v>1.29E-2</v>
      </c>
      <c r="K10" s="10">
        <f>J4*J10</f>
        <v>1357487.3387850388</v>
      </c>
      <c r="L10" s="8">
        <f>'Dados do BI'!Q10</f>
        <v>9.9000000000000008E-3</v>
      </c>
      <c r="M10" s="9">
        <f>L4*L10</f>
        <v>200529.58493699707</v>
      </c>
      <c r="N10" s="33">
        <f>'Dados do BI'!T10</f>
        <v>6.7000000000000002E-3</v>
      </c>
      <c r="O10" s="10">
        <f>N4*N10</f>
        <v>484318.40610902017</v>
      </c>
    </row>
    <row r="11" spans="1:17" s="7" customFormat="1" x14ac:dyDescent="0.2">
      <c r="A11" s="24" t="str">
        <f>'Dados do BI'!A11</f>
        <v>SAFRAPAY</v>
      </c>
      <c r="B11" s="8">
        <f>'Dados do BI'!B11</f>
        <v>1.8800000000000001E-2</v>
      </c>
      <c r="C11" s="9">
        <f>B4*B11</f>
        <v>79320.580428000001</v>
      </c>
      <c r="D11" s="33">
        <f>'Dados do BI'!E11</f>
        <v>1.35E-2</v>
      </c>
      <c r="E11" s="9">
        <f>D4*D11</f>
        <v>149643.47227500001</v>
      </c>
      <c r="F11" s="33">
        <f>'Dados do BI'!H11</f>
        <v>1.3899999999999999E-2</v>
      </c>
      <c r="G11" s="9">
        <f>F4*F11</f>
        <v>2346.2863619999998</v>
      </c>
      <c r="H11" s="33">
        <f>'Dados do BI'!K11</f>
        <v>1.67E-2</v>
      </c>
      <c r="I11" s="9">
        <f>H4*H11</f>
        <v>2360557.4884271668</v>
      </c>
      <c r="J11" s="33">
        <f>'Dados do BI'!N11</f>
        <v>1.5599999999999999E-2</v>
      </c>
      <c r="K11" s="10">
        <f>J4*J11</f>
        <v>1641612.5957400468</v>
      </c>
      <c r="L11" s="8">
        <f>'Dados do BI'!Q11</f>
        <v>6.3E-3</v>
      </c>
      <c r="M11" s="9">
        <f>L4*L11</f>
        <v>127609.73586899812</v>
      </c>
      <c r="N11" s="33">
        <f>'Dados do BI'!T11</f>
        <v>7.1999999999999998E-3</v>
      </c>
      <c r="O11" s="10">
        <f>N4*N11</f>
        <v>520461.57074402162</v>
      </c>
    </row>
    <row r="12" spans="1:17" s="7" customFormat="1" x14ac:dyDescent="0.2">
      <c r="A12" s="24" t="str">
        <f>'Dados do BI'!A12</f>
        <v>STONE</v>
      </c>
      <c r="B12" s="8">
        <f>'Dados do BI'!B12</f>
        <v>2.24E-2</v>
      </c>
      <c r="C12" s="9">
        <f>B4*B12</f>
        <v>94509.627743999983</v>
      </c>
      <c r="D12" s="33">
        <f>'Dados do BI'!E12</f>
        <v>2.24E-2</v>
      </c>
      <c r="E12" s="9">
        <f>D4*D12</f>
        <v>248297.31696</v>
      </c>
      <c r="F12" s="33">
        <f>'Dados do BI'!H12</f>
        <v>2.24E-2</v>
      </c>
      <c r="G12" s="9">
        <f>F4*F12</f>
        <v>3781.0657919999999</v>
      </c>
      <c r="H12" s="33">
        <f>'Dados do BI'!K12</f>
        <v>1.7399999999999999E-2</v>
      </c>
      <c r="I12" s="9">
        <f>H4*H12</f>
        <v>2459503.0118941735</v>
      </c>
      <c r="J12" s="33">
        <f>'Dados do BI'!N12</f>
        <v>1.7399999999999999E-2</v>
      </c>
      <c r="K12" s="10">
        <f>J4*J12</f>
        <v>1831029.4337100522</v>
      </c>
      <c r="L12" s="8">
        <f>'Dados do BI'!Q12</f>
        <v>7.9000000000000008E-3</v>
      </c>
      <c r="M12" s="9">
        <f>L4*L12</f>
        <v>160018.55767699765</v>
      </c>
      <c r="N12" s="33">
        <f>'Dados do BI'!T12</f>
        <v>7.1999999999999998E-3</v>
      </c>
      <c r="O12" s="10">
        <f>N4*N12</f>
        <v>520461.57074402162</v>
      </c>
    </row>
    <row r="13" spans="1:17" s="7" customFormat="1" ht="13.5" thickBot="1" x14ac:dyDescent="0.25">
      <c r="A13" s="25" t="str">
        <f>'Dados do BI'!A13</f>
        <v>SUMUP</v>
      </c>
      <c r="B13" s="11">
        <f>'Dados do BI'!B13</f>
        <v>4.2999999999999997E-2</v>
      </c>
      <c r="C13" s="12">
        <f>B4*B13</f>
        <v>181424.73182999998</v>
      </c>
      <c r="D13" s="13">
        <f>'Dados do BI'!E13</f>
        <v>4.2999999999999997E-2</v>
      </c>
      <c r="E13" s="12">
        <f>D4*D13</f>
        <v>476642.17095</v>
      </c>
      <c r="F13" s="13">
        <f>'Dados do BI'!H13</f>
        <v>4.2999999999999997E-2</v>
      </c>
      <c r="G13" s="12">
        <f>F4*F13</f>
        <v>7258.2959399999991</v>
      </c>
      <c r="H13" s="13">
        <f>'Dados do BI'!K13</f>
        <v>4.2999999999999997E-2</v>
      </c>
      <c r="I13" s="12">
        <f>H4*H13</f>
        <v>6078082.1558304289</v>
      </c>
      <c r="J13" s="13">
        <f>'Dados do BI'!N13</f>
        <v>8.9999999999999993E-3</v>
      </c>
      <c r="K13" s="14">
        <f>J4*J13</f>
        <v>947084.18985002697</v>
      </c>
      <c r="L13" s="11">
        <f>'Dados do BI'!Q13</f>
        <v>2.5499999999999998E-2</v>
      </c>
      <c r="M13" s="12">
        <f>L4*L13</f>
        <v>516515.59756499232</v>
      </c>
      <c r="N13" s="13">
        <f>'Dados do BI'!T13</f>
        <v>8.9999999999999993E-3</v>
      </c>
      <c r="O13" s="14">
        <f>N4*N13</f>
        <v>650576.96343002701</v>
      </c>
    </row>
    <row r="14" spans="1:17" ht="13.5" thickBo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x14ac:dyDescent="0.2">
      <c r="A15" s="63" t="s">
        <v>24</v>
      </c>
      <c r="B15" s="67">
        <f>SMALL(B7:B13,1)</f>
        <v>1.38E-2</v>
      </c>
      <c r="C15" s="68">
        <f>SMALL(C7:C13,1)</f>
        <v>58224.681377999994</v>
      </c>
      <c r="D15" s="69">
        <f t="shared" ref="D15:O15" si="0">SMALL(D7:D13,1)</f>
        <v>1.15E-2</v>
      </c>
      <c r="E15" s="70">
        <f t="shared" si="0"/>
        <v>127474.068975</v>
      </c>
      <c r="F15" s="69">
        <f t="shared" si="0"/>
        <v>1.11E-2</v>
      </c>
      <c r="G15" s="70">
        <f t="shared" si="0"/>
        <v>1873.6531379999999</v>
      </c>
      <c r="H15" s="69">
        <f t="shared" si="0"/>
        <v>1.15E-2</v>
      </c>
      <c r="I15" s="70">
        <f t="shared" si="0"/>
        <v>1625533.5998151149</v>
      </c>
      <c r="J15" s="69">
        <f t="shared" si="0"/>
        <v>8.9999999999999993E-3</v>
      </c>
      <c r="K15" s="71">
        <f t="shared" si="0"/>
        <v>947084.18985002697</v>
      </c>
      <c r="L15" s="67">
        <f t="shared" si="0"/>
        <v>6.3E-3</v>
      </c>
      <c r="M15" s="70">
        <f t="shared" si="0"/>
        <v>127609.73586899812</v>
      </c>
      <c r="N15" s="69">
        <f t="shared" si="0"/>
        <v>6.7000000000000002E-3</v>
      </c>
      <c r="O15" s="71">
        <f t="shared" si="0"/>
        <v>484318.40610902017</v>
      </c>
      <c r="P15" s="5"/>
      <c r="Q15" s="5"/>
    </row>
    <row r="16" spans="1:17" x14ac:dyDescent="0.2">
      <c r="A16" s="64"/>
      <c r="B16" s="57"/>
      <c r="C16" s="58" t="str">
        <f>IF(C15=C7,A7,IF(C15=C8,A8,IF(C15=C9,A9,IF(C15=C10,A10,IF(C15=C11,A11,IF(C15=C12,A12,IF(C15=C13,A13,"Verificar")))))))</f>
        <v>CIELO</v>
      </c>
      <c r="D16" s="59"/>
      <c r="E16" s="58" t="str">
        <f>IF(E15=E7,A7,IF(E15=E8,A8,IF(E15=E9,A9,IF(E15=E10,A10,IF(E15=E11,A11,IF(E15=E12,A12,IF(E15=E13,A13,"Verificar")))))))</f>
        <v>FISERV</v>
      </c>
      <c r="F16" s="59"/>
      <c r="G16" s="58" t="str">
        <f>IF(G15=G7,A7,IF(G15=G8,A8,IF(G15=G9,A9,IF(G15=G10,A10,IF(G15=G11,A11,IF(G15=G12,A12,IF(G15=G13,A13,"Verificar")))))))</f>
        <v>GETNET</v>
      </c>
      <c r="H16" s="59"/>
      <c r="I16" s="58" t="str">
        <f>IF(I15=I7,A7,IF(I15=I8,A8,IF(I15=I9,A9,IF(I15=I10,A10,IF(I15=I11,A11,IF(I15=I12,A12,IF(I15=I13,A13,"Verificar")))))))</f>
        <v>FISERV</v>
      </c>
      <c r="J16" s="59"/>
      <c r="K16" s="58" t="str">
        <f>IF(K15=K7,A7,IF(K15=K8,A8,IF(K15=K9,A9,IF(K15=K10,A10,IF(K15=K11,A11,IF(K15=K12,A12,IF(K15=K13,A13,"Verificar")))))))</f>
        <v>SUMUP</v>
      </c>
      <c r="L16" s="49"/>
      <c r="M16" s="50" t="str">
        <f>IF(M15=M7,A7,IF(M15=M8,A8,IF(M15=M9,A9,IF(M15=M10,A10,IF(M15=M11,A11,IF(M15=M12,A12,IF(M15=M13,A13,"Verificar")))))))</f>
        <v>SAFRAPAY</v>
      </c>
      <c r="N16" s="51"/>
      <c r="O16" s="52" t="str">
        <f>IF(O15=O7,A7,IF(O15=O8,A8,IF(O15=O9,A9,IF(O15=O10,A10,IF(O15=O11,A11,IF(O15=O12,A12,IF(O15=O13,A13,"Verificar")))))))</f>
        <v>REDE</v>
      </c>
      <c r="P16" s="6"/>
      <c r="Q16" s="6"/>
    </row>
    <row r="17" spans="1:17" x14ac:dyDescent="0.2">
      <c r="A17" s="65" t="s">
        <v>22</v>
      </c>
      <c r="B17" s="72">
        <f>SMALL(B7:B13,2)</f>
        <v>1.8800000000000001E-2</v>
      </c>
      <c r="C17" s="73">
        <f t="shared" ref="C17:O17" si="1">SMALL(C7:C13,2)</f>
        <v>79320.580428000001</v>
      </c>
      <c r="D17" s="74">
        <f t="shared" si="1"/>
        <v>1.35E-2</v>
      </c>
      <c r="E17" s="75">
        <f t="shared" si="1"/>
        <v>149643.47227500001</v>
      </c>
      <c r="F17" s="74">
        <f t="shared" si="1"/>
        <v>1.3899999999999999E-2</v>
      </c>
      <c r="G17" s="75">
        <f t="shared" si="1"/>
        <v>2346.2863619999998</v>
      </c>
      <c r="H17" s="74">
        <f t="shared" si="1"/>
        <v>1.29E-2</v>
      </c>
      <c r="I17" s="75">
        <f t="shared" si="1"/>
        <v>1823424.6467491288</v>
      </c>
      <c r="J17" s="74">
        <f t="shared" si="1"/>
        <v>1.1599999999999999E-2</v>
      </c>
      <c r="K17" s="76">
        <f t="shared" si="1"/>
        <v>1220686.2891400347</v>
      </c>
      <c r="L17" s="72">
        <f t="shared" si="1"/>
        <v>7.1999999999999998E-3</v>
      </c>
      <c r="M17" s="75">
        <f t="shared" si="1"/>
        <v>145839.69813599784</v>
      </c>
      <c r="N17" s="74">
        <f t="shared" si="1"/>
        <v>7.1999999999999998E-3</v>
      </c>
      <c r="O17" s="76">
        <f t="shared" si="1"/>
        <v>520461.57074402162</v>
      </c>
      <c r="P17" s="5"/>
      <c r="Q17" s="5"/>
    </row>
    <row r="18" spans="1:17" x14ac:dyDescent="0.2">
      <c r="A18" s="64"/>
      <c r="B18" s="57"/>
      <c r="C18" s="58" t="str">
        <f>IF(C17=C7,A7,IF(C17=C8,A8,IF(C17=C9,A9,IF(C17=C10,A10,IF(C17=C11,A11,IF(C17=C12,A12,IF(C17=C13,A13,"Verificar")))))))</f>
        <v>SAFRAPAY</v>
      </c>
      <c r="D18" s="59"/>
      <c r="E18" s="58" t="str">
        <f>IF(E17=E7,A7,IF(E17=E8,A8,IF(E17=E9,A9,IF(E17=E10,A10,IF(E17=E11,A11,IF(E17=E12,A12,IF(E17=E13,A13,"Verificar")))))))</f>
        <v>SAFRAPAY</v>
      </c>
      <c r="F18" s="59"/>
      <c r="G18" s="58" t="str">
        <f>IF(G17=G7,A7,IF(G17=G8,A8,IF(G17=G9,A9,IF(G17=G10,A10,IF(G17=G11,A11,IF(G17=G12,A12,IF(G17=G13,A13,"Verificar")))))))</f>
        <v>SAFRAPAY</v>
      </c>
      <c r="H18" s="59"/>
      <c r="I18" s="58" t="str">
        <f>IF(I17=I7,A7,IF(I17=I8,A8,IF(I17=I9,A9,IF(I17=I10,A10,IF(I17=I11,A11,IF(I17=I12,A12,IF(I17=I13,A13,"Verificar")))))))</f>
        <v>REDE</v>
      </c>
      <c r="J18" s="59"/>
      <c r="K18" s="58" t="str">
        <f>IF(K17=K7,A7,IF(K17=K8,A8,IF(K17=K9,A9,IF(K17=K10,A10,IF(K17=K11,A11,IF(K17=K12,A12,IF(K17=K13,A13,"Verificar")))))))</f>
        <v>FISERV</v>
      </c>
      <c r="L18" s="49"/>
      <c r="M18" s="50" t="str">
        <f>IF(M17=M7,A7,IF(M17=M8,A8,IF(M17=M9,A9,IF(M17=M10,A10,IF(M17=M11,A11,IF(M17=M12,A12,IF(M17=M13,A13,"Verificar")))))))</f>
        <v>GETNET</v>
      </c>
      <c r="N18" s="51"/>
      <c r="O18" s="52" t="str">
        <f>IF(O17=O7,A7,IF(O17=O8,A8,IF(O17=O9,A9,IF(O17=O10,A10,IF(O17=O11,A11,IF(O17=O12,A12,IF(O17=O13,A13,"Verificar")))))))</f>
        <v>CIELO</v>
      </c>
      <c r="P18" s="6"/>
      <c r="Q18" s="6"/>
    </row>
    <row r="19" spans="1:17" x14ac:dyDescent="0.2">
      <c r="A19" s="65" t="s">
        <v>23</v>
      </c>
      <c r="B19" s="72">
        <f>SMALL(B7:B13,3)</f>
        <v>1.9900000000000001E-2</v>
      </c>
      <c r="C19" s="73">
        <f t="shared" ref="C19:O19" si="2">SMALL(C7:C13,3)</f>
        <v>83961.678218999994</v>
      </c>
      <c r="D19" s="74">
        <f t="shared" si="2"/>
        <v>1.4200000000000001E-2</v>
      </c>
      <c r="E19" s="75">
        <f t="shared" si="2"/>
        <v>157402.76343000002</v>
      </c>
      <c r="F19" s="74">
        <f t="shared" si="2"/>
        <v>1.4200000000000001E-2</v>
      </c>
      <c r="G19" s="75">
        <f t="shared" si="2"/>
        <v>2396.9256359999999</v>
      </c>
      <c r="H19" s="74">
        <f t="shared" si="2"/>
        <v>1.4800000000000001E-2</v>
      </c>
      <c r="I19" s="75">
        <f t="shared" si="2"/>
        <v>2091991.0675881479</v>
      </c>
      <c r="J19" s="74">
        <f t="shared" si="2"/>
        <v>1.29E-2</v>
      </c>
      <c r="K19" s="76">
        <f t="shared" si="2"/>
        <v>1357487.3387850388</v>
      </c>
      <c r="L19" s="72">
        <f t="shared" si="2"/>
        <v>7.3000000000000001E-3</v>
      </c>
      <c r="M19" s="75">
        <f t="shared" si="2"/>
        <v>147865.24949899781</v>
      </c>
      <c r="N19" s="74">
        <f t="shared" si="2"/>
        <v>7.1999999999999998E-3</v>
      </c>
      <c r="O19" s="76">
        <f t="shared" si="2"/>
        <v>520461.57074402162</v>
      </c>
    </row>
    <row r="20" spans="1:17" ht="13.5" thickBot="1" x14ac:dyDescent="0.25">
      <c r="A20" s="66"/>
      <c r="B20" s="60"/>
      <c r="C20" s="61" t="str">
        <f>IF(C19=C7,A7,IF(C19=C8,A8,IF(C19=C9,A9,IF(C19=C10,A10,IF(C19=C11,A11,IF(C19=C12,A12,IF(C19=C13,A13,"Verificar")))))))</f>
        <v>GETNET</v>
      </c>
      <c r="D20" s="62"/>
      <c r="E20" s="61" t="str">
        <f>IF(E19=E7,A7,IF(E19=E8,A8,IF(E19=E9,A9,IF(E19=E10,A10,IF(E19=E11,A11,IF(E19=E12,A12,IF(E19=E13,A13,"Verificar")))))))</f>
        <v>CIELO</v>
      </c>
      <c r="F20" s="62"/>
      <c r="G20" s="61" t="str">
        <f>IF(G19=G7,A7,IF(G19=G8,A8,IF(G19=G9,A9,IF(G19=G10,A10,IF(G19=G11,A11,IF(G19=G12,A12,IF(G19=G13,A13,"Verificar")))))))</f>
        <v>CIELO</v>
      </c>
      <c r="H20" s="62"/>
      <c r="I20" s="61" t="str">
        <f>IF(I19=I7,A7,IF(I19=I8,A8,IF(I19=I9,A9,IF(I19=I10,A10,IF(I19=I11,A11,IF(I19=I12,A12,IF(I19=I13,A13,"Verificar")))))))</f>
        <v>GETNET</v>
      </c>
      <c r="J20" s="62"/>
      <c r="K20" s="61" t="str">
        <f>IF(K19=K7,A7,IF(K19=K8,A8,IF(K19=K9,A9,IF(K19=K10,A10,IF(K19=K11,A11,IF(K19=K12,A12,IF(K19=K13,A13,"Verificar")))))))</f>
        <v>REDE</v>
      </c>
      <c r="L20" s="53"/>
      <c r="M20" s="54" t="str">
        <f>IF(M19=M7,A7,IF(M19=M8,A8,IF(M19=M9,A9,IF(M19=M10,A10,IF(M19=M11,A11,IF(M19=M12,A12,IF(M19=M13,A13,"Verificar")))))))</f>
        <v>CIELO</v>
      </c>
      <c r="N20" s="55"/>
      <c r="O20" s="56" t="str">
        <f>IF(O19=O7,A7,IF(O19=O8,A8,IF(O19=O9,A9,IF(O19=O10,A10,IF(O19=O11,A11,IF(O19=O12,A12,IF(O19=O13,A13,"Verificar")))))))</f>
        <v>CIELO</v>
      </c>
    </row>
    <row r="22" spans="1:17" collapsed="1" x14ac:dyDescent="0.2">
      <c r="A22" s="21" t="s">
        <v>27</v>
      </c>
    </row>
    <row r="23" spans="1:17" ht="13.5" hidden="1" outlineLevel="1" thickBot="1" x14ac:dyDescent="0.25">
      <c r="B23" s="43" t="s">
        <v>1</v>
      </c>
      <c r="C23" s="44" t="s">
        <v>1</v>
      </c>
      <c r="D23" s="44" t="s">
        <v>1</v>
      </c>
      <c r="E23" s="44" t="s">
        <v>1</v>
      </c>
      <c r="F23" s="44" t="s">
        <v>1</v>
      </c>
      <c r="G23" s="44" t="s">
        <v>1</v>
      </c>
      <c r="H23" s="44" t="s">
        <v>1</v>
      </c>
      <c r="I23" s="44" t="s">
        <v>1</v>
      </c>
      <c r="J23" s="44" t="s">
        <v>1</v>
      </c>
      <c r="K23" s="45" t="s">
        <v>1</v>
      </c>
      <c r="L23" s="46" t="s">
        <v>2</v>
      </c>
      <c r="M23" s="47" t="s">
        <v>2</v>
      </c>
      <c r="N23" s="47" t="s">
        <v>2</v>
      </c>
      <c r="O23" s="48" t="s">
        <v>2</v>
      </c>
    </row>
    <row r="24" spans="1:17" hidden="1" outlineLevel="1" x14ac:dyDescent="0.2">
      <c r="A24" s="34" t="s">
        <v>3</v>
      </c>
      <c r="B24" s="35" t="s">
        <v>4</v>
      </c>
      <c r="C24" s="37" t="s">
        <v>4</v>
      </c>
      <c r="D24" s="36" t="s">
        <v>5</v>
      </c>
      <c r="E24" s="37" t="s">
        <v>5</v>
      </c>
      <c r="F24" s="36" t="s">
        <v>6</v>
      </c>
      <c r="G24" s="37" t="s">
        <v>6</v>
      </c>
      <c r="H24" s="36" t="s">
        <v>7</v>
      </c>
      <c r="I24" s="37" t="s">
        <v>7</v>
      </c>
      <c r="J24" s="36" t="s">
        <v>8</v>
      </c>
      <c r="K24" s="38" t="s">
        <v>8</v>
      </c>
      <c r="L24" s="35" t="s">
        <v>5</v>
      </c>
      <c r="M24" s="37" t="s">
        <v>5</v>
      </c>
      <c r="N24" s="36" t="s">
        <v>8</v>
      </c>
      <c r="O24" s="38" t="s">
        <v>8</v>
      </c>
    </row>
    <row r="25" spans="1:17" hidden="1" outlineLevel="1" x14ac:dyDescent="0.2">
      <c r="A25" s="24" t="s">
        <v>21</v>
      </c>
      <c r="B25" s="39">
        <f>B4</f>
        <v>4219179.8099999996</v>
      </c>
      <c r="C25" s="41"/>
      <c r="D25" s="81">
        <f t="shared" ref="D25:O25" si="3">D4</f>
        <v>11084701.65</v>
      </c>
      <c r="E25" s="41"/>
      <c r="F25" s="81">
        <f t="shared" ref="F25:O25" si="4">F4</f>
        <v>168797.58</v>
      </c>
      <c r="G25" s="41"/>
      <c r="H25" s="81">
        <f t="shared" ref="H25:O25" si="5">H4</f>
        <v>141350747.81000999</v>
      </c>
      <c r="I25" s="41"/>
      <c r="J25" s="81">
        <f t="shared" ref="J25:O25" si="6">J4</f>
        <v>105231576.650003</v>
      </c>
      <c r="K25" s="42"/>
      <c r="L25" s="39">
        <f t="shared" ref="L25:O25" si="7">L4</f>
        <v>20255513.629999701</v>
      </c>
      <c r="M25" s="41"/>
      <c r="N25" s="81">
        <f t="shared" ref="N25:O25" si="8">N4</f>
        <v>72286329.270003006</v>
      </c>
      <c r="O25" s="42"/>
    </row>
    <row r="26" spans="1:17" hidden="1" outlineLevel="1" x14ac:dyDescent="0.2">
      <c r="A26" s="23"/>
      <c r="B26" s="18"/>
      <c r="C26" s="17"/>
      <c r="D26" s="30"/>
      <c r="E26" s="17"/>
      <c r="F26" s="30"/>
      <c r="G26" s="17"/>
      <c r="H26" s="31"/>
      <c r="I26" s="16"/>
      <c r="J26" s="31"/>
      <c r="K26" s="19"/>
      <c r="L26" s="20"/>
      <c r="M26" s="16"/>
      <c r="N26" s="31"/>
      <c r="O26" s="19"/>
    </row>
    <row r="27" spans="1:17" hidden="1" outlineLevel="1" x14ac:dyDescent="0.2">
      <c r="A27" s="26" t="s">
        <v>9</v>
      </c>
      <c r="B27" s="27" t="s">
        <v>10</v>
      </c>
      <c r="C27" s="28" t="s">
        <v>25</v>
      </c>
      <c r="D27" s="32" t="s">
        <v>10</v>
      </c>
      <c r="E27" s="28" t="s">
        <v>25</v>
      </c>
      <c r="F27" s="32" t="s">
        <v>10</v>
      </c>
      <c r="G27" s="28" t="s">
        <v>25</v>
      </c>
      <c r="H27" s="32" t="s">
        <v>10</v>
      </c>
      <c r="I27" s="28" t="s">
        <v>25</v>
      </c>
      <c r="J27" s="32" t="s">
        <v>10</v>
      </c>
      <c r="K27" s="29" t="s">
        <v>25</v>
      </c>
      <c r="L27" s="27" t="s">
        <v>10</v>
      </c>
      <c r="M27" s="28" t="s">
        <v>25</v>
      </c>
      <c r="N27" s="32" t="s">
        <v>10</v>
      </c>
      <c r="O27" s="29" t="s">
        <v>25</v>
      </c>
    </row>
    <row r="28" spans="1:17" hidden="1" outlineLevel="1" x14ac:dyDescent="0.2">
      <c r="A28" s="24" t="str">
        <f>A7</f>
        <v>CIELO</v>
      </c>
      <c r="B28" s="8"/>
      <c r="C28" s="9">
        <f>B25*B28</f>
        <v>0</v>
      </c>
      <c r="D28" s="33"/>
      <c r="E28" s="9">
        <f>D25*D28</f>
        <v>0</v>
      </c>
      <c r="F28" s="33"/>
      <c r="G28" s="9">
        <f>F25*F28</f>
        <v>0</v>
      </c>
      <c r="H28" s="33"/>
      <c r="I28" s="9">
        <f>H25*H28</f>
        <v>0</v>
      </c>
      <c r="J28" s="33"/>
      <c r="K28" s="9">
        <f>J25*J28</f>
        <v>0</v>
      </c>
      <c r="L28" s="8"/>
      <c r="M28" s="9">
        <f>L25*L28</f>
        <v>0</v>
      </c>
      <c r="N28" s="33"/>
      <c r="O28" s="10">
        <f>N25*N28</f>
        <v>0</v>
      </c>
    </row>
    <row r="29" spans="1:17" hidden="1" outlineLevel="1" x14ac:dyDescent="0.2">
      <c r="A29" s="24" t="str">
        <f t="shared" ref="A29:A34" si="9">A8</f>
        <v>FISERV</v>
      </c>
      <c r="B29" s="8"/>
      <c r="C29" s="9">
        <f>B25*B29</f>
        <v>0</v>
      </c>
      <c r="D29" s="33"/>
      <c r="E29" s="9">
        <f>D25*D29</f>
        <v>0</v>
      </c>
      <c r="F29" s="33"/>
      <c r="G29" s="9">
        <f>F25*F29</f>
        <v>0</v>
      </c>
      <c r="H29" s="33"/>
      <c r="I29" s="9">
        <f>H25*H29</f>
        <v>0</v>
      </c>
      <c r="J29" s="33"/>
      <c r="K29" s="10">
        <f>J25*J29</f>
        <v>0</v>
      </c>
      <c r="L29" s="8"/>
      <c r="M29" s="9">
        <f>L25*L29</f>
        <v>0</v>
      </c>
      <c r="N29" s="33"/>
      <c r="O29" s="10">
        <f>N25*N29</f>
        <v>0</v>
      </c>
    </row>
    <row r="30" spans="1:17" hidden="1" outlineLevel="1" x14ac:dyDescent="0.2">
      <c r="A30" s="24" t="str">
        <f t="shared" si="9"/>
        <v>GETNET</v>
      </c>
      <c r="B30" s="8"/>
      <c r="C30" s="9">
        <f>B25*B30</f>
        <v>0</v>
      </c>
      <c r="D30" s="33"/>
      <c r="E30" s="9">
        <f>D25*D30</f>
        <v>0</v>
      </c>
      <c r="F30" s="33"/>
      <c r="G30" s="9">
        <f>F25*F30</f>
        <v>0</v>
      </c>
      <c r="H30" s="33"/>
      <c r="I30" s="9">
        <f>H25*H30</f>
        <v>0</v>
      </c>
      <c r="J30" s="33"/>
      <c r="K30" s="10">
        <f>J25*J30</f>
        <v>0</v>
      </c>
      <c r="L30" s="8"/>
      <c r="M30" s="9">
        <f>L25*L30</f>
        <v>0</v>
      </c>
      <c r="N30" s="33"/>
      <c r="O30" s="10">
        <f>N25*N30</f>
        <v>0</v>
      </c>
    </row>
    <row r="31" spans="1:17" hidden="1" outlineLevel="1" x14ac:dyDescent="0.2">
      <c r="A31" s="24" t="str">
        <f t="shared" si="9"/>
        <v>REDE</v>
      </c>
      <c r="B31" s="8"/>
      <c r="C31" s="9">
        <f>B25*B31</f>
        <v>0</v>
      </c>
      <c r="D31" s="33"/>
      <c r="E31" s="9">
        <f>D25*D31</f>
        <v>0</v>
      </c>
      <c r="F31" s="33"/>
      <c r="G31" s="9">
        <f>F25*F31</f>
        <v>0</v>
      </c>
      <c r="H31" s="33"/>
      <c r="I31" s="9">
        <f>H25*H31</f>
        <v>0</v>
      </c>
      <c r="J31" s="33"/>
      <c r="K31" s="10">
        <f>J25*J31</f>
        <v>0</v>
      </c>
      <c r="L31" s="8"/>
      <c r="M31" s="9">
        <f>L25*L31</f>
        <v>0</v>
      </c>
      <c r="N31" s="33"/>
      <c r="O31" s="10">
        <f>N25*N31</f>
        <v>0</v>
      </c>
    </row>
    <row r="32" spans="1:17" hidden="1" outlineLevel="1" x14ac:dyDescent="0.2">
      <c r="A32" s="24" t="str">
        <f t="shared" si="9"/>
        <v>SAFRAPAY</v>
      </c>
      <c r="B32" s="8"/>
      <c r="C32" s="9">
        <f>B25*B32</f>
        <v>0</v>
      </c>
      <c r="D32" s="33"/>
      <c r="E32" s="9">
        <f>D25*D32</f>
        <v>0</v>
      </c>
      <c r="F32" s="33"/>
      <c r="G32" s="9">
        <f>F25*F32</f>
        <v>0</v>
      </c>
      <c r="H32" s="33"/>
      <c r="I32" s="9">
        <f>H25*H32</f>
        <v>0</v>
      </c>
      <c r="J32" s="33"/>
      <c r="K32" s="10">
        <f>J25*J32</f>
        <v>0</v>
      </c>
      <c r="L32" s="8"/>
      <c r="M32" s="9">
        <f>L25*L32</f>
        <v>0</v>
      </c>
      <c r="N32" s="33"/>
      <c r="O32" s="10">
        <f>N25*N32</f>
        <v>0</v>
      </c>
    </row>
    <row r="33" spans="1:15" hidden="1" outlineLevel="1" x14ac:dyDescent="0.2">
      <c r="A33" s="24" t="str">
        <f t="shared" si="9"/>
        <v>STONE</v>
      </c>
      <c r="B33" s="8"/>
      <c r="C33" s="9">
        <f>B25*B33</f>
        <v>0</v>
      </c>
      <c r="D33" s="33"/>
      <c r="E33" s="9">
        <f>D25*D33</f>
        <v>0</v>
      </c>
      <c r="F33" s="33"/>
      <c r="G33" s="9">
        <f>F25*F33</f>
        <v>0</v>
      </c>
      <c r="H33" s="33"/>
      <c r="I33" s="9">
        <f>H25*H33</f>
        <v>0</v>
      </c>
      <c r="J33" s="33"/>
      <c r="K33" s="10">
        <f>J25*J33</f>
        <v>0</v>
      </c>
      <c r="L33" s="8"/>
      <c r="M33" s="9">
        <f>L25*L33</f>
        <v>0</v>
      </c>
      <c r="N33" s="33"/>
      <c r="O33" s="10">
        <f>N25*N33</f>
        <v>0</v>
      </c>
    </row>
    <row r="34" spans="1:15" ht="13.5" hidden="1" outlineLevel="1" thickBot="1" x14ac:dyDescent="0.25">
      <c r="A34" s="25" t="str">
        <f t="shared" si="9"/>
        <v>SUMUP</v>
      </c>
      <c r="B34" s="11"/>
      <c r="C34" s="12">
        <f>B25*B34</f>
        <v>0</v>
      </c>
      <c r="D34" s="13"/>
      <c r="E34" s="12">
        <f>D25*D34</f>
        <v>0</v>
      </c>
      <c r="F34" s="13"/>
      <c r="G34" s="12">
        <f>F25*F34</f>
        <v>0</v>
      </c>
      <c r="H34" s="13"/>
      <c r="I34" s="12">
        <f>H25*H34</f>
        <v>0</v>
      </c>
      <c r="J34" s="13"/>
      <c r="K34" s="14">
        <f>J25*J34</f>
        <v>0</v>
      </c>
      <c r="L34" s="11"/>
      <c r="M34" s="12">
        <f>L25*L34</f>
        <v>0</v>
      </c>
      <c r="N34" s="13"/>
      <c r="O34" s="14">
        <f>N25*N34</f>
        <v>0</v>
      </c>
    </row>
    <row r="35" spans="1:15" ht="13.5" hidden="1" outlineLevel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hidden="1" outlineLevel="1" x14ac:dyDescent="0.2">
      <c r="A36" s="63" t="s">
        <v>24</v>
      </c>
      <c r="B36" s="67" t="e">
        <f>SMALL(B28:B34,1)</f>
        <v>#NUM!</v>
      </c>
      <c r="C36" s="68">
        <f>SMALL(C28:C34,1)</f>
        <v>0</v>
      </c>
      <c r="D36" s="69" t="e">
        <f t="shared" ref="D36:O36" si="10">SMALL(D28:D34,1)</f>
        <v>#NUM!</v>
      </c>
      <c r="E36" s="70">
        <f t="shared" si="10"/>
        <v>0</v>
      </c>
      <c r="F36" s="69" t="e">
        <f t="shared" si="10"/>
        <v>#NUM!</v>
      </c>
      <c r="G36" s="70">
        <f t="shared" si="10"/>
        <v>0</v>
      </c>
      <c r="H36" s="69" t="e">
        <f t="shared" si="10"/>
        <v>#NUM!</v>
      </c>
      <c r="I36" s="70">
        <f t="shared" si="10"/>
        <v>0</v>
      </c>
      <c r="J36" s="69" t="e">
        <f t="shared" si="10"/>
        <v>#NUM!</v>
      </c>
      <c r="K36" s="71">
        <f t="shared" si="10"/>
        <v>0</v>
      </c>
      <c r="L36" s="67" t="e">
        <f t="shared" si="10"/>
        <v>#NUM!</v>
      </c>
      <c r="M36" s="70">
        <f t="shared" si="10"/>
        <v>0</v>
      </c>
      <c r="N36" s="69" t="e">
        <f t="shared" si="10"/>
        <v>#NUM!</v>
      </c>
      <c r="O36" s="71">
        <f t="shared" si="10"/>
        <v>0</v>
      </c>
    </row>
    <row r="37" spans="1:15" hidden="1" outlineLevel="1" x14ac:dyDescent="0.2">
      <c r="A37" s="64"/>
      <c r="B37" s="57"/>
      <c r="C37" s="58" t="str">
        <f>IF(C36=C28,A28,IF(C36=C29,A29,IF(C36=C30,A30,IF(C36=C31,A31,IF(C36=C32,A32,IF(C36=C33,A33,IF(C36=C34,A34,"Verificar")))))))</f>
        <v>CIELO</v>
      </c>
      <c r="D37" s="59"/>
      <c r="E37" s="58" t="str">
        <f>IF(E36=E28,A28,IF(E36=E29,A29,IF(E36=E30,A30,IF(E36=E31,A31,IF(E36=E32,A32,IF(E36=E33,A33,IF(E36=E34,A34,"Verificar")))))))</f>
        <v>CIELO</v>
      </c>
      <c r="F37" s="59"/>
      <c r="G37" s="58" t="str">
        <f>IF(G36=G28,A28,IF(G36=G29,A29,IF(G36=G30,A30,IF(G36=G31,A31,IF(G36=G32,A32,IF(G36=G33,A33,IF(G36=G34,A34,"Verificar")))))))</f>
        <v>CIELO</v>
      </c>
      <c r="H37" s="59"/>
      <c r="I37" s="58" t="str">
        <f>IF(I36=I28,A28,IF(I36=I29,A29,IF(I36=I30,A30,IF(I36=I31,A31,IF(I36=I32,A32,IF(I36=I33,A33,IF(I36=I34,A34,"Verificar")))))))</f>
        <v>CIELO</v>
      </c>
      <c r="J37" s="59"/>
      <c r="K37" s="58" t="str">
        <f>IF(K36=K28,A28,IF(K36=K29,A29,IF(K36=K30,A30,IF(K36=K31,A31,IF(K36=K32,A32,IF(K36=K33,A33,IF(K36=K34,A34,"Verificar")))))))</f>
        <v>CIELO</v>
      </c>
      <c r="L37" s="49"/>
      <c r="M37" s="50" t="str">
        <f>IF(M36=M28,A28,IF(M36=M29,A29,IF(M36=M30,A30,IF(M36=M31,A31,IF(M36=M32,A32,IF(M36=M33,A33,IF(M36=M34,A34,"Verificar")))))))</f>
        <v>CIELO</v>
      </c>
      <c r="N37" s="51"/>
      <c r="O37" s="52" t="str">
        <f>IF(O36=O28,A28,IF(O36=O29,A29,IF(O36=O30,A30,IF(O36=O31,A31,IF(O36=O32,A32,IF(O36=O33,A33,IF(O36=O34,A34,"Verificar")))))))</f>
        <v>CIELO</v>
      </c>
    </row>
    <row r="38" spans="1:15" hidden="1" outlineLevel="1" x14ac:dyDescent="0.2">
      <c r="A38" s="65" t="s">
        <v>22</v>
      </c>
      <c r="B38" s="72" t="e">
        <f>SMALL(B28:B34,2)</f>
        <v>#NUM!</v>
      </c>
      <c r="C38" s="73">
        <f t="shared" ref="C38:O38" si="11">SMALL(C28:C34,2)</f>
        <v>0</v>
      </c>
      <c r="D38" s="74" t="e">
        <f t="shared" si="11"/>
        <v>#NUM!</v>
      </c>
      <c r="E38" s="75">
        <f t="shared" si="11"/>
        <v>0</v>
      </c>
      <c r="F38" s="74" t="e">
        <f t="shared" si="11"/>
        <v>#NUM!</v>
      </c>
      <c r="G38" s="75">
        <f t="shared" si="11"/>
        <v>0</v>
      </c>
      <c r="H38" s="74" t="e">
        <f t="shared" si="11"/>
        <v>#NUM!</v>
      </c>
      <c r="I38" s="75">
        <f t="shared" si="11"/>
        <v>0</v>
      </c>
      <c r="J38" s="74" t="e">
        <f t="shared" si="11"/>
        <v>#NUM!</v>
      </c>
      <c r="K38" s="76">
        <f t="shared" si="11"/>
        <v>0</v>
      </c>
      <c r="L38" s="72" t="e">
        <f t="shared" si="11"/>
        <v>#NUM!</v>
      </c>
      <c r="M38" s="75">
        <f t="shared" si="11"/>
        <v>0</v>
      </c>
      <c r="N38" s="74" t="e">
        <f t="shared" si="11"/>
        <v>#NUM!</v>
      </c>
      <c r="O38" s="76">
        <f t="shared" si="11"/>
        <v>0</v>
      </c>
    </row>
    <row r="39" spans="1:15" hidden="1" outlineLevel="1" x14ac:dyDescent="0.2">
      <c r="A39" s="64"/>
      <c r="B39" s="57"/>
      <c r="C39" s="58" t="str">
        <f>IF(C38=C28,A28,IF(C38=C29,A29,IF(C38=C30,A30,IF(C38=C31,A31,IF(C38=C32,A32,IF(C38=C33,A33,IF(C38=C34,A34,"Verificar")))))))</f>
        <v>CIELO</v>
      </c>
      <c r="D39" s="59"/>
      <c r="E39" s="58" t="str">
        <f>IF(E38=E28,A28,IF(E38=E29,A29,IF(E38=E30,A30,IF(E38=E31,A31,IF(E38=E32,A32,IF(E38=E33,A33,IF(E38=E34,A34,"Verificar")))))))</f>
        <v>CIELO</v>
      </c>
      <c r="F39" s="59"/>
      <c r="G39" s="58" t="str">
        <f>IF(G38=G28,A28,IF(G38=G29,A29,IF(G38=G30,A30,IF(G38=G31,A31,IF(G38=G32,A32,IF(G38=G33,A33,IF(G38=G34,A34,"Verificar")))))))</f>
        <v>CIELO</v>
      </c>
      <c r="H39" s="59"/>
      <c r="I39" s="58" t="str">
        <f>IF(I38=I28,A28,IF(I38=I29,A29,IF(I38=I30,A30,IF(I38=I31,A31,IF(I38=I32,A32,IF(I38=I33,A33,IF(I38=I34,A34,"Verificar")))))))</f>
        <v>CIELO</v>
      </c>
      <c r="J39" s="59"/>
      <c r="K39" s="58" t="str">
        <f>IF(K38=K28,A28,IF(K38=K29,A29,IF(K38=K30,A30,IF(K38=K31,A31,IF(K38=K32,A32,IF(K38=K33,A33,IF(K38=K34,A34,"Verificar")))))))</f>
        <v>CIELO</v>
      </c>
      <c r="L39" s="49"/>
      <c r="M39" s="50" t="str">
        <f>IF(M38=M28,A28,IF(M38=M29,A29,IF(M38=M30,A30,IF(M38=M31,A31,IF(M38=M32,A32,IF(M38=M33,A33,IF(M38=M34,A34,"Verificar")))))))</f>
        <v>CIELO</v>
      </c>
      <c r="N39" s="51"/>
      <c r="O39" s="52" t="str">
        <f>IF(O38=O28,A28,IF(O38=O29,A29,IF(O38=O30,A30,IF(O38=O31,A31,IF(O38=O32,A32,IF(O38=O33,A33,IF(O38=O34,A34,"Verificar")))))))</f>
        <v>CIELO</v>
      </c>
    </row>
    <row r="40" spans="1:15" hidden="1" outlineLevel="1" x14ac:dyDescent="0.2">
      <c r="A40" s="65" t="s">
        <v>23</v>
      </c>
      <c r="B40" s="72" t="e">
        <f>SMALL(B28:B34,3)</f>
        <v>#NUM!</v>
      </c>
      <c r="C40" s="73">
        <f t="shared" ref="C40:O40" si="12">SMALL(C28:C34,3)</f>
        <v>0</v>
      </c>
      <c r="D40" s="74" t="e">
        <f t="shared" si="12"/>
        <v>#NUM!</v>
      </c>
      <c r="E40" s="75">
        <f t="shared" si="12"/>
        <v>0</v>
      </c>
      <c r="F40" s="74" t="e">
        <f t="shared" si="12"/>
        <v>#NUM!</v>
      </c>
      <c r="G40" s="75">
        <f t="shared" si="12"/>
        <v>0</v>
      </c>
      <c r="H40" s="74" t="e">
        <f t="shared" si="12"/>
        <v>#NUM!</v>
      </c>
      <c r="I40" s="75">
        <f t="shared" si="12"/>
        <v>0</v>
      </c>
      <c r="J40" s="74" t="e">
        <f t="shared" si="12"/>
        <v>#NUM!</v>
      </c>
      <c r="K40" s="76">
        <f t="shared" si="12"/>
        <v>0</v>
      </c>
      <c r="L40" s="72" t="e">
        <f t="shared" si="12"/>
        <v>#NUM!</v>
      </c>
      <c r="M40" s="75">
        <f t="shared" si="12"/>
        <v>0</v>
      </c>
      <c r="N40" s="74" t="e">
        <f t="shared" si="12"/>
        <v>#NUM!</v>
      </c>
      <c r="O40" s="76">
        <f t="shared" si="12"/>
        <v>0</v>
      </c>
    </row>
    <row r="41" spans="1:15" ht="13.5" hidden="1" outlineLevel="1" thickBot="1" x14ac:dyDescent="0.25">
      <c r="A41" s="66"/>
      <c r="B41" s="60"/>
      <c r="C41" s="61" t="str">
        <f>IF(C40=C28,A28,IF(C40=C29,A29,IF(C40=C30,A30,IF(C40=C31,A31,IF(C40=C32,A32,IF(C40=C33,A33,IF(C40=C34,A34,"Verificar")))))))</f>
        <v>CIELO</v>
      </c>
      <c r="D41" s="62"/>
      <c r="E41" s="61" t="str">
        <f>IF(E40=E28,A28,IF(E40=E29,A29,IF(E40=E30,A30,IF(E40=E31,A31,IF(E40=E32,A32,IF(E40=E33,A33,IF(E40=E34,A34,"Verificar")))))))</f>
        <v>CIELO</v>
      </c>
      <c r="F41" s="62"/>
      <c r="G41" s="61" t="str">
        <f>IF(G40=G28,A28,IF(G40=G29,A29,IF(G40=G30,A30,IF(G40=G31,A31,IF(G40=G32,A32,IF(G40=G33,A33,IF(G40=G34,A34,"Verificar")))))))</f>
        <v>CIELO</v>
      </c>
      <c r="H41" s="62"/>
      <c r="I41" s="61" t="str">
        <f>IF(I40=I28,A28,IF(I40=I29,A29,IF(I40=I30,A30,IF(I40=I31,A31,IF(I40=I32,A32,IF(I40=I33,A33,IF(I40=I34,A34,"Verificar")))))))</f>
        <v>CIELO</v>
      </c>
      <c r="J41" s="62"/>
      <c r="K41" s="61" t="str">
        <f>IF(K40=K28,A28,IF(K40=K29,A29,IF(K40=K30,A30,IF(K40=K31,A31,IF(K40=K32,A32,IF(K40=K33,A33,IF(K40=K34,A34,"Verificar")))))))</f>
        <v>CIELO</v>
      </c>
      <c r="L41" s="53"/>
      <c r="M41" s="54" t="str">
        <f>IF(M40=M28,A28,IF(M40=M29,A29,IF(M40=M30,A30,IF(M40=M31,A31,IF(M40=M32,A32,IF(M40=M33,A33,IF(M40=M34,A34,"Verificar")))))))</f>
        <v>CIELO</v>
      </c>
      <c r="N41" s="55"/>
      <c r="O41" s="56" t="str">
        <f>IF(O40=O28,A28,IF(O40=O29,A29,IF(O40=O30,A30,IF(O40=O31,A31,IF(O40=O32,A32,IF(O40=O33,A33,IF(O40=O34,A34,"Verificar")))))))</f>
        <v>CIELO</v>
      </c>
    </row>
    <row r="42" spans="1:15" hidden="1" outlineLevel="1" x14ac:dyDescent="0.2"/>
    <row r="43" spans="1:15" collapsed="1" x14ac:dyDescent="0.2">
      <c r="A43" s="21" t="s">
        <v>28</v>
      </c>
    </row>
    <row r="44" spans="1:15" s="15" customFormat="1" ht="13.5" hidden="1" outlineLevel="1" collapsed="1" thickBot="1" x14ac:dyDescent="0.25">
      <c r="B44" s="43" t="s">
        <v>1</v>
      </c>
      <c r="C44" s="44" t="s">
        <v>1</v>
      </c>
      <c r="D44" s="44" t="s">
        <v>1</v>
      </c>
      <c r="E44" s="44" t="s">
        <v>1</v>
      </c>
      <c r="F44" s="44" t="s">
        <v>1</v>
      </c>
      <c r="G44" s="44" t="s">
        <v>1</v>
      </c>
      <c r="H44" s="44" t="s">
        <v>1</v>
      </c>
      <c r="I44" s="44" t="s">
        <v>1</v>
      </c>
      <c r="J44" s="44" t="s">
        <v>1</v>
      </c>
      <c r="K44" s="45" t="s">
        <v>1</v>
      </c>
      <c r="L44" s="46" t="s">
        <v>2</v>
      </c>
      <c r="M44" s="47" t="s">
        <v>2</v>
      </c>
      <c r="N44" s="47" t="s">
        <v>2</v>
      </c>
      <c r="O44" s="48" t="s">
        <v>2</v>
      </c>
    </row>
    <row r="45" spans="1:15" s="15" customFormat="1" hidden="1" outlineLevel="1" x14ac:dyDescent="0.2">
      <c r="A45" s="34" t="s">
        <v>3</v>
      </c>
      <c r="B45" s="35" t="s">
        <v>4</v>
      </c>
      <c r="C45" s="37" t="s">
        <v>4</v>
      </c>
      <c r="D45" s="36" t="s">
        <v>5</v>
      </c>
      <c r="E45" s="37" t="s">
        <v>5</v>
      </c>
      <c r="F45" s="36" t="s">
        <v>6</v>
      </c>
      <c r="G45" s="37" t="s">
        <v>6</v>
      </c>
      <c r="H45" s="36" t="s">
        <v>7</v>
      </c>
      <c r="I45" s="37" t="s">
        <v>7</v>
      </c>
      <c r="J45" s="36" t="s">
        <v>8</v>
      </c>
      <c r="K45" s="38" t="s">
        <v>8</v>
      </c>
      <c r="L45" s="35" t="s">
        <v>5</v>
      </c>
      <c r="M45" s="37" t="s">
        <v>5</v>
      </c>
      <c r="N45" s="36" t="s">
        <v>8</v>
      </c>
      <c r="O45" s="38" t="s">
        <v>8</v>
      </c>
    </row>
    <row r="46" spans="1:15" s="15" customFormat="1" hidden="1" outlineLevel="1" x14ac:dyDescent="0.2">
      <c r="A46" s="24" t="s">
        <v>21</v>
      </c>
      <c r="B46" s="39">
        <f>B25</f>
        <v>4219179.8099999996</v>
      </c>
      <c r="C46" s="41"/>
      <c r="D46" s="81">
        <f t="shared" ref="D46:O46" si="13">D25</f>
        <v>11084701.65</v>
      </c>
      <c r="E46" s="41"/>
      <c r="F46" s="81">
        <f t="shared" ref="F46:O46" si="14">F25</f>
        <v>168797.58</v>
      </c>
      <c r="G46" s="41"/>
      <c r="H46" s="81">
        <f t="shared" ref="H46:O46" si="15">H25</f>
        <v>141350747.81000999</v>
      </c>
      <c r="I46" s="41"/>
      <c r="J46" s="81">
        <f t="shared" ref="J46:O46" si="16">J25</f>
        <v>105231576.650003</v>
      </c>
      <c r="K46" s="42"/>
      <c r="L46" s="39">
        <f t="shared" ref="L46:O46" si="17">L25</f>
        <v>20255513.629999701</v>
      </c>
      <c r="M46" s="41"/>
      <c r="N46" s="81">
        <f t="shared" ref="N46:O46" si="18">N25</f>
        <v>72286329.270003006</v>
      </c>
      <c r="O46" s="42"/>
    </row>
    <row r="47" spans="1:15" s="15" customFormat="1" hidden="1" outlineLevel="1" x14ac:dyDescent="0.2">
      <c r="A47" s="23"/>
      <c r="B47" s="18"/>
      <c r="C47" s="17"/>
      <c r="D47" s="30"/>
      <c r="E47" s="17"/>
      <c r="F47" s="30"/>
      <c r="G47" s="17"/>
      <c r="H47" s="31"/>
      <c r="I47" s="16"/>
      <c r="J47" s="31"/>
      <c r="K47" s="19"/>
      <c r="L47" s="20"/>
      <c r="M47" s="16"/>
      <c r="N47" s="31"/>
      <c r="O47" s="19"/>
    </row>
    <row r="48" spans="1:15" s="15" customFormat="1" hidden="1" outlineLevel="1" x14ac:dyDescent="0.2">
      <c r="A48" s="26" t="s">
        <v>9</v>
      </c>
      <c r="B48" s="27" t="s">
        <v>10</v>
      </c>
      <c r="C48" s="28" t="s">
        <v>25</v>
      </c>
      <c r="D48" s="32" t="s">
        <v>10</v>
      </c>
      <c r="E48" s="28" t="s">
        <v>25</v>
      </c>
      <c r="F48" s="32" t="s">
        <v>10</v>
      </c>
      <c r="G48" s="28" t="s">
        <v>25</v>
      </c>
      <c r="H48" s="32" t="s">
        <v>10</v>
      </c>
      <c r="I48" s="28" t="s">
        <v>25</v>
      </c>
      <c r="J48" s="32" t="s">
        <v>10</v>
      </c>
      <c r="K48" s="29" t="s">
        <v>25</v>
      </c>
      <c r="L48" s="27" t="s">
        <v>10</v>
      </c>
      <c r="M48" s="28" t="s">
        <v>25</v>
      </c>
      <c r="N48" s="32" t="s">
        <v>10</v>
      </c>
      <c r="O48" s="29" t="s">
        <v>25</v>
      </c>
    </row>
    <row r="49" spans="1:15" s="15" customFormat="1" hidden="1" outlineLevel="1" x14ac:dyDescent="0.2">
      <c r="A49" s="24" t="str">
        <f>A28</f>
        <v>CIELO</v>
      </c>
      <c r="B49" s="8"/>
      <c r="C49" s="9">
        <f>B46*B49</f>
        <v>0</v>
      </c>
      <c r="D49" s="33"/>
      <c r="E49" s="9">
        <f>D46*D49</f>
        <v>0</v>
      </c>
      <c r="F49" s="33"/>
      <c r="G49" s="9">
        <f>F46*F49</f>
        <v>0</v>
      </c>
      <c r="H49" s="33"/>
      <c r="I49" s="9">
        <f>H46*H49</f>
        <v>0</v>
      </c>
      <c r="J49" s="33"/>
      <c r="K49" s="9">
        <f>J46*J49</f>
        <v>0</v>
      </c>
      <c r="L49" s="8"/>
      <c r="M49" s="9">
        <f>L46*L49</f>
        <v>0</v>
      </c>
      <c r="N49" s="33"/>
      <c r="O49" s="10">
        <f>N46*N49</f>
        <v>0</v>
      </c>
    </row>
    <row r="50" spans="1:15" s="15" customFormat="1" hidden="1" outlineLevel="1" x14ac:dyDescent="0.2">
      <c r="A50" s="24" t="str">
        <f t="shared" ref="A50:A55" si="19">A29</f>
        <v>FISERV</v>
      </c>
      <c r="B50" s="8"/>
      <c r="C50" s="9">
        <f>B46*B50</f>
        <v>0</v>
      </c>
      <c r="D50" s="33"/>
      <c r="E50" s="9">
        <f>D46*D50</f>
        <v>0</v>
      </c>
      <c r="F50" s="33"/>
      <c r="G50" s="9">
        <f>F46*F50</f>
        <v>0</v>
      </c>
      <c r="H50" s="33"/>
      <c r="I50" s="9">
        <f>H46*H50</f>
        <v>0</v>
      </c>
      <c r="J50" s="33"/>
      <c r="K50" s="10">
        <f>J46*J50</f>
        <v>0</v>
      </c>
      <c r="L50" s="8"/>
      <c r="M50" s="9">
        <f>L46*L50</f>
        <v>0</v>
      </c>
      <c r="N50" s="33"/>
      <c r="O50" s="10">
        <f>N46*N50</f>
        <v>0</v>
      </c>
    </row>
    <row r="51" spans="1:15" s="15" customFormat="1" hidden="1" outlineLevel="1" x14ac:dyDescent="0.2">
      <c r="A51" s="24" t="str">
        <f t="shared" si="19"/>
        <v>GETNET</v>
      </c>
      <c r="B51" s="8"/>
      <c r="C51" s="9">
        <f>B46*B51</f>
        <v>0</v>
      </c>
      <c r="D51" s="33"/>
      <c r="E51" s="9">
        <f>D46*D51</f>
        <v>0</v>
      </c>
      <c r="F51" s="33"/>
      <c r="G51" s="9">
        <f>F46*F51</f>
        <v>0</v>
      </c>
      <c r="H51" s="33"/>
      <c r="I51" s="9">
        <f>H46*H51</f>
        <v>0</v>
      </c>
      <c r="J51" s="33"/>
      <c r="K51" s="10">
        <f>J46*J51</f>
        <v>0</v>
      </c>
      <c r="L51" s="8"/>
      <c r="M51" s="9">
        <f>L46*L51</f>
        <v>0</v>
      </c>
      <c r="N51" s="33"/>
      <c r="O51" s="10">
        <f>N46*N51</f>
        <v>0</v>
      </c>
    </row>
    <row r="52" spans="1:15" s="15" customFormat="1" hidden="1" outlineLevel="1" x14ac:dyDescent="0.2">
      <c r="A52" s="24" t="str">
        <f t="shared" si="19"/>
        <v>REDE</v>
      </c>
      <c r="B52" s="8"/>
      <c r="C52" s="9">
        <f>B46*B52</f>
        <v>0</v>
      </c>
      <c r="D52" s="33"/>
      <c r="E52" s="9">
        <f>D46*D52</f>
        <v>0</v>
      </c>
      <c r="F52" s="33"/>
      <c r="G52" s="9">
        <f>F46*F52</f>
        <v>0</v>
      </c>
      <c r="H52" s="33"/>
      <c r="I52" s="9">
        <f>H46*H52</f>
        <v>0</v>
      </c>
      <c r="J52" s="33"/>
      <c r="K52" s="10">
        <f>J46*J52</f>
        <v>0</v>
      </c>
      <c r="L52" s="8"/>
      <c r="M52" s="9">
        <f>L46*L52</f>
        <v>0</v>
      </c>
      <c r="N52" s="33"/>
      <c r="O52" s="10">
        <f>N46*N52</f>
        <v>0</v>
      </c>
    </row>
    <row r="53" spans="1:15" s="15" customFormat="1" hidden="1" outlineLevel="1" x14ac:dyDescent="0.2">
      <c r="A53" s="24" t="str">
        <f t="shared" si="19"/>
        <v>SAFRAPAY</v>
      </c>
      <c r="B53" s="8"/>
      <c r="C53" s="9">
        <f>B46*B53</f>
        <v>0</v>
      </c>
      <c r="D53" s="33"/>
      <c r="E53" s="9">
        <f>D46*D53</f>
        <v>0</v>
      </c>
      <c r="F53" s="33"/>
      <c r="G53" s="9">
        <f>F46*F53</f>
        <v>0</v>
      </c>
      <c r="H53" s="33"/>
      <c r="I53" s="9">
        <f>H46*H53</f>
        <v>0</v>
      </c>
      <c r="J53" s="33"/>
      <c r="K53" s="10">
        <f>J46*J53</f>
        <v>0</v>
      </c>
      <c r="L53" s="8"/>
      <c r="M53" s="9">
        <f>L46*L53</f>
        <v>0</v>
      </c>
      <c r="N53" s="33"/>
      <c r="O53" s="10">
        <f>N46*N53</f>
        <v>0</v>
      </c>
    </row>
    <row r="54" spans="1:15" s="15" customFormat="1" hidden="1" outlineLevel="1" x14ac:dyDescent="0.2">
      <c r="A54" s="24" t="str">
        <f t="shared" si="19"/>
        <v>STONE</v>
      </c>
      <c r="B54" s="8"/>
      <c r="C54" s="9">
        <f>B46*B54</f>
        <v>0</v>
      </c>
      <c r="D54" s="33"/>
      <c r="E54" s="9">
        <f>D46*D54</f>
        <v>0</v>
      </c>
      <c r="F54" s="33"/>
      <c r="G54" s="9">
        <f>F46*F54</f>
        <v>0</v>
      </c>
      <c r="H54" s="33"/>
      <c r="I54" s="9">
        <f>H46*H54</f>
        <v>0</v>
      </c>
      <c r="J54" s="33"/>
      <c r="K54" s="10">
        <f>J46*J54</f>
        <v>0</v>
      </c>
      <c r="L54" s="8"/>
      <c r="M54" s="9">
        <f>L46*L54</f>
        <v>0</v>
      </c>
      <c r="N54" s="33"/>
      <c r="O54" s="10">
        <f>N46*N54</f>
        <v>0</v>
      </c>
    </row>
    <row r="55" spans="1:15" s="15" customFormat="1" ht="13.5" hidden="1" outlineLevel="1" thickBot="1" x14ac:dyDescent="0.25">
      <c r="A55" s="25" t="str">
        <f t="shared" si="19"/>
        <v>SUMUP</v>
      </c>
      <c r="B55" s="11"/>
      <c r="C55" s="12">
        <f>B46*B55</f>
        <v>0</v>
      </c>
      <c r="D55" s="13"/>
      <c r="E55" s="12">
        <f>D46*D55</f>
        <v>0</v>
      </c>
      <c r="F55" s="13"/>
      <c r="G55" s="12">
        <f>F46*F55</f>
        <v>0</v>
      </c>
      <c r="H55" s="13"/>
      <c r="I55" s="12">
        <f>H46*H55</f>
        <v>0</v>
      </c>
      <c r="J55" s="13"/>
      <c r="K55" s="14">
        <f>J46*J55</f>
        <v>0</v>
      </c>
      <c r="L55" s="11"/>
      <c r="M55" s="12">
        <f>L46*L55</f>
        <v>0</v>
      </c>
      <c r="N55" s="13"/>
      <c r="O55" s="14">
        <f>N46*N55</f>
        <v>0</v>
      </c>
    </row>
    <row r="56" spans="1:15" s="15" customFormat="1" ht="13.5" hidden="1" outlineLevel="1" thickBot="1" x14ac:dyDescent="0.25"/>
    <row r="57" spans="1:15" s="15" customFormat="1" hidden="1" outlineLevel="1" x14ac:dyDescent="0.2">
      <c r="A57" s="63" t="s">
        <v>24</v>
      </c>
      <c r="B57" s="67" t="e">
        <f>SMALL(B49:B55,1)</f>
        <v>#NUM!</v>
      </c>
      <c r="C57" s="68">
        <f>SMALL(C49:C55,1)</f>
        <v>0</v>
      </c>
      <c r="D57" s="69" t="e">
        <f t="shared" ref="D57:O57" si="20">SMALL(D49:D55,1)</f>
        <v>#NUM!</v>
      </c>
      <c r="E57" s="70">
        <f t="shared" si="20"/>
        <v>0</v>
      </c>
      <c r="F57" s="69" t="e">
        <f t="shared" si="20"/>
        <v>#NUM!</v>
      </c>
      <c r="G57" s="70">
        <f t="shared" si="20"/>
        <v>0</v>
      </c>
      <c r="H57" s="69" t="e">
        <f t="shared" si="20"/>
        <v>#NUM!</v>
      </c>
      <c r="I57" s="70">
        <f t="shared" si="20"/>
        <v>0</v>
      </c>
      <c r="J57" s="69" t="e">
        <f t="shared" si="20"/>
        <v>#NUM!</v>
      </c>
      <c r="K57" s="71">
        <f t="shared" si="20"/>
        <v>0</v>
      </c>
      <c r="L57" s="67" t="e">
        <f t="shared" si="20"/>
        <v>#NUM!</v>
      </c>
      <c r="M57" s="70">
        <f t="shared" si="20"/>
        <v>0</v>
      </c>
      <c r="N57" s="69" t="e">
        <f t="shared" si="20"/>
        <v>#NUM!</v>
      </c>
      <c r="O57" s="71">
        <f t="shared" si="20"/>
        <v>0</v>
      </c>
    </row>
    <row r="58" spans="1:15" s="15" customFormat="1" hidden="1" outlineLevel="1" x14ac:dyDescent="0.2">
      <c r="A58" s="64"/>
      <c r="B58" s="57"/>
      <c r="C58" s="58" t="str">
        <f>IF(C57=C49,A49,IF(C57=C50,A50,IF(C57=C51,A51,IF(C57=C52,A52,IF(C57=C53,A53,IF(C57=C54,A54,IF(C57=C55,A55,"Verificar")))))))</f>
        <v>CIELO</v>
      </c>
      <c r="D58" s="59"/>
      <c r="E58" s="58" t="str">
        <f>IF(E57=E49,A49,IF(E57=E50,A50,IF(E57=E51,A51,IF(E57=E52,A52,IF(E57=E53,A53,IF(E57=E54,A54,IF(E57=E55,A55,"Verificar")))))))</f>
        <v>CIELO</v>
      </c>
      <c r="F58" s="59"/>
      <c r="G58" s="58" t="str">
        <f>IF(G57=G49,A49,IF(G57=G50,A50,IF(G57=G51,A51,IF(G57=G52,A52,IF(G57=G53,A53,IF(G57=G54,A54,IF(G57=G55,A55,"Verificar")))))))</f>
        <v>CIELO</v>
      </c>
      <c r="H58" s="59"/>
      <c r="I58" s="58" t="str">
        <f>IF(I57=I49,A49,IF(I57=I50,A50,IF(I57=I51,A51,IF(I57=I52,A52,IF(I57=I53,A53,IF(I57=I54,A54,IF(I57=I55,A55,"Verificar")))))))</f>
        <v>CIELO</v>
      </c>
      <c r="J58" s="59"/>
      <c r="K58" s="58" t="str">
        <f>IF(K57=K49,A49,IF(K57=K50,A50,IF(K57=K51,A51,IF(K57=K52,A52,IF(K57=K53,A53,IF(K57=K54,A54,IF(K57=K55,A55,"Verificar")))))))</f>
        <v>CIELO</v>
      </c>
      <c r="L58" s="49"/>
      <c r="M58" s="50" t="str">
        <f>IF(M57=M49,A49,IF(M57=M50,A50,IF(M57=M51,A51,IF(M57=M52,A52,IF(M57=M53,A53,IF(M57=M54,A54,IF(M57=M55,A55,"Verificar")))))))</f>
        <v>CIELO</v>
      </c>
      <c r="N58" s="51"/>
      <c r="O58" s="52" t="str">
        <f>IF(O57=O49,A49,IF(O57=O50,A50,IF(O57=O51,A51,IF(O57=O52,A52,IF(O57=O53,A53,IF(O57=O54,A54,IF(O57=O55,A55,"Verificar")))))))</f>
        <v>CIELO</v>
      </c>
    </row>
    <row r="59" spans="1:15" s="15" customFormat="1" hidden="1" outlineLevel="1" x14ac:dyDescent="0.2">
      <c r="A59" s="65" t="s">
        <v>22</v>
      </c>
      <c r="B59" s="72" t="e">
        <f>SMALL(B49:B55,2)</f>
        <v>#NUM!</v>
      </c>
      <c r="C59" s="73">
        <f t="shared" ref="C59:O59" si="21">SMALL(C49:C55,2)</f>
        <v>0</v>
      </c>
      <c r="D59" s="74" t="e">
        <f t="shared" si="21"/>
        <v>#NUM!</v>
      </c>
      <c r="E59" s="75">
        <f t="shared" si="21"/>
        <v>0</v>
      </c>
      <c r="F59" s="74" t="e">
        <f t="shared" si="21"/>
        <v>#NUM!</v>
      </c>
      <c r="G59" s="75">
        <f t="shared" si="21"/>
        <v>0</v>
      </c>
      <c r="H59" s="74" t="e">
        <f t="shared" si="21"/>
        <v>#NUM!</v>
      </c>
      <c r="I59" s="75">
        <f t="shared" si="21"/>
        <v>0</v>
      </c>
      <c r="J59" s="74" t="e">
        <f t="shared" si="21"/>
        <v>#NUM!</v>
      </c>
      <c r="K59" s="76">
        <f t="shared" si="21"/>
        <v>0</v>
      </c>
      <c r="L59" s="72" t="e">
        <f t="shared" si="21"/>
        <v>#NUM!</v>
      </c>
      <c r="M59" s="75">
        <f t="shared" si="21"/>
        <v>0</v>
      </c>
      <c r="N59" s="74" t="e">
        <f t="shared" si="21"/>
        <v>#NUM!</v>
      </c>
      <c r="O59" s="76">
        <f t="shared" si="21"/>
        <v>0</v>
      </c>
    </row>
    <row r="60" spans="1:15" s="15" customFormat="1" hidden="1" outlineLevel="1" x14ac:dyDescent="0.2">
      <c r="A60" s="64"/>
      <c r="B60" s="57"/>
      <c r="C60" s="58" t="str">
        <f>IF(C59=C49,A49,IF(C59=C50,A50,IF(C59=C51,A51,IF(C59=C52,A52,IF(C59=C53,A53,IF(C59=C54,A54,IF(C59=C55,A55,"Verificar")))))))</f>
        <v>CIELO</v>
      </c>
      <c r="D60" s="59"/>
      <c r="E60" s="58" t="str">
        <f>IF(E59=E49,A49,IF(E59=E50,A50,IF(E59=E51,A51,IF(E59=E52,A52,IF(E59=E53,A53,IF(E59=E54,A54,IF(E59=E55,A55,"Verificar")))))))</f>
        <v>CIELO</v>
      </c>
      <c r="F60" s="59"/>
      <c r="G60" s="58" t="str">
        <f>IF(G59=G49,A49,IF(G59=G50,A50,IF(G59=G51,A51,IF(G59=G52,A52,IF(G59=G53,A53,IF(G59=G54,A54,IF(G59=G55,A55,"Verificar")))))))</f>
        <v>CIELO</v>
      </c>
      <c r="H60" s="59"/>
      <c r="I60" s="58" t="str">
        <f>IF(I59=I49,A49,IF(I59=I50,A50,IF(I59=I51,A51,IF(I59=I52,A52,IF(I59=I53,A53,IF(I59=I54,A54,IF(I59=I55,A55,"Verificar")))))))</f>
        <v>CIELO</v>
      </c>
      <c r="J60" s="59"/>
      <c r="K60" s="58" t="str">
        <f>IF(K59=K49,A49,IF(K59=K50,A50,IF(K59=K51,A51,IF(K59=K52,A52,IF(K59=K53,A53,IF(K59=K54,A54,IF(K59=K55,A55,"Verificar")))))))</f>
        <v>CIELO</v>
      </c>
      <c r="L60" s="49"/>
      <c r="M60" s="50" t="str">
        <f>IF(M59=M49,A49,IF(M59=M50,A50,IF(M59=M51,A51,IF(M59=M52,A52,IF(M59=M53,A53,IF(M59=M54,A54,IF(M59=M55,A55,"Verificar")))))))</f>
        <v>CIELO</v>
      </c>
      <c r="N60" s="51"/>
      <c r="O60" s="52" t="str">
        <f>IF(O59=O49,A49,IF(O59=O50,A50,IF(O59=O51,A51,IF(O59=O52,A52,IF(O59=O53,A53,IF(O59=O54,A54,IF(O59=O55,A55,"Verificar")))))))</f>
        <v>CIELO</v>
      </c>
    </row>
    <row r="61" spans="1:15" s="15" customFormat="1" hidden="1" outlineLevel="1" x14ac:dyDescent="0.2">
      <c r="A61" s="65" t="s">
        <v>23</v>
      </c>
      <c r="B61" s="72" t="e">
        <f>SMALL(B49:B55,3)</f>
        <v>#NUM!</v>
      </c>
      <c r="C61" s="73">
        <f t="shared" ref="C61:O61" si="22">SMALL(C49:C55,3)</f>
        <v>0</v>
      </c>
      <c r="D61" s="74" t="e">
        <f t="shared" si="22"/>
        <v>#NUM!</v>
      </c>
      <c r="E61" s="75">
        <f t="shared" si="22"/>
        <v>0</v>
      </c>
      <c r="F61" s="74" t="e">
        <f t="shared" si="22"/>
        <v>#NUM!</v>
      </c>
      <c r="G61" s="75">
        <f t="shared" si="22"/>
        <v>0</v>
      </c>
      <c r="H61" s="74" t="e">
        <f t="shared" si="22"/>
        <v>#NUM!</v>
      </c>
      <c r="I61" s="75">
        <f t="shared" si="22"/>
        <v>0</v>
      </c>
      <c r="J61" s="74" t="e">
        <f t="shared" si="22"/>
        <v>#NUM!</v>
      </c>
      <c r="K61" s="76">
        <f t="shared" si="22"/>
        <v>0</v>
      </c>
      <c r="L61" s="72" t="e">
        <f t="shared" si="22"/>
        <v>#NUM!</v>
      </c>
      <c r="M61" s="75">
        <f t="shared" si="22"/>
        <v>0</v>
      </c>
      <c r="N61" s="74" t="e">
        <f t="shared" si="22"/>
        <v>#NUM!</v>
      </c>
      <c r="O61" s="76">
        <f t="shared" si="22"/>
        <v>0</v>
      </c>
    </row>
    <row r="62" spans="1:15" s="15" customFormat="1" ht="13.5" hidden="1" outlineLevel="1" thickBot="1" x14ac:dyDescent="0.25">
      <c r="A62" s="66"/>
      <c r="B62" s="60"/>
      <c r="C62" s="61" t="str">
        <f>IF(C61=C49,A49,IF(C61=C50,A50,IF(C61=C51,A51,IF(C61=C52,A52,IF(C61=C53,A53,IF(C61=C54,A54,IF(C61=C55,A55,"Verificar")))))))</f>
        <v>CIELO</v>
      </c>
      <c r="D62" s="62"/>
      <c r="E62" s="61" t="str">
        <f>IF(E61=E49,A49,IF(E61=E50,A50,IF(E61=E51,A51,IF(E61=E52,A52,IF(E61=E53,A53,IF(E61=E54,A54,IF(E61=E55,A55,"Verificar")))))))</f>
        <v>CIELO</v>
      </c>
      <c r="F62" s="62"/>
      <c r="G62" s="61" t="str">
        <f>IF(G61=G49,A49,IF(G61=G50,A50,IF(G61=G51,A51,IF(G61=G52,A52,IF(G61=G53,A53,IF(G61=G54,A54,IF(G61=G55,A55,"Verificar")))))))</f>
        <v>CIELO</v>
      </c>
      <c r="H62" s="62"/>
      <c r="I62" s="61" t="str">
        <f>IF(I61=I49,A49,IF(I61=I50,A50,IF(I61=I51,A51,IF(I61=I52,A52,IF(I61=I53,A53,IF(I61=I54,A54,IF(I61=I55,A55,"Verificar")))))))</f>
        <v>CIELO</v>
      </c>
      <c r="J62" s="62"/>
      <c r="K62" s="61" t="str">
        <f>IF(K61=K49,A49,IF(K61=K50,A50,IF(K61=K51,A51,IF(K61=K52,A52,IF(K61=K53,A53,IF(K61=K54,A54,IF(K61=K55,A55,"Verificar")))))))</f>
        <v>CIELO</v>
      </c>
      <c r="L62" s="53"/>
      <c r="M62" s="54" t="str">
        <f>IF(M61=M49,A49,IF(M61=M50,A50,IF(M61=M51,A51,IF(M61=M52,A52,IF(M61=M53,A53,IF(M61=M54,A54,IF(M61=M55,A55,"Verificar")))))))</f>
        <v>CIELO</v>
      </c>
      <c r="N62" s="55"/>
      <c r="O62" s="56" t="str">
        <f>IF(O61=O49,A49,IF(O61=O50,A50,IF(O61=O51,A51,IF(O61=O52,A52,IF(O61=O53,A53,IF(O61=O54,A54,IF(O61=O55,A55,"Verificar")))))))</f>
        <v>CIELO</v>
      </c>
    </row>
    <row r="63" spans="1:15" s="15" customFormat="1" x14ac:dyDescent="0.2"/>
    <row r="64" spans="1:15" ht="12" customHeight="1" x14ac:dyDescent="0.2"/>
    <row r="66" customFormat="1" x14ac:dyDescent="0.2"/>
  </sheetData>
  <mergeCells count="48">
    <mergeCell ref="L46:M46"/>
    <mergeCell ref="N46:O46"/>
    <mergeCell ref="B46:C46"/>
    <mergeCell ref="D46:E46"/>
    <mergeCell ref="F46:G46"/>
    <mergeCell ref="H46:I46"/>
    <mergeCell ref="J46:K46"/>
    <mergeCell ref="L25:M25"/>
    <mergeCell ref="N25:O25"/>
    <mergeCell ref="B44:K44"/>
    <mergeCell ref="L44:O44"/>
    <mergeCell ref="B45:C45"/>
    <mergeCell ref="D45:E45"/>
    <mergeCell ref="F45:G45"/>
    <mergeCell ref="H45:I45"/>
    <mergeCell ref="J45:K45"/>
    <mergeCell ref="L45:M45"/>
    <mergeCell ref="N45:O45"/>
    <mergeCell ref="B25:C25"/>
    <mergeCell ref="D25:E25"/>
    <mergeCell ref="F25:G25"/>
    <mergeCell ref="H25:I25"/>
    <mergeCell ref="J25:K25"/>
    <mergeCell ref="B23:K23"/>
    <mergeCell ref="L23:O23"/>
    <mergeCell ref="B24:C24"/>
    <mergeCell ref="D24:E24"/>
    <mergeCell ref="F24:G24"/>
    <mergeCell ref="H24:I24"/>
    <mergeCell ref="J24:K24"/>
    <mergeCell ref="L24:M24"/>
    <mergeCell ref="N24:O24"/>
    <mergeCell ref="L4:M4"/>
    <mergeCell ref="N4:O4"/>
    <mergeCell ref="B4:C4"/>
    <mergeCell ref="D4:E4"/>
    <mergeCell ref="F4:G4"/>
    <mergeCell ref="H4:I4"/>
    <mergeCell ref="J4:K4"/>
    <mergeCell ref="B2:K2"/>
    <mergeCell ref="L2:O2"/>
    <mergeCell ref="B3:C3"/>
    <mergeCell ref="D3:E3"/>
    <mergeCell ref="F3:G3"/>
    <mergeCell ref="H3:I3"/>
    <mergeCell ref="J3:K3"/>
    <mergeCell ref="L3:M3"/>
    <mergeCell ref="N3:O3"/>
  </mergeCells>
  <conditionalFormatting sqref="B7:B13">
    <cfRule type="top10" dxfId="55" priority="55" bottom="1" rank="1"/>
    <cfRule type="top10" dxfId="54" priority="56" rank="1"/>
  </conditionalFormatting>
  <conditionalFormatting sqref="D7:D13">
    <cfRule type="top10" dxfId="53" priority="53" bottom="1" rank="1"/>
    <cfRule type="top10" dxfId="52" priority="54" rank="1"/>
  </conditionalFormatting>
  <conditionalFormatting sqref="F7:F13">
    <cfRule type="top10" dxfId="51" priority="51" bottom="1" rank="1"/>
    <cfRule type="top10" dxfId="50" priority="52" rank="1"/>
  </conditionalFormatting>
  <conditionalFormatting sqref="H7:H13">
    <cfRule type="top10" dxfId="49" priority="49" bottom="1" rank="1"/>
    <cfRule type="top10" dxfId="48" priority="50" rank="1"/>
  </conditionalFormatting>
  <conditionalFormatting sqref="J7:J13">
    <cfRule type="top10" dxfId="47" priority="47" bottom="1" rank="1"/>
    <cfRule type="top10" dxfId="46" priority="48" rank="1"/>
  </conditionalFormatting>
  <conditionalFormatting sqref="L7:L13">
    <cfRule type="top10" dxfId="45" priority="45" bottom="1" rank="1"/>
    <cfRule type="top10" dxfId="44" priority="46" rank="1"/>
  </conditionalFormatting>
  <conditionalFormatting sqref="N7:N13">
    <cfRule type="top10" dxfId="43" priority="43" bottom="1" rank="1"/>
    <cfRule type="top10" dxfId="42" priority="44" rank="1"/>
  </conditionalFormatting>
  <conditionalFormatting sqref="B28:B34">
    <cfRule type="top10" dxfId="27" priority="27" bottom="1" rank="1"/>
    <cfRule type="top10" dxfId="26" priority="28" rank="1"/>
  </conditionalFormatting>
  <conditionalFormatting sqref="D28:D34">
    <cfRule type="top10" dxfId="25" priority="25" bottom="1" rank="1"/>
    <cfRule type="top10" dxfId="24" priority="26" rank="1"/>
  </conditionalFormatting>
  <conditionalFormatting sqref="F28:F34">
    <cfRule type="top10" dxfId="23" priority="23" bottom="1" rank="1"/>
    <cfRule type="top10" dxfId="22" priority="24" rank="1"/>
  </conditionalFormatting>
  <conditionalFormatting sqref="H28:H34">
    <cfRule type="top10" dxfId="21" priority="21" bottom="1" rank="1"/>
    <cfRule type="top10" dxfId="20" priority="22" rank="1"/>
  </conditionalFormatting>
  <conditionalFormatting sqref="J28:J34">
    <cfRule type="top10" dxfId="19" priority="19" bottom="1" rank="1"/>
    <cfRule type="top10" dxfId="18" priority="20" rank="1"/>
  </conditionalFormatting>
  <conditionalFormatting sqref="L28:L34">
    <cfRule type="top10" dxfId="17" priority="17" bottom="1" rank="1"/>
    <cfRule type="top10" dxfId="16" priority="18" rank="1"/>
  </conditionalFormatting>
  <conditionalFormatting sqref="N28:N34">
    <cfRule type="top10" dxfId="15" priority="15" bottom="1" rank="1"/>
    <cfRule type="top10" dxfId="14" priority="16" rank="1"/>
  </conditionalFormatting>
  <conditionalFormatting sqref="B49:B55">
    <cfRule type="top10" dxfId="13" priority="13" bottom="1" rank="1"/>
    <cfRule type="top10" dxfId="12" priority="14" rank="1"/>
  </conditionalFormatting>
  <conditionalFormatting sqref="D49:D55">
    <cfRule type="top10" dxfId="11" priority="11" bottom="1" rank="1"/>
    <cfRule type="top10" dxfId="10" priority="12" rank="1"/>
  </conditionalFormatting>
  <conditionalFormatting sqref="F49:F55">
    <cfRule type="top10" dxfId="9" priority="9" bottom="1" rank="1"/>
    <cfRule type="top10" dxfId="8" priority="10" rank="1"/>
  </conditionalFormatting>
  <conditionalFormatting sqref="H49:H55">
    <cfRule type="top10" dxfId="7" priority="7" bottom="1" rank="1"/>
    <cfRule type="top10" dxfId="6" priority="8" rank="1"/>
  </conditionalFormatting>
  <conditionalFormatting sqref="J49:J55">
    <cfRule type="top10" dxfId="5" priority="5" bottom="1" rank="1"/>
    <cfRule type="top10" dxfId="4" priority="6" rank="1"/>
  </conditionalFormatting>
  <conditionalFormatting sqref="L49:L55">
    <cfRule type="top10" dxfId="3" priority="3" bottom="1" rank="1"/>
    <cfRule type="top10" dxfId="2" priority="4" rank="1"/>
  </conditionalFormatting>
  <conditionalFormatting sqref="N49:N55">
    <cfRule type="top10" dxfId="1" priority="1" bottom="1" rank="1"/>
    <cfRule type="top10" dxfId="0" priority="2" rank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do BI</vt:lpstr>
      <vt:lpstr>Resumo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 Silva Teixeira</dc:creator>
  <cp:keywords/>
  <dc:description/>
  <cp:lastModifiedBy>Patricia Silva Teixeira</cp:lastModifiedBy>
  <dcterms:created xsi:type="dcterms:W3CDTF">2025-03-05T16:07:23Z</dcterms:created>
  <dcterms:modified xsi:type="dcterms:W3CDTF">2025-03-05T16:07:23Z</dcterms:modified>
  <cp:category/>
</cp:coreProperties>
</file>