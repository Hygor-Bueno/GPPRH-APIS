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Roberto\Downloads\"/>
    </mc:Choice>
  </mc:AlternateContent>
  <xr:revisionPtr revIDLastSave="0" documentId="13_ncr:1_{B4B6DF12-BE4C-409E-9C62-F449F1A8407E}" xr6:coauthVersionLast="47" xr6:coauthVersionMax="47" xr10:uidLastSave="{00000000-0000-0000-0000-000000000000}"/>
  <bookViews>
    <workbookView xWindow="-108" yWindow="-108" windowWidth="23256" windowHeight="12456" xr2:uid="{C174EC10-2FFA-48EF-830B-39E44930B6A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G9" i="1"/>
  <c r="K8" i="1"/>
  <c r="C8" i="1"/>
  <c r="C10" i="1" s="1"/>
</calcChain>
</file>

<file path=xl/sharedStrings.xml><?xml version="1.0" encoding="utf-8"?>
<sst xmlns="http://schemas.openxmlformats.org/spreadsheetml/2006/main" count="12" uniqueCount="11">
  <si>
    <t>Juros</t>
  </si>
  <si>
    <t>Valor Título</t>
  </si>
  <si>
    <t>Data Programada</t>
  </si>
  <si>
    <t>Data Atual</t>
  </si>
  <si>
    <t>Dif. Dias</t>
  </si>
  <si>
    <t>R$/Mês</t>
  </si>
  <si>
    <t>R$/Dia</t>
  </si>
  <si>
    <t>R$ Juros Direto</t>
  </si>
  <si>
    <t>R$ Juros Arred.</t>
  </si>
  <si>
    <t>Multa</t>
  </si>
  <si>
    <t>R$ Multa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</si>
</sst>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&quot;R$&quot;\ * #,##0.0000_-;\-&quot;R$&quot;\ * #,##0.00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/>
    <xf numFmtId="9" fontId="0" fillId="0" borderId="0" xfId="0" applyNumberFormat="1" applyAlignment="1">
      <alignment horizontal="center"/>
    </xf>
    <xf numFmtId="165" fontId="0" fillId="0" borderId="0" xfId="1" applyNumberFormat="1" applyFont="1"/>
    <xf numFmtId="14" fontId="2" fillId="0" borderId="0" xfId="0" applyNumberFormat="1" applyFont="1"/>
    <xf numFmtId="44" fontId="0" fillId="2" borderId="0" xfId="0" applyNumberFormat="1" applyFill="1"/>
    <xf numFmtId="165" fontId="0" fillId="2" borderId="0" xfId="1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C90E-4811-44B2-9267-6EF950FFE15E}">
  <dimension ref="B5:K13"/>
  <sheetViews>
    <sheetView tabSelected="1" zoomScale="140" zoomScaleNormal="140" workbookViewId="0">
      <selection activeCell="E15" sqref="E15"/>
    </sheetView>
  </sheetViews>
  <sheetFormatPr defaultRowHeight="14.4" x14ac:dyDescent="0.3"/>
  <cols>
    <col min="2" max="2" width="14" bestFit="1" customWidth="1"/>
    <col min="3" max="3" width="12.77734375" bestFit="1" customWidth="1"/>
    <col min="6" max="6" width="15.33203125" bestFit="1" customWidth="1"/>
    <col min="7" max="7" width="10.5546875" bestFit="1" customWidth="1"/>
    <col min="11" max="11" width="12" bestFit="1" customWidth="1"/>
  </cols>
  <sheetData>
    <row r="5" spans="2:11" x14ac:dyDescent="0.3">
      <c r="B5" s="3" t="s">
        <v>0</v>
      </c>
      <c r="C5" s="3" t="s">
        <v>1</v>
      </c>
      <c r="J5" s="3" t="s">
        <v>9</v>
      </c>
      <c r="K5" s="3" t="s">
        <v>1</v>
      </c>
    </row>
    <row r="6" spans="2:11" x14ac:dyDescent="0.3">
      <c r="B6" s="4">
        <v>0.01</v>
      </c>
      <c r="C6" s="2">
        <v>2081.3200000000002</v>
      </c>
      <c r="F6" s="3" t="s">
        <v>2</v>
      </c>
      <c r="G6" s="1">
        <v>45224</v>
      </c>
      <c r="J6" s="4">
        <v>0.03</v>
      </c>
      <c r="K6" s="2">
        <v>2081.3200000000002</v>
      </c>
    </row>
    <row r="7" spans="2:11" x14ac:dyDescent="0.3">
      <c r="F7" s="6" t="s">
        <v>3</v>
      </c>
      <c r="G7" s="1">
        <v>46014</v>
      </c>
    </row>
    <row r="8" spans="2:11" x14ac:dyDescent="0.3">
      <c r="B8" s="3" t="s">
        <v>5</v>
      </c>
      <c r="C8" s="5">
        <f>C6*B6</f>
        <v>20.813200000000002</v>
      </c>
      <c r="J8" s="3" t="s">
        <v>10</v>
      </c>
      <c r="K8" s="7">
        <f>K6*J6</f>
        <v>62.439600000000006</v>
      </c>
    </row>
    <row r="9" spans="2:11" x14ac:dyDescent="0.3">
      <c r="F9" s="3" t="s">
        <v>4</v>
      </c>
      <c r="G9">
        <f>G7-G6</f>
        <v>790</v>
      </c>
    </row>
    <row r="10" spans="2:11" x14ac:dyDescent="0.3">
      <c r="B10" s="3" t="s">
        <v>6</v>
      </c>
      <c r="C10" s="5">
        <f>C8/30</f>
        <v>0.69377333333333335</v>
      </c>
    </row>
    <row r="11" spans="2:11" x14ac:dyDescent="0.3">
      <c r="F11" s="2"/>
    </row>
    <row r="12" spans="2:11" x14ac:dyDescent="0.3">
      <c r="B12" s="3" t="s">
        <v>7</v>
      </c>
      <c r="C12" s="5">
        <f>C10*G9</f>
        <v>548.08093333333341</v>
      </c>
      <c r="F12" s="2"/>
    </row>
    <row r="13" spans="2:11" x14ac:dyDescent="0.3">
      <c r="B13" s="3" t="s">
        <v>8</v>
      </c>
      <c r="C13" s="8">
        <f>0.69*G9</f>
        <v>545.09999999999991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Roberto</dc:creator>
  <cp:lastModifiedBy>Marcio Roberto</cp:lastModifiedBy>
  <dcterms:created xsi:type="dcterms:W3CDTF">2025-12-23T14:08:14Z</dcterms:created>
  <dcterms:modified xsi:type="dcterms:W3CDTF">2025-12-23T14:27:39Z</dcterms:modified>
</cp:coreProperties>
</file>