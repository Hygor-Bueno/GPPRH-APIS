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drawings/drawing2.xml" ContentType="application/vnd.openxmlformats-officedocument.drawing+xml"/>
  <Override PartName="/xl/activeX/activeX2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M:\Pricing Pesquisa\"/>
    </mc:Choice>
  </mc:AlternateContent>
  <xr:revisionPtr revIDLastSave="0" documentId="13_ncr:1_{65FD0C00-5D40-4BFD-95B6-4DBDEEDABC50}" xr6:coauthVersionLast="47" xr6:coauthVersionMax="47" xr10:uidLastSave="{00000000-0000-0000-0000-000000000000}"/>
  <bookViews>
    <workbookView xWindow="-120" yWindow="-120" windowWidth="29040" windowHeight="15840" activeTab="3" xr2:uid="{4A0B11AA-CABA-472F-A7EB-A8A5F2A3D6F4}"/>
  </bookViews>
  <sheets>
    <sheet name="Planilha1" sheetId="1" r:id="rId1"/>
    <sheet name="Planilha2" sheetId="2" r:id="rId2"/>
    <sheet name="BASE DE DADOS" sheetId="3" r:id="rId3"/>
    <sheet name="ADEGA" sheetId="4" r:id="rId4"/>
  </sheets>
  <definedNames>
    <definedName name="_xlnm._FilterDatabase" localSheetId="0" hidden="1">Planilha1!$A$1:$H$6924</definedName>
    <definedName name="PRODUTO">Planilha1!$A$3:$A$6924</definedName>
    <definedName name="PRODUTOADEGA">'BASE DE DADOS'!$A$4:$A$1875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8" i="4" l="1"/>
  <c r="C8" i="4"/>
  <c r="F8" i="4" s="1"/>
  <c r="H8" i="4" s="1"/>
  <c r="C8" i="2"/>
  <c r="D8" i="2" s="1"/>
  <c r="M8" i="4" l="1"/>
  <c r="U8" i="4" s="1"/>
  <c r="N8" i="4"/>
  <c r="D8" i="4"/>
  <c r="G8" i="4" s="1"/>
  <c r="K8" i="4"/>
  <c r="F8" i="2"/>
  <c r="H8" i="2" s="1"/>
  <c r="K8" i="2" s="1"/>
  <c r="R8" i="4" l="1"/>
  <c r="Q8" i="4"/>
  <c r="V8" i="4"/>
  <c r="P8" i="4"/>
  <c r="G8" i="2"/>
  <c r="P11" i="4" l="1"/>
  <c r="J8" i="4"/>
  <c r="U11" i="4"/>
  <c r="S8" i="4"/>
  <c r="I8" i="4"/>
  <c r="J8" i="2"/>
  <c r="I8" i="2"/>
  <c r="R11" i="4" l="1"/>
</calcChain>
</file>

<file path=xl/sharedStrings.xml><?xml version="1.0" encoding="utf-8"?>
<sst xmlns="http://schemas.openxmlformats.org/spreadsheetml/2006/main" count="10747" uniqueCount="8840">
  <si>
    <t>Código Produto</t>
  </si>
  <si>
    <t>Produto</t>
  </si>
  <si>
    <t>Código Acesso</t>
  </si>
  <si>
    <t>Preço Vda Unitário</t>
  </si>
  <si>
    <t>Preço Marg.Zero</t>
  </si>
  <si>
    <t>Lucrat. Marg %</t>
  </si>
  <si>
    <t>Custo Liq. Unitário</t>
  </si>
  <si>
    <t>Média Vda/Dia</t>
  </si>
  <si>
    <t>TOTAL: 6922 linhas</t>
  </si>
  <si>
    <t>ABACAXI CALDA OLE 400G</t>
  </si>
  <si>
    <t>ABOBORA CALDA SEGREDOS FAZENDA 200G</t>
  </si>
  <si>
    <t>ABS INT O.B. ORIGINAL LV10 PG8 SUPER</t>
  </si>
  <si>
    <t>ABS INT O.B. PROCOMFORT 8UN MEDIO</t>
  </si>
  <si>
    <t>ABS INT O.B. PROCOMFORT 8UN SUPER</t>
  </si>
  <si>
    <t>ABS INT SEMPRE LIVRE O.B. 10UN MEDIO</t>
  </si>
  <si>
    <t>ABS INT SEMPRE LIVRE O.B. 16UN L+P- MEDIO</t>
  </si>
  <si>
    <t>ABS INT SEMPRE LIVRE O.B. 16UN L+P- SUPER</t>
  </si>
  <si>
    <t>ABS INT SEMPRE LIVRE O.B. 8UN MINI</t>
  </si>
  <si>
    <t>ABS INTIMUS 8UN C/ABA SECA</t>
  </si>
  <si>
    <t>ABS INTIMUS 8UN EXTRA SUAVE C/ABA</t>
  </si>
  <si>
    <t>ABS INTIMUS 8UN EXTRA SUAVE S/ABA</t>
  </si>
  <si>
    <t>ABS INTIMUS 8UN S/ABA SECA</t>
  </si>
  <si>
    <t>ABS INTIMUS NOTURNO 30UN C/ABA SECA</t>
  </si>
  <si>
    <t>ABS INTIMUS NOTURNO 8UN C/ABA SUAVE</t>
  </si>
  <si>
    <t>ABS SEMPRE LIVRE 16UN LV+PG- C/ABA SUAVE</t>
  </si>
  <si>
    <t>ABS SEMPRE LIVRE 32UN LV+ PG- C/ABA SUAVE</t>
  </si>
  <si>
    <t>ABS SEMPRE LIVRE 8UN C/ABA SUAVE</t>
  </si>
  <si>
    <t>ABS SEMPRE LIVRE ADAPT 8UN S/ABA SUAVE</t>
  </si>
  <si>
    <t>ABS SEMPRE LIVRE NOITE/DIA 16UN C/ABA SUAVE</t>
  </si>
  <si>
    <t>ABS SEMPRE LIVRE NOITE/DIA 32UN LV+ PG- SECA</t>
  </si>
  <si>
    <t>ABS SEMPRE LIVRE NOITE/DIA 8UN C/ABA SUAVE</t>
  </si>
  <si>
    <t>ABS SEMPRE LIVRE NOITE/DIA 8UN SECA</t>
  </si>
  <si>
    <t>ABS SEMPRE LIVRE NOTURNO 32UN LV+ PG- SUAVE</t>
  </si>
  <si>
    <t>ABS SEMPRE LIVRE PLUS 32UN C/ABA SUAVE</t>
  </si>
  <si>
    <t>ABS SEMPRE LIVRE PLUS 8UN C/ABA SUAVE</t>
  </si>
  <si>
    <t>ABS SEMPRE LIVRE PLUS ULTRA 16UN C/ABA SUAVE</t>
  </si>
  <si>
    <t>ABS SYM NOTURNO 8UN C/ABA SUAVE</t>
  </si>
  <si>
    <t>ABS SYM PREMIUM 8UN C/ABA SUAVE</t>
  </si>
  <si>
    <t>ACAFRAO EM ESTIGMAS LA PASTINA 4G</t>
  </si>
  <si>
    <t>ACAFRAO ESP E SAB 50G</t>
  </si>
  <si>
    <t>ACAFRAO KITANO DA TERRA 50G</t>
  </si>
  <si>
    <t>ACAFRAO LA PASTINA 4G</t>
  </si>
  <si>
    <t>ACENDEDOR FIAT LUX C/10</t>
  </si>
  <si>
    <t>ACENDEDOR FIAT LUX C/5</t>
  </si>
  <si>
    <t>ACENDEDOR FIAT LUX FIREPOWER VERMELHO</t>
  </si>
  <si>
    <t>ACENDEDOR GEL FIAT LUX 420G</t>
  </si>
  <si>
    <t>ACENDEDOR GEL ZULU 500G</t>
  </si>
  <si>
    <t>ACETO BALSAMICO DI MODENA 500ML</t>
  </si>
  <si>
    <t>ACETO BALSAMICO PAGANINI 500ML</t>
  </si>
  <si>
    <t>ACHOC GOLD DIET 200G</t>
  </si>
  <si>
    <t>ACHOC NESCAU 180G LT 30% CACAU</t>
  </si>
  <si>
    <t>ACHOC NESCAU 180G LT 60% CACAU</t>
  </si>
  <si>
    <t>ACHOC NESCAU 2.0 ACTIGEN 730G</t>
  </si>
  <si>
    <t>ACHOC NESCAU 200G LT</t>
  </si>
  <si>
    <t>ACHOC NESCAU 350G LT</t>
  </si>
  <si>
    <t>ACHOC NESCAU 350G LT 33% ACUCAR</t>
  </si>
  <si>
    <t>ACHOC NESCAU 370G LT</t>
  </si>
  <si>
    <t>ACHOC NESCAU 550G</t>
  </si>
  <si>
    <t>ACHOC NESCAU 670G LT</t>
  </si>
  <si>
    <t>ACHOC NESCAU ACTIGEN 1,02KG</t>
  </si>
  <si>
    <t>ACHOC NEW CHOCO DIET LOWCUCAR 210G</t>
  </si>
  <si>
    <t>ACHOC ORG NATIVE 400G POUCH</t>
  </si>
  <si>
    <t>ACHOC OVOMALTINE 190G FLOCOS</t>
  </si>
  <si>
    <t>ACHOC OVOMALTINE 300G FLOCOS</t>
  </si>
  <si>
    <t>ACHOC TODDY 280G LIGHT</t>
  </si>
  <si>
    <t>ACHOC TODDY LIGHT 380G</t>
  </si>
  <si>
    <t>ACHOC TODDY ORIGINAL 1,8KG</t>
  </si>
  <si>
    <t>ACHOC TODDY ORIGINAL 370G</t>
  </si>
  <si>
    <t>ACHOC TODDY ORIGINAL 750G</t>
  </si>
  <si>
    <t>ACUCAR CRISTAL ORG NATIVE 1KG</t>
  </si>
  <si>
    <t>ACUCAR DA BARRA 1KG</t>
  </si>
  <si>
    <t>ACUCAR DE COCO ORG MONAMA 250G</t>
  </si>
  <si>
    <t>ACUCAR DEMERARA ORG NATIVE 1KG</t>
  </si>
  <si>
    <t>ACUCAR LOWCUCAR 400G MAGRO LIGHT</t>
  </si>
  <si>
    <t>ACUCAR MASCAVO DOCICAN 1KG</t>
  </si>
  <si>
    <t>ACUCAR MASCAVO JASMINE 1KG</t>
  </si>
  <si>
    <t>ACUCAR MASCAVO ORG JASMINE 500G</t>
  </si>
  <si>
    <t>ACUCAR MASCAVO ORG NATIVE 250G</t>
  </si>
  <si>
    <t>ACUCAR MASCAVO VITAO 500G</t>
  </si>
  <si>
    <t>ACUCAR UNIAO 1KG</t>
  </si>
  <si>
    <t>ACUCAR UNIAO CRISTAL 1KG</t>
  </si>
  <si>
    <t>ACUCAR UNIAO CUBOS 250G</t>
  </si>
  <si>
    <t>ACUCAR UNIAO DEMERARA 1KG</t>
  </si>
  <si>
    <t>ACUCAR UNIAO FIT LIGHT 500G</t>
  </si>
  <si>
    <t>ACUCAR UNIAO MASCAVO 1KG</t>
  </si>
  <si>
    <t>ACUCAR UNIAO ORGANICO 1KG</t>
  </si>
  <si>
    <t>ACUCAR UNIAO ORGANICO SACHE 200G</t>
  </si>
  <si>
    <t>ACUCAR UNIAO PREMIUM 1KG</t>
  </si>
  <si>
    <t>ACUCAR UNIAO PREMIUM SACHE 200G</t>
  </si>
  <si>
    <t>ADOCANTE ADOCYL DIET 100ML</t>
  </si>
  <si>
    <t>ADOCANTE ASSUGRIN 100ML</t>
  </si>
  <si>
    <t>ADOCANTE ASSUGRIN 200ML</t>
  </si>
  <si>
    <t>ADOCANTE LINEA 300G ERITRITOL</t>
  </si>
  <si>
    <t>ADOCANTE LINEA 60ML SWEET NATURAL</t>
  </si>
  <si>
    <t>ADOCANTE LOWCUCAR 400G CULINARIA</t>
  </si>
  <si>
    <t>ADOCANTE STEVIA GOLD 65ML</t>
  </si>
  <si>
    <t>ADOCANTE STEVIA GOLD C/50</t>
  </si>
  <si>
    <t>ADOCANTE STEVIA LINEA 25ML</t>
  </si>
  <si>
    <t>ADOCANTE STEVIA LINEA 60ML</t>
  </si>
  <si>
    <t>ADOCANTE STEVIA LOWCUCAR C/50</t>
  </si>
  <si>
    <t>ADOCANTE STEVIA SPLENDA 40G</t>
  </si>
  <si>
    <t>ADOCANTE STEVIA SPLENDA 60ML</t>
  </si>
  <si>
    <t>ADOCANTE SUAVIPAN 270G DIET ERITRIT</t>
  </si>
  <si>
    <t>ADOCANTE SUAVIPAN 270G DIET XILITOL</t>
  </si>
  <si>
    <t>ADOCANTE SUCRALOSE GOLD 75ML</t>
  </si>
  <si>
    <t>ADOCANTE SUCRALOSE GOLD C/50</t>
  </si>
  <si>
    <t>ADOCANTE SUCRALOSE LINEA 25ML</t>
  </si>
  <si>
    <t>ADOCANTE SUCRALOSE LINEA 400G CULINARIO</t>
  </si>
  <si>
    <t>ADOCANTE SUCRALOSE LINEA 75ML</t>
  </si>
  <si>
    <t>ADOCANTE SUCRALOSE SPLENDA 40G</t>
  </si>
  <si>
    <t>ADOCANTE SUCRALOSE SPLENDA 65ML</t>
  </si>
  <si>
    <t>ADOCANTE SUCRALOSE UNIAO 65ML</t>
  </si>
  <si>
    <t>ADOCANTE SUCRALOSE UNIAO DIET 30G</t>
  </si>
  <si>
    <t>ADOCANTE SUCRALOSE ZERO CAL 100ML</t>
  </si>
  <si>
    <t>ADOCANTE SUCRALOSE ZERO CAL 30G</t>
  </si>
  <si>
    <t>ADOCANTE TAL QUAL 120G</t>
  </si>
  <si>
    <t>ADOCANTE TAL QUAL 60G</t>
  </si>
  <si>
    <t>ADOCANTE ZERO CAL 100ML</t>
  </si>
  <si>
    <t>ADOCANTE ZERO CAL 200ML SACARINA</t>
  </si>
  <si>
    <t>ADOCANTE ZERO CAL ASPARTAME LIQ 100ML</t>
  </si>
  <si>
    <t>AGUA CRYSTAL 510ML FRUT VERMELHAS</t>
  </si>
  <si>
    <t>AGUA CRYSTAL 510ML LIMAO</t>
  </si>
  <si>
    <t>AGUA CRYSTAL 510ML TANG</t>
  </si>
  <si>
    <t>AGUA CRYSTAL SPARKLING 510ML MELANCIA</t>
  </si>
  <si>
    <t>AGUA DE COCO CAMPO LARGO 250ML</t>
  </si>
  <si>
    <t>AGUA DE COCO CAMPO LARGO 900ML</t>
  </si>
  <si>
    <t>AGUA DE COCO KEROCOCO 1L</t>
  </si>
  <si>
    <t>AGUA DE COCO KEROCOCO 200ML</t>
  </si>
  <si>
    <t>AGUA DE COCO KEROCOCO 330ML</t>
  </si>
  <si>
    <t>AGUA DE PASSAR GIORNO 500ML BAMBOO</t>
  </si>
  <si>
    <t>AGUA DE PASSAR GIORNO 500ML LAVANDA</t>
  </si>
  <si>
    <t>AGUA DE PASSAR GIORNO 500ML VERBENA</t>
  </si>
  <si>
    <t>AGUA MICELAR BIFASICA NEUTROGENA 200ML</t>
  </si>
  <si>
    <t>AGUA MICELAR NEUTROGENA 200ML HYDRO BOOST</t>
  </si>
  <si>
    <t>AGUA MICELAR NEUTROGENA 200ML PURIFIED SKIN</t>
  </si>
  <si>
    <t>AGUA MICELAR NEUTROGENA 400ML HYDRO BOOST</t>
  </si>
  <si>
    <t>AGUA MIN ACQUA PANNA 250ML TOSCANA S/GAS</t>
  </si>
  <si>
    <t>AGUA MIN ACQUA PANNA 500ML TOSCANA S/GAS</t>
  </si>
  <si>
    <t>AGUA MIN ACQUA PANNA 505ML VD TOSCANA S/GAS</t>
  </si>
  <si>
    <t>AGUA MIN CRYSTAL 1,5L C/GAS</t>
  </si>
  <si>
    <t>AGUA MIN CRYSTAL 1,5L S/GAS</t>
  </si>
  <si>
    <t>AGUA MIN CRYSTAL 1L S/GAS</t>
  </si>
  <si>
    <t>AGUA MIN CRYSTAL 500ML C/GAS</t>
  </si>
  <si>
    <t>AGUA MIN CRYSTAL 500ML S/GAS</t>
  </si>
  <si>
    <t>AGUA MIN CRYSTAL 5L</t>
  </si>
  <si>
    <t>AGUA MIN CRYSTAL VIP 350ML C/GAS</t>
  </si>
  <si>
    <t>AGUA MIN CRYSTAL VIP 350ML S/GAS</t>
  </si>
  <si>
    <t>AGUA MIN MAMBA WATER 350ML LT C/GAS</t>
  </si>
  <si>
    <t>AGUA MIN MAMBA WATER 350ML LT S/GAS</t>
  </si>
  <si>
    <t>AGUA MIN MINALBA 1,5L C/GAS</t>
  </si>
  <si>
    <t>AGUA MIN MINALBA 1,5L SEM GAS</t>
  </si>
  <si>
    <t>AGUA MIN MINALBA 10L S/GAS</t>
  </si>
  <si>
    <t>AGUA MIN MINALBA 510ML C/GAS</t>
  </si>
  <si>
    <t>AGUA MIN MINALBA 510ML S/GAS</t>
  </si>
  <si>
    <t>AGUA MIN MINALBA 5L S/ GAS</t>
  </si>
  <si>
    <t>AGUA MIN NESTLE PUREZA VITAL 1,5L S/GAS</t>
  </si>
  <si>
    <t>AGUA MIN NESTLE PUREZA VITAL 6,3L S/GAS</t>
  </si>
  <si>
    <t>AGUA MIN PERRIER 500ML C/GAS</t>
  </si>
  <si>
    <t>AGUA MIN PERRIER SOURCE 330ML C/GAS</t>
  </si>
  <si>
    <t>AGUA MIN SANPELLEGRINO 1L C/GAS</t>
  </si>
  <si>
    <t>AGUA MIN SANPELLEGRINO 250ML C/GAS</t>
  </si>
  <si>
    <t>AGUA MIN SANPELLEGRINO 330ML C/GAS</t>
  </si>
  <si>
    <t>AGUA MIN SANPELLEGRINO 500ML C/GAS</t>
  </si>
  <si>
    <t>AGUA MIN SANPELLEGRINO 505ML VD C/GAS</t>
  </si>
  <si>
    <t>AGUA MIN SAO LOURENCO 1,26L C/G</t>
  </si>
  <si>
    <t>AGUA MIN SAO LOURENCO 300ML C/GAS</t>
  </si>
  <si>
    <t>AGUA MIN SAO LOURENCO 510ML C/GAS</t>
  </si>
  <si>
    <t>AGUA MIN SMARTWATER 591ML C/GAS</t>
  </si>
  <si>
    <t>AGUA MIN SMARTWATER 591ML S/GAS</t>
  </si>
  <si>
    <t>AGUA PEDRAS SALGADAS 250ML C/GAS</t>
  </si>
  <si>
    <t>AGUA SANITARIA BRILHANTE 1L</t>
  </si>
  <si>
    <t>AGUA SANITARIA BRILHANTE 2L</t>
  </si>
  <si>
    <t>AGUA SANITARIA SUPER CANDIDA 1L</t>
  </si>
  <si>
    <t>AGUA SANITARIA SUPER CANDIDA 2L</t>
  </si>
  <si>
    <t>AGUA SANITARIA SUPER CANDIDA 5L</t>
  </si>
  <si>
    <t>AGUA SANITARIA YPE 1L</t>
  </si>
  <si>
    <t>AGUA SANITARIA YPE 2L</t>
  </si>
  <si>
    <t>AGUA SANITARIA YPE 5L</t>
  </si>
  <si>
    <t>AGUA TONICA ANTARCTICA 269ML</t>
  </si>
  <si>
    <t>AGUA TONICA ANTARCTICA 269ML 3 LIMOES</t>
  </si>
  <si>
    <t>AGUA TONICA ANTARCTICA 269ML GENG</t>
  </si>
  <si>
    <t>AGUA TONICA ANTARCTICA 269ML ZERO</t>
  </si>
  <si>
    <t>AGUA TONICA ANTARCTICA 350ML</t>
  </si>
  <si>
    <t>AGUA TONICA ANTARCTICA 350ML DIET</t>
  </si>
  <si>
    <t>AGUA TONICA FYS 350ML LIMAO SICILIANO</t>
  </si>
  <si>
    <t>AGUA TONICA FYS 350ML ZERO LIMAO SICILIANO</t>
  </si>
  <si>
    <t>AGUA TONICA ORGANICA WEWI 255ML CLASSICA</t>
  </si>
  <si>
    <t>AGUA TONICA ORGANICA WEWI 255ML GINGER</t>
  </si>
  <si>
    <t>AGUA TONICA ORGANICA WEWI 255ML ROSE</t>
  </si>
  <si>
    <t>AGUA TONICA ORGANICA WEWI 255ML TANGERINA</t>
  </si>
  <si>
    <t>AGUA TONICA ORGANICA WEWI 269ML LT ROSE</t>
  </si>
  <si>
    <t>AGUA TONICA SCHWEPPES 1,5L</t>
  </si>
  <si>
    <t>AGUA TONICA SCHWEPPES 220ML LIMAO TOQUE SAL</t>
  </si>
  <si>
    <t>AGUA TONICA SCHWEPPES 220ML ROSE</t>
  </si>
  <si>
    <t>AGUA TONICA SCHWEPPES 220ML S/ACUCAR</t>
  </si>
  <si>
    <t>AGUA TONICA SCHWEPPES 250ML VD</t>
  </si>
  <si>
    <t>AGUA TONICA SCHWEPPES 350ML</t>
  </si>
  <si>
    <t>AGUA TONICA SCHWEPPES 350ML S/ACUCAR</t>
  </si>
  <si>
    <t>ALCACHOFRA PAGANINI 220G CORACAO</t>
  </si>
  <si>
    <t>ALCAPARRAS LA PASTINA 60G</t>
  </si>
  <si>
    <t>ALCAPARRAS RAIOLA EM SALMOURA 65G</t>
  </si>
  <si>
    <t>ALCAPARRONE LA PASTINA 180G</t>
  </si>
  <si>
    <t>ALCOOL BACFREE 500ML ACAO PROLONG LAVANDA</t>
  </si>
  <si>
    <t>ALCOOL BACFREE 500ML ACAO PROLONG MIMO</t>
  </si>
  <si>
    <t>ALCOOL COPERALCOOL 1L ACAO PROLONG CLASSIC</t>
  </si>
  <si>
    <t>ALCOOL COPERALCOOL 400G GEL BACTE</t>
  </si>
  <si>
    <t>ALCOOL COPERALCOOL 480G GEL ACEND</t>
  </si>
  <si>
    <t>ALCOOL COPERALCOOL 500G GEL BACTE</t>
  </si>
  <si>
    <t>ALCOOL COPERALCOOL 500ML 46</t>
  </si>
  <si>
    <t>ALCOOL COPERALCOOL EUCALIP 500ML 46</t>
  </si>
  <si>
    <t>ALCOOL COPERALCOOL EUCALIPTO 1L</t>
  </si>
  <si>
    <t>ALCOOL ZULU 1L C/BICARBONATO</t>
  </si>
  <si>
    <t>ALCOOL ZULU 1L EUCALIPTO</t>
  </si>
  <si>
    <t>ALCOOL ZULU 1L TRADICIONAL EVOLUC</t>
  </si>
  <si>
    <t>ALCOOL ZULU 500ML EVOLUTION TRAD</t>
  </si>
  <si>
    <t>ALCOOL ZULU EVOLUTION EUCALIPTO 500ML</t>
  </si>
  <si>
    <t>ALCOOL ZUMBI 1L TRAD 46</t>
  </si>
  <si>
    <t>ALCOOL ZUMBI 500G GEL</t>
  </si>
  <si>
    <t>ALECRIM ESP E SAB 20G</t>
  </si>
  <si>
    <t>ALFAJOR LEVSLIM SUAVIPAN 25G CHOCOLATE</t>
  </si>
  <si>
    <t>ALFAJOR ODARA 65G CHOC 70% CACAU</t>
  </si>
  <si>
    <t>ALFAJOR ODARA 65G CHOC BRANCO</t>
  </si>
  <si>
    <t>ALFAJOR ODARA 65G CHOC MEIO AMARGO</t>
  </si>
  <si>
    <t>ALGA MARINHA EDOMAE YAKINORI 10F 25G</t>
  </si>
  <si>
    <t>ALGA MARINHA OKAZUNORI 20G SHINSEN</t>
  </si>
  <si>
    <t>ALGA MARINHA SAKURA 27G</t>
  </si>
  <si>
    <t>ALGA MARINHA YAKI SUSHI NORI KENKO 27G</t>
  </si>
  <si>
    <t>ALGODAO APOLO BOLA 100G</t>
  </si>
  <si>
    <t>ALGODAO APOLO BOLA 50G</t>
  </si>
  <si>
    <t>ALGODAO APOLO DISCO 35G</t>
  </si>
  <si>
    <t>ALGODAO APOLO DISCO 70G</t>
  </si>
  <si>
    <t>ALGODAO APOLO HIDROFILO 100G</t>
  </si>
  <si>
    <t>ALGODAO APOLO HIDROFILO 25G</t>
  </si>
  <si>
    <t>ALGODAO APOLO HIDROFILO 50G</t>
  </si>
  <si>
    <t>ALGODAO APOLO SANFONADO 100G</t>
  </si>
  <si>
    <t>ALGODAO APOLO SANFONADO 50G</t>
  </si>
  <si>
    <t>ALHO AKIDABAN 200G C/CEBOLA E SALSA</t>
  </si>
  <si>
    <t>ALHO AKIDABAN PICADO 200G S/SAL</t>
  </si>
  <si>
    <t>ALHO AKIDABAN PICADO 400G S/SAL</t>
  </si>
  <si>
    <t>ALHO AKIDABAN TRITURADO 200G</t>
  </si>
  <si>
    <t>ALHO AKIDABAN TRITURADO 400G</t>
  </si>
  <si>
    <t>ALHO AKIDABAN TRITURADO 900G</t>
  </si>
  <si>
    <t>ALHO AKIO CROCANTE 50G</t>
  </si>
  <si>
    <t>ALHO AKIO TRITURADO 1KG</t>
  </si>
  <si>
    <t>ALHO AKIO TRITURADO 400G</t>
  </si>
  <si>
    <t>ALHO AKIO TRITURADOS 200G</t>
  </si>
  <si>
    <t>ALHO APERITIVO CONSERVA LA PASTINA 180G</t>
  </si>
  <si>
    <t>ALHO AREIA BOMBAY 75G</t>
  </si>
  <si>
    <t>ALHO CAMARELIZADO QUEENSBERRY 310G</t>
  </si>
  <si>
    <t>ALHO EM PO BR SPICES ESSENCIAL 50G</t>
  </si>
  <si>
    <t>ALHO EM PO ESP &amp; SAB 40G</t>
  </si>
  <si>
    <t>ALHO FRITO AKIDABAN 80G</t>
  </si>
  <si>
    <t>ALHO FRITO BR SPICES 40G</t>
  </si>
  <si>
    <t>ALHO FRITO ESP E SAB 50G</t>
  </si>
  <si>
    <t>ALHO GRANULADO ESP E SAB 50G</t>
  </si>
  <si>
    <t>ALIM ADES SEEDS 1L AMENDOA BAUNILHA</t>
  </si>
  <si>
    <t>ALIM ADES SEEDS 1L AMENDOAS</t>
  </si>
  <si>
    <t>ALIM ADES SEEDS 1L COCO</t>
  </si>
  <si>
    <t>ALIM ADES SEEDS 1L S/AC AMENDOAS</t>
  </si>
  <si>
    <t>ALVEJANTE SUP CANDIDA 2L S/CLORO BRANQ</t>
  </si>
  <si>
    <t>ALVEJANTE SUP CANDIDA 2L S/CLORO CORES</t>
  </si>
  <si>
    <t>ALVEJANTE SUP CANDIDA 500ML S/CLORO CORES</t>
  </si>
  <si>
    <t>ALVEJANTE SUPER CANDIDA 1L C/DET</t>
  </si>
  <si>
    <t>ALVEJANTE SUPER CANDIDA 1L FLORAL</t>
  </si>
  <si>
    <t>ALVEJANTE SUPER CANDIDA 1L LAVANDA</t>
  </si>
  <si>
    <t>ALVEJANTE SUPER CANDIDA 2L LAVANDA</t>
  </si>
  <si>
    <t>ALVEJANTE VANISH 1,2L GEL MULTIUSO CRISTAL WHITE</t>
  </si>
  <si>
    <t>ALVEJANTE VANISH 1,2L GEL MULTIUSO PINK</t>
  </si>
  <si>
    <t>ALVEJANTE VANISH 1,5L WHITE</t>
  </si>
  <si>
    <t>ALVEJANTE VANISH 3L WHITE</t>
  </si>
  <si>
    <t>ALVEJANTE VANISH 500ML MULTIUSO S/CLORO</t>
  </si>
  <si>
    <t>ALVEJANTE VANISH 500ML WHITE</t>
  </si>
  <si>
    <t>ALVEJANTE VANISH 500ML WHITE SACHE</t>
  </si>
  <si>
    <t>ALVEJANTE VANISH MULTIUSO 1,5L S/CLORO</t>
  </si>
  <si>
    <t>ALVEJANTE VANISH MULTIUSO 500ML SACHE</t>
  </si>
  <si>
    <t>AMAC COMFORT 1,8L BRISA FLORAL</t>
  </si>
  <si>
    <t>AMAC COMFORT 1,8L BRISA TROPICAL</t>
  </si>
  <si>
    <t>AMAC COMFORT 1,8L EXPLOSAO AZUL</t>
  </si>
  <si>
    <t>AMAC COMFORT 1,8L PURO CUIDADO</t>
  </si>
  <si>
    <t>AMAC COMFORT 810ML RF EXPLOSAO FLORAL</t>
  </si>
  <si>
    <t>AMAC COMFORT 900ML RF BRISA ELEGANTE</t>
  </si>
  <si>
    <t>AMAC COMFORT 900ML RF LAVANDA</t>
  </si>
  <si>
    <t>AMAC COMFORT CONC 1,5L FIBER PROTECT</t>
  </si>
  <si>
    <t>AMAC COMFORT CONC 1,5L FRESC INTENSO</t>
  </si>
  <si>
    <t>AMAC COMFORT CONC 1,5L HYDRA SERUM</t>
  </si>
  <si>
    <t>AMAC COMFORT CONC 1,5L LAVANDA</t>
  </si>
  <si>
    <t>AMAC COMFORT CONC 1,5L PURO CUIDADO</t>
  </si>
  <si>
    <t>AMAC COMFORT CONC 1,5L SEGREDOS 36</t>
  </si>
  <si>
    <t>AMAC COMFORT CONC 1,5L SEGREDOS 48</t>
  </si>
  <si>
    <t>AMAC COMFORT CONC 1,8L FRESCOR INTENSO</t>
  </si>
  <si>
    <t>AMAC COMFORT CONC 1L CUID INTENSIVO</t>
  </si>
  <si>
    <t>AMAC COMFORT CONC 1L FIBER PROTECT</t>
  </si>
  <si>
    <t>AMAC COMFORT CONC 1L HYDRA SERUM</t>
  </si>
  <si>
    <t>AMAC COMFORT CONC 1L PURO CUIDADO</t>
  </si>
  <si>
    <t>AMAC COMFORT CONC 1L SEGREDOS 36</t>
  </si>
  <si>
    <t>AMAC COMFORT CONC 1L SEGREDOS 48</t>
  </si>
  <si>
    <t>AMAC COMFORT CONC 500ML CUID ESSENCIAL</t>
  </si>
  <si>
    <t>AMAC COMFORT CONC 500ML FIBER PROT</t>
  </si>
  <si>
    <t>AMAC COMFORT CONC 500ML HYDRA SERUM</t>
  </si>
  <si>
    <t>AMAC COMFORT CONC 500ML LAVANDA</t>
  </si>
  <si>
    <t>AMAC COMFORT CONC 500ML PURO CUIDADO</t>
  </si>
  <si>
    <t>AMAC COMFORT CONC 500ML SEGREDOS 36</t>
  </si>
  <si>
    <t>AMAC COMFORT CONC 500ML SEGREDOS 48</t>
  </si>
  <si>
    <t>AMAC COMFORT CONC 900ML EXPLOSAO FLORAL</t>
  </si>
  <si>
    <t>AMAC COMFORT CONC 900ML ORIG DOYP</t>
  </si>
  <si>
    <t>AMAC COMFORT CONC 900ML P CUID DOYP</t>
  </si>
  <si>
    <t>AMAC COMFORT CONC 900ML RF ENERGIA FLORAL</t>
  </si>
  <si>
    <t>AMAC COMFORT CONC LV500ML PG400ML BRISA ELEGANTE</t>
  </si>
  <si>
    <t>AMAC COMFORT CONC LV500ML PG400ML ORIGINAL</t>
  </si>
  <si>
    <t>AMAC COMFORT CONC LV500ML PG400ML PURO CUIDADO</t>
  </si>
  <si>
    <t>AMAC DOWNY CONC 500ML BRISA DE VERAO</t>
  </si>
  <si>
    <t>AMAC DOWNY CONC 500ML FRESCO PRIMAV</t>
  </si>
  <si>
    <t>AMAC DOWNY CONC 500ML LIRIOS DO CAMPO</t>
  </si>
  <si>
    <t>AMAC FOFO CONC 1,5L AZUL TUDAO</t>
  </si>
  <si>
    <t>AMAC FOFO CONC 1L AZUL TUDAO</t>
  </si>
  <si>
    <t>AMAC FOFO CONC 500ML AZUL TUDAO</t>
  </si>
  <si>
    <t>AMAC FOFO CONC 500ML LARAN VITORIOSO</t>
  </si>
  <si>
    <t>AMAC FOFO CONC 500ML VERM SENSACAO</t>
  </si>
  <si>
    <t>AMAC FOFO CONC 900ML RF AZUL TUDAO</t>
  </si>
  <si>
    <t>AMAC FOFO CONC LV500ML PG400ML AZUL TUDAO</t>
  </si>
  <si>
    <t>AMAC MON BIJOU 1,7L + CUIDADO</t>
  </si>
  <si>
    <t>AMAC MON BIJOU 1,7L + FRESCOR</t>
  </si>
  <si>
    <t>AMAC MON BIJOU 1,7L + MACIEZ</t>
  </si>
  <si>
    <t>AMAC MON BIJOU 1,7L + PERFUME</t>
  </si>
  <si>
    <t>AMAC MON BIJOU 1,7L + PROTECAO</t>
  </si>
  <si>
    <t>AMAC MON BIJOU 1,7L 3 EM 1</t>
  </si>
  <si>
    <t>AMAC RUTH BABY 1L COLINHO DA VOVO</t>
  </si>
  <si>
    <t>AMAC YPE 2L ACONCHEGO</t>
  </si>
  <si>
    <t>AMAC YPE 2L CARINHO</t>
  </si>
  <si>
    <t>AMAC YPE 2L DELICADO</t>
  </si>
  <si>
    <t>AMAC YPE 2L INTENSO</t>
  </si>
  <si>
    <t>AMAC YPE 2L TERNURA</t>
  </si>
  <si>
    <t>AMAC YPE 500ML ACONCHEGO</t>
  </si>
  <si>
    <t>AMAC YPE 500ML TERNURA</t>
  </si>
  <si>
    <t>AMAC YPE 5L ACONCHEGO</t>
  </si>
  <si>
    <t>AMAC YPE CONC 1,5L BLUE GARDEN</t>
  </si>
  <si>
    <t>AMAC YPE CONC 1,5L PINK GARDEN</t>
  </si>
  <si>
    <t>AMAC YPE CONC 1L ANTIBAC</t>
  </si>
  <si>
    <t>AMAC YPE CONC 1L ESSENCIAL</t>
  </si>
  <si>
    <t>AMAC YPE CONC 1L GREEN</t>
  </si>
  <si>
    <t>AMAC YPE CONC 500ML BLUE</t>
  </si>
  <si>
    <t>AMAC YPE CONC 500ML DELICADO</t>
  </si>
  <si>
    <t>AMAC YPE CONC 500ML ENCANTO</t>
  </si>
  <si>
    <t>AMAC YPE CONC 500ML INSPIRACAO</t>
  </si>
  <si>
    <t>AMAC YPE CONC 500ML LIBERDADE</t>
  </si>
  <si>
    <t>AMAC YPE CONC 500ML PINK</t>
  </si>
  <si>
    <t>AMAC YPE CONC 900ML RF BLUE GARDEN</t>
  </si>
  <si>
    <t>AMAC YPE CONC 900ML RF PINK GARDEN</t>
  </si>
  <si>
    <t>AMAC YPE LEVE 2L PAGUE 1,6L ACONCHEGO</t>
  </si>
  <si>
    <t>AMAC YPE LEVE 2L PAGUE 1,6L TERNURA</t>
  </si>
  <si>
    <t>AMBROSIA TESOURO REAL 400G</t>
  </si>
  <si>
    <t>AMEIXA CALDA OLE 130G</t>
  </si>
  <si>
    <t>AMENDOA VIEIRA 200G BELINHAS</t>
  </si>
  <si>
    <t>AMENDOA VIEIRA 200G CLAUDIAS</t>
  </si>
  <si>
    <t>AMENDOA VIEIRA 200G DAMADAS</t>
  </si>
  <si>
    <t>AMENDOIM DORI JAPONES 150G</t>
  </si>
  <si>
    <t>AMENDOIM ELMA CHIPS 145G OVINHOS</t>
  </si>
  <si>
    <t>AMENDOIM ELMA CHIPS 235G OVINHOS</t>
  </si>
  <si>
    <t>AMENDOIM ELMA CHIPS 400G JAPONES</t>
  </si>
  <si>
    <t>AMENDOIM ELMA CHIPS 400G OVINHO</t>
  </si>
  <si>
    <t>AMENDOIM ELMA CHIPS 400G S/PELE</t>
  </si>
  <si>
    <t>AMENDOIM ELMA CHIPS 65G OVINHO</t>
  </si>
  <si>
    <t>AMENDOIM JAPONES ELMA CHIPS 145G</t>
  </si>
  <si>
    <t>AMENDOIM PETTIZ DORI 110G LEMON PEPPER</t>
  </si>
  <si>
    <t>AMENDOIM PETTIZ DORI 120G CROCANTE NATURAL</t>
  </si>
  <si>
    <t>AMENDOIM PETTIZ DORI 120G CROCANTE PIMENTA</t>
  </si>
  <si>
    <t>AMENDOIM PETTIZ DORI 120G CROCANTE SALSA/CEBOLA</t>
  </si>
  <si>
    <t>AMENDOIM PETTIZ DORI 120G SPECIAL</t>
  </si>
  <si>
    <t>AMENDOIM YOKI 150G CROCANTE LEVEMENTE SALG</t>
  </si>
  <si>
    <t>AMENDOIM YOKI 150G CROCANTE MOLHO PIMENTA</t>
  </si>
  <si>
    <t>AMENDOIM YOKI 150G CROCANTE SABOR DO CHEF</t>
  </si>
  <si>
    <t>AMENDOIM YOKI 500G CROCANTE LEVEMENTE SALG</t>
  </si>
  <si>
    <t>AMENDOIM YOKI DESC SALGADO 150G</t>
  </si>
  <si>
    <t>AMENDOIM YOKI DESC SALGADO 500G</t>
  </si>
  <si>
    <t>AMENDOIM YOKI DESCASCADO 500G</t>
  </si>
  <si>
    <t>AMENDOIM YOKI DOCE PRALINE 150G</t>
  </si>
  <si>
    <t>AMENDOIM YOKI DOCE PRALINE 500G</t>
  </si>
  <si>
    <t>AMENDOIM YOKI JAPONES 150G</t>
  </si>
  <si>
    <t>AMENDOIM YOKI JAPONES 500G</t>
  </si>
  <si>
    <t>AMENDOIM YOKI TEMPERADO 150G</t>
  </si>
  <si>
    <t>AMIDO DE MILHO MAIZENA 1KG</t>
  </si>
  <si>
    <t>AMIDO DE MILHO MAIZENA 200G PROMO</t>
  </si>
  <si>
    <t>AMIDO DE MILHO MAIZENA 500G</t>
  </si>
  <si>
    <t>AN PAN AZUKI CASTELLA 300G</t>
  </si>
  <si>
    <t>AN PAN BRANCO CASTELLA 300G</t>
  </si>
  <si>
    <t>ANCHOVA CASTROVINCI 100G AZEITE</t>
  </si>
  <si>
    <t>ANCHOVA CASTROVINCI 48G AZEITE</t>
  </si>
  <si>
    <t>ANCHOVA CASTROVINCI 48G LIMAO SICILIANO</t>
  </si>
  <si>
    <t>ANCHOVA CASTROVINCI 48G TRUFA NEGRA</t>
  </si>
  <si>
    <t>ANIS ESTRELADOS ESP E SAB 10G</t>
  </si>
  <si>
    <t>ANTEPASTO CASA MADEIRA 160G AZEITONA PRETA</t>
  </si>
  <si>
    <t>ANTEPASTO CASA MADEIRA 160G BERINJELA</t>
  </si>
  <si>
    <t>AP BARBEAR DR JONES THE RAZOR 4</t>
  </si>
  <si>
    <t>AP BARBEAR DR JONES THE RAZOR 6</t>
  </si>
  <si>
    <t>AP PREST GILLETTE 3 C/1</t>
  </si>
  <si>
    <t>AP PREST GILLETTE 3 C/2</t>
  </si>
  <si>
    <t>AP PREST GILLETTE C/2</t>
  </si>
  <si>
    <t>AP PREST GILLETTE MACH3 RECARREG</t>
  </si>
  <si>
    <t>AP PREST GILLETTE ULTRAGRIP C/2</t>
  </si>
  <si>
    <t>AP PREST GILLETTE ULTRAGRIP3 C/2</t>
  </si>
  <si>
    <t>AP VENUS C/2 REGULAR</t>
  </si>
  <si>
    <t>AP VENUS DESCART SIMPLY LV4PG3</t>
  </si>
  <si>
    <t>AREIA GATO TIDY CAT 2KG</t>
  </si>
  <si>
    <t>AROMA DE BAUNILHA FLEISCHMANN 30ML</t>
  </si>
  <si>
    <t>AROMA DR OETKER 30ML AVELA</t>
  </si>
  <si>
    <t>AROMA DR OETKER 30ML BAUNILHA</t>
  </si>
  <si>
    <t>ARROZ ARBORIO COLAVITA 500G SUPERFINO</t>
  </si>
  <si>
    <t>ARROZ ARBORIO ITALIANO 500G</t>
  </si>
  <si>
    <t>ARROZ ARBORIO LA PASTINA 1KG</t>
  </si>
  <si>
    <t>ARROZ ARBORIO PAGANINI 1KG</t>
  </si>
  <si>
    <t>ARROZ BASMATI TP1 LA PASTINA 500G</t>
  </si>
  <si>
    <t>ARROZ BROTO LEGAL 1KG TIPO 1</t>
  </si>
  <si>
    <t>ARROZ BROTO LEGAL 2KG TIPO 1</t>
  </si>
  <si>
    <t>ARROZ BROTO LEGAL 5KG TIPO 1</t>
  </si>
  <si>
    <t>ARROZ CAMIL 1KG TIPO 1</t>
  </si>
  <si>
    <t>ARROZ CAMIL 1KG TIPO 2</t>
  </si>
  <si>
    <t>ARROZ CAMIL 2KG TIPO 1</t>
  </si>
  <si>
    <t>ARROZ CAMIL 5KG TIPO 1</t>
  </si>
  <si>
    <t>ARROZ CAMIL 5KG TIPO 2</t>
  </si>
  <si>
    <t>ARROZ CAMIL 7 CEREAIS 1KG</t>
  </si>
  <si>
    <t>ARROZ CAMIL CULINARIA ITALIANA 1KG</t>
  </si>
  <si>
    <t>ARROZ CAMIL ESPECIAL ORGANICO 1KG</t>
  </si>
  <si>
    <t>ARROZ CAMIL PARBO 1KG</t>
  </si>
  <si>
    <t>ARROZ CAMIL PARBO 5KG</t>
  </si>
  <si>
    <t>ARROZ CAMIL PREMIUM SELVAGEM 250G</t>
  </si>
  <si>
    <t>ARROZ CAMIL PREMIUM VERMELHO 500G</t>
  </si>
  <si>
    <t>ARROZ CAMIL RESERVA ESPECIAL 1KG</t>
  </si>
  <si>
    <t>ARROZ CAMIL RESERVA ESPECIAL 5KG</t>
  </si>
  <si>
    <t>ARROZ CAMPO VERDE JAPONES NIPPON MA 1KG</t>
  </si>
  <si>
    <t>ARROZ CARNAROLI TIO JOAO VARIEDADES MUNDIAIS 1KG</t>
  </si>
  <si>
    <t>ARROZ GUIN 5KG TIPO 1 GRAO CURTO</t>
  </si>
  <si>
    <t>ARROZ INT CAMIL 1KG</t>
  </si>
  <si>
    <t>ARROZ INT CAMIL 1KG CATETO</t>
  </si>
  <si>
    <t>ARROZ INT CAMIL 1KG PARBOILIZADO</t>
  </si>
  <si>
    <t>ARROZ INT CAMIL 1KG SAQ PARBOILIZADO</t>
  </si>
  <si>
    <t>ARROZ INT CAMIL 2KG FOOD SERVICE PARBOILIZADO</t>
  </si>
  <si>
    <t>ARROZ INT ORG KORIN 1KG AGULINHA</t>
  </si>
  <si>
    <t>ARROZ INT ORG VAPZA 250G</t>
  </si>
  <si>
    <t>ARROZ INT PRATO FINO 1KG TIPO 1</t>
  </si>
  <si>
    <t>ARROZ INT TIO JOAO 1KG SAQ TIPO 1</t>
  </si>
  <si>
    <t>ARROZ INT TIO JOAO 1KG TIPO 1</t>
  </si>
  <si>
    <t>ARROZ INT TIO JOAO 200G VEGETAIS</t>
  </si>
  <si>
    <t>ARROZ INT TIO JOAO 500G 7 GRAOS</t>
  </si>
  <si>
    <t>ARROZ ITA CARNAROLI PAGANINI 1KG</t>
  </si>
  <si>
    <t>ARROZ ITA INVERNI ARBORIO 500G</t>
  </si>
  <si>
    <t>ARROZ ITA INVERNI CARNAROLI 500G</t>
  </si>
  <si>
    <t>ARROZ MIROKUMAI 5KG</t>
  </si>
  <si>
    <t>ARROZ MOMIJI 1KG TIPO 1 AZUL</t>
  </si>
  <si>
    <t>ARROZ MOMIJI 5KG TIPO 1 AZUL</t>
  </si>
  <si>
    <t>ARROZ MOMIJI VERDE 1KG GL</t>
  </si>
  <si>
    <t>ARROZ MOMIJI VERDE 5KG GL</t>
  </si>
  <si>
    <t>ARROZ NEGRO LA PASTINA 500G</t>
  </si>
  <si>
    <t>ARROZ ORG KORIN 1KG POLIDO AGULINHA</t>
  </si>
  <si>
    <t>ARROZ P/PAELLA LA PASTINA 1KG</t>
  </si>
  <si>
    <t>ARROZ P/SUSHI URBANO 1KG</t>
  </si>
  <si>
    <t>ARROZ PRATO FINO 1KG TIPO 1</t>
  </si>
  <si>
    <t>ARROZ PRATO FINO 1KG TIPO 1 PARBO</t>
  </si>
  <si>
    <t>ARROZ PRATO FINO 2KG PARBOILIZADO</t>
  </si>
  <si>
    <t>ARROZ PRATO FINO 2KG TIPO 1</t>
  </si>
  <si>
    <t>ARROZ PRATO FINO 500G ITALIANA</t>
  </si>
  <si>
    <t>ARROZ PRATO FINO 500G JAPONES</t>
  </si>
  <si>
    <t>ARROZ PRATO FINO 5KG PARBOILIZADO</t>
  </si>
  <si>
    <t>ARROZ PRATO FINO 5KG TIPO 1</t>
  </si>
  <si>
    <t>ARROZ SAKURA 1KG TIPO 1 PREMIUM</t>
  </si>
  <si>
    <t>ARROZ SAKURA 5KG TIPO 1 KOSHIHIKARI</t>
  </si>
  <si>
    <t>ARROZ SAKURA 5KG TIPO 1 PREMIUM</t>
  </si>
  <si>
    <t>ARROZ TIO JOAO 1KG TIPO 1</t>
  </si>
  <si>
    <t>ARROZ TIO JOAO 1KG TIPO 1 PARBO</t>
  </si>
  <si>
    <t>ARROZ TIO JOAO 2KG TIPO 1</t>
  </si>
  <si>
    <t>ARROZ TIO JOAO 5KG TIPO 1</t>
  </si>
  <si>
    <t>ARROZ TIO JOAO 5KG TIPO 1 PARBO</t>
  </si>
  <si>
    <t>ARROZ TIO JOAO 7 CEREAIS+PASSAS 500G</t>
  </si>
  <si>
    <t>ARROZ TIO JOAO 7 CEREAIS+SOJA 500G</t>
  </si>
  <si>
    <t>ARROZ TIO JOAO COZ 175G NAPOLITANO</t>
  </si>
  <si>
    <t>ARROZ TIO JOAO COZ 175G SABOR MILANES</t>
  </si>
  <si>
    <t>ARROZ TIO JOAO COZ FACIL 250G BROCOLIS</t>
  </si>
  <si>
    <t>ARROZ TIO JOAO COZ FACIL 250G CURRY</t>
  </si>
  <si>
    <t>ARROZ TIO JOAO COZ FACIL 250G ERVAS</t>
  </si>
  <si>
    <t>ARROZ TIO JOAO COZ FACIL 250G TOMAT E MANJERI</t>
  </si>
  <si>
    <t>ARROZ TIO JOAO COZ FACIL 250GFUNGHI</t>
  </si>
  <si>
    <t>ARROZ TIO JOAO COZ INDIANA 500G BASMATI</t>
  </si>
  <si>
    <t>ARROZ TIO JOAO COZ ITALIANA 1KG CARNAROLI</t>
  </si>
  <si>
    <t>ARROZ TIO JOAO COZ SABOR 175G C/GAL</t>
  </si>
  <si>
    <t>ARROZ TIO JOAO COZ SABOR 175G CARRETEIRO</t>
  </si>
  <si>
    <t>ARROZ TIO JOAO COZ SABOR VAL 175G</t>
  </si>
  <si>
    <t>ARROZ TIO JOAO COZ TAILANDESA AROMA JASM 1KG</t>
  </si>
  <si>
    <t>ARROZ TIO JOAO T1 PARBO SAQ 1KG</t>
  </si>
  <si>
    <t>ARROZ TIO NIKKOH 5KG TIPO 1</t>
  </si>
  <si>
    <t>ARROZ URBANO 7 GRAOS 500G AZUKI/ABOB</t>
  </si>
  <si>
    <t>ARROZ URBANO 7 GRAOS 500G LENTILHA/GIRAS</t>
  </si>
  <si>
    <t>ARROZ URBANO 7 GRAOS 500G PAINCO/CATET</t>
  </si>
  <si>
    <t>ARROZINA 180G TRADICIONAL</t>
  </si>
  <si>
    <t>ASPARGO BRANCO LA PASTINA 330G</t>
  </si>
  <si>
    <t>ASPARGOS VERDES LA PASTINA 185G</t>
  </si>
  <si>
    <t>ASSA RAPIDO WYDA CHURRASCO 65M</t>
  </si>
  <si>
    <t>ASSA RAPIDO WYDA COZINHA</t>
  </si>
  <si>
    <t>ASSADEIRA MOLDADA ALUMINIO WYDA 4L</t>
  </si>
  <si>
    <t>ASSADEIRA WYDA 10L</t>
  </si>
  <si>
    <t>ASSADEIRA WYDA 4L</t>
  </si>
  <si>
    <t>ASSADEIRA WYDA 7L</t>
  </si>
  <si>
    <t>ATUM AS DO MAR 160G C/AZEITE OLIVA</t>
  </si>
  <si>
    <t>ATUM COQUEIRO RALADO 160G TOMATE</t>
  </si>
  <si>
    <t>ATUM COQUEIRO RALADO 170G NATURAL</t>
  </si>
  <si>
    <t>ATUM COQUEIRO RALADO 170G OLEO</t>
  </si>
  <si>
    <t>ATUM COQUEIRO SOLIDO 170G OLEO</t>
  </si>
  <si>
    <t>ATUM GOMES DA COSTA 120G YELLOWFIN AO NATURAL</t>
  </si>
  <si>
    <t>ATUM GOMES DA COSTA 120G YELLOWFIN EM AZEITE</t>
  </si>
  <si>
    <t>ATUM GOMES DA COSTA 140G C/MOLHO GENGIBRE</t>
  </si>
  <si>
    <t>ATUM GOMES DA COSTA 170G BAIXO SOD OLEO</t>
  </si>
  <si>
    <t>ATUM GOMES DA COSTA 170G BAIXO SODIO</t>
  </si>
  <si>
    <t>ATUM GOMES DA COSTA 170G OLEO DEF RALADO</t>
  </si>
  <si>
    <t>ATUM GOMES DA COSTA 170G PEDACO NAT</t>
  </si>
  <si>
    <t>ATUM GOMES DA COSTA 170G PEDACOS</t>
  </si>
  <si>
    <t>ATUM GOMES DA COSTA 170G RALADA PIC</t>
  </si>
  <si>
    <t>ATUM GOMES DA COSTA 170G RALADO NAT</t>
  </si>
  <si>
    <t>ATUM GOMES DA COSTA 170G RALADO OLE</t>
  </si>
  <si>
    <t>ATUM GOMES DA COSTA 170G RALADO TOM</t>
  </si>
  <si>
    <t>ATUM GOMES DA COSTA 170G SOL DEF</t>
  </si>
  <si>
    <t>ATUM GOMES DA COSTA 170G SOL NAT</t>
  </si>
  <si>
    <t>ATUM GOMES DA COSTA 170G SOLIDO</t>
  </si>
  <si>
    <t>AVEIA DR OETKER 60G BANANA/MEL/CHIA</t>
  </si>
  <si>
    <t>AVEIA DR OETKER 60G MACA/CAN/LINHAC</t>
  </si>
  <si>
    <t>AVEIA EM FLOCOS CAMPO VERDE 500G FINOS</t>
  </si>
  <si>
    <t>AVEIA EM FLOCOS CAMPO VERDE 500G GROSSO</t>
  </si>
  <si>
    <t>AVEIA EM FLOCOS FINOS QUAKER 165G</t>
  </si>
  <si>
    <t>AVEIA EM FLOCOS QUAKER 165G</t>
  </si>
  <si>
    <t>AVEIA EM FLOCOS YOKI 170G</t>
  </si>
  <si>
    <t>AVEIA FLOCOS VITAO 400G FINOS</t>
  </si>
  <si>
    <t>AVEIA GRAOS QUAKER 426G INTEGRAL</t>
  </si>
  <si>
    <t>AVEIA JASMINE 170G INTEGRAL FLOCOS FINOS</t>
  </si>
  <si>
    <t>AVEIA JASMINE 170G INTEGRAL FLOCOS GROSSOS</t>
  </si>
  <si>
    <t>AVEIA JASMINE 400G FLOCOS FINOS</t>
  </si>
  <si>
    <t>AVEIA JASMINE 400G FLOCOS GROSSOS</t>
  </si>
  <si>
    <t>AVEIA NESTLE 170G FLOCOS</t>
  </si>
  <si>
    <t>AVEIA NESTLE 170G FLOCOS FINOS</t>
  </si>
  <si>
    <t>AVEIA NESTLE 270G CORTE RUSTICO</t>
  </si>
  <si>
    <t>AVEIA NESTLE FLOCOS 450G EMBAL ECONOMICA</t>
  </si>
  <si>
    <t>AVEIA NESTLE FLOCOS FINOS 450G EMBAL ECONOMICA</t>
  </si>
  <si>
    <t>AVEIA ORG NESTLE 170G FLOCOS GROSSOS</t>
  </si>
  <si>
    <t>AVEIA YOKI 170G FLOCOS FINOS</t>
  </si>
  <si>
    <t>AZEITE DENDE CEPERA 100ML</t>
  </si>
  <si>
    <t>AZEITE EXT VIRG ANDORINHA 200ML SPRAY</t>
  </si>
  <si>
    <t>AZEITE EXT VIRG ANDORINHA 500ML 1 COLHEITA</t>
  </si>
  <si>
    <t>AZEITE EXT VIRG ANDORINHA 500ML POR</t>
  </si>
  <si>
    <t>AZEITE EXT VIRG ANDORINHA 500ML SEL</t>
  </si>
  <si>
    <t>AZEITE EXT VIRG ANDORINHA 500ML VINTAGE</t>
  </si>
  <si>
    <t>AZEITE EXT VIRG ANDORINHA OLI 225ML</t>
  </si>
  <si>
    <t>AZEITE EXT VIRG CARBONELL 500ML</t>
  </si>
  <si>
    <t>AZEITE EXT VIRG CASA DEL AGUA 500ML</t>
  </si>
  <si>
    <t>AZEITE EXT VIRG COLAVITA 500ML</t>
  </si>
  <si>
    <t>AZEITE EXT VIRG COLAVITA 500ML COSTOLATA</t>
  </si>
  <si>
    <t>AZEITE EXT VIRG COLAVITA 500ML ESP</t>
  </si>
  <si>
    <t>AZEITE EXT VIRG COLAVITA 500ML VD GRECIA</t>
  </si>
  <si>
    <t>AZEITE EXT VIRG COLAVITA 500ML VD MEDITERRANEO</t>
  </si>
  <si>
    <t>AZEITE EXT VIRG DELEYDA 500ML CHILENO</t>
  </si>
  <si>
    <t>AZEITE EXT VIRG DELEYDA 500ML VD FINE SELECTION</t>
  </si>
  <si>
    <t>AZEITE EXT VIRG DELEYDA PREMIUM 500ML VD</t>
  </si>
  <si>
    <t>AZEITE EXT VIRG EA 500ML</t>
  </si>
  <si>
    <t>AZEITE EXT VIRG ESPORAO 500ML CORDOVIL</t>
  </si>
  <si>
    <t>AZEITE EXT VIRG ESPORAO 500ML GALEG</t>
  </si>
  <si>
    <t>AZEITE EXT VIRG FONTOLIVA 500ML</t>
  </si>
  <si>
    <t>AZEITE EXT VIRG GALLO 400ML VD ANCESTRAL</t>
  </si>
  <si>
    <t>AZEITE EXT VIRG GALLO 500ML COLH MADURA</t>
  </si>
  <si>
    <t>AZEITE EXT VIRG GALLO 500ML ESCOLHA</t>
  </si>
  <si>
    <t>AZEITE EXT VIRG GALLO 500ML VD</t>
  </si>
  <si>
    <t>AZEITE EXT VIRG GALLO 500ML VD RES</t>
  </si>
  <si>
    <t>AZEITE EXT VIRG HERDADE ESPORAO 500ML</t>
  </si>
  <si>
    <t>AZEITE EXT VIRG LA PASTINA 500ML</t>
  </si>
  <si>
    <t>AZEITE EXT VIRG LE IFE 100ML TARTUFO BCO</t>
  </si>
  <si>
    <t>AZEITE EXT VIRG MYKONOS 500ML</t>
  </si>
  <si>
    <t>AZEITE EXT VIRG OLAVE 500ML PREMIUM BLEND</t>
  </si>
  <si>
    <t>AZEITE EXT VIRG OLIVEIRA DA SERRA 500ML</t>
  </si>
  <si>
    <t>AZEITE EXT VIRG ORFEU 250ML ARBEQUINA</t>
  </si>
  <si>
    <t>AZEITE EXT VIRG ORFEU 250ML ARBOSANA</t>
  </si>
  <si>
    <t>AZEITE EXT VIRG ORFEU 250ML KORONEIKI</t>
  </si>
  <si>
    <t>AZEITE EXT VIRG ORFEU 250ML PICUAL</t>
  </si>
  <si>
    <t>AZEITE EXT VIRG ORG NATIVE 250ML</t>
  </si>
  <si>
    <t>AZEITE EXT VIRG PAGANI GREZZO 500ML</t>
  </si>
  <si>
    <t>AZEITE EXT VIRG PAGANINI 250ML TART</t>
  </si>
  <si>
    <t>AZEITE EXT VIRG QUINTA CRASTO 500ML SELECTION</t>
  </si>
  <si>
    <t>AZEITE EXT VIRG REY 500ML</t>
  </si>
  <si>
    <t>AZEITE EXT VIRG ROSSIO DE ABRANTES 500ML FRUTADO</t>
  </si>
  <si>
    <t>AZEITE EXT VIRG ROSSIO DE ABRANTES 500ML MADURO</t>
  </si>
  <si>
    <t>AZEITE EXT VIRG ROSSIO DE ABRANTES 500ML VERDE</t>
  </si>
  <si>
    <t>AZEITE EXT VIRG SODOLIVA 2L</t>
  </si>
  <si>
    <t>AZEITE EXT VIRG SODOLIVA 500ML</t>
  </si>
  <si>
    <t>AZEITE TIPO UNICO ANDORINHA 500ML</t>
  </si>
  <si>
    <t>AZEITE TIPO UNICO GALLO 500ML VD</t>
  </si>
  <si>
    <t>AZEITONA ANDORINHA VERDE 340G OREG/TOMILHO</t>
  </si>
  <si>
    <t>AZEITONA C/CAROCO BONDUELLE 200G</t>
  </si>
  <si>
    <t>AZEITONA FATIADA BONDUELLE 170G</t>
  </si>
  <si>
    <t>AZEITONA GALLO VERDE C/CAROCO 200G</t>
  </si>
  <si>
    <t>AZEITONA GALLO VERDE FATIADAS 160G</t>
  </si>
  <si>
    <t>AZEITONA GALLO VERDE S/CAROCO 160G</t>
  </si>
  <si>
    <t>AZEITONA LA PASTINA 235G ANCHOVA</t>
  </si>
  <si>
    <t>AZEITONA LA PASTINA 235G PIMENTAO</t>
  </si>
  <si>
    <t>AZEITONA PRETA MACARICO 210G</t>
  </si>
  <si>
    <t>AZEITONA RAIOLA GORDAL 200G</t>
  </si>
  <si>
    <t>AZEITONA RAIOLA PRETA AZAPA 360G</t>
  </si>
  <si>
    <t>AZEITONA RAIOLA PRETA FATIADA 155G</t>
  </si>
  <si>
    <t>AZEITONA RAIOLA VERDE 155G FATIADA</t>
  </si>
  <si>
    <t>AZEITONA RAIOLA VERDE 155G S/CAROCO</t>
  </si>
  <si>
    <t>AZEITONA RAIOLA VERDE 195G PIMENTAO</t>
  </si>
  <si>
    <t>AZEITONA RAIOLA VERDE 200G C/CAROCO</t>
  </si>
  <si>
    <t>AZEITONA S/CAROCO BONDUELLE 155G</t>
  </si>
  <si>
    <t>AZEITONA VERDE GALLO 150G FATIADA POUCH</t>
  </si>
  <si>
    <t>AZEITONA VERDE GALLO 150G S/C POUCH</t>
  </si>
  <si>
    <t>AZEITONA VERDE GALLO 180G C/C POUCH</t>
  </si>
  <si>
    <t>AZEITONA VERDE MACARICO 165G RODELA</t>
  </si>
  <si>
    <t>AZEITONA VERDE MACARICO 165G S/CAROCO</t>
  </si>
  <si>
    <t>AZEITONA YBARRA 240G RECH AMENDOA</t>
  </si>
  <si>
    <t>AZEITONA YBARRA 240G RECH SALMAO</t>
  </si>
  <si>
    <t>BALA CASTELLA 50G LIMAO/GENGIBRE</t>
  </si>
  <si>
    <t>BALA CASTELLA 60G CANELA</t>
  </si>
  <si>
    <t>BALA CASTELLA 60G EUCALIPTO</t>
  </si>
  <si>
    <t>BALA CASTELLA 60G EXTRA FORTE</t>
  </si>
  <si>
    <t>BALA CASTELLA 60G GENG/MEL/PROPOLIS</t>
  </si>
  <si>
    <t>BALA CASTELLA 60G PROPOLIS</t>
  </si>
  <si>
    <t>BALA CASTELLA 60G SORTIDAS</t>
  </si>
  <si>
    <t>BALA CASTELLA 60G TRADICIONAL</t>
  </si>
  <si>
    <t>BALA CRISTAL CASTELLA 50G GENGIBRE EUCALIPTO</t>
  </si>
  <si>
    <t>BALA CRISTAL CASTELLA 50G GENGIBRE EXTRA FORTE</t>
  </si>
  <si>
    <t>BALA DESCASCAVEL 75G LICHIA</t>
  </si>
  <si>
    <t>BALA DESCASCAVEL 75G PESSEGO</t>
  </si>
  <si>
    <t>BALA DESCASCAVEL 75G UVA</t>
  </si>
  <si>
    <t>BALA DESCASCAVEL 75G UVA VERDE</t>
  </si>
  <si>
    <t>BALA DORI 100G CHICLETE BOLETE</t>
  </si>
  <si>
    <t>BALA DORI 100G GOTA COLA</t>
  </si>
  <si>
    <t>BALA DORI 100G HORTELA</t>
  </si>
  <si>
    <t>BALA DORI 100G LUA CHEIA CHANT</t>
  </si>
  <si>
    <t>BALA DORI 100G POLAR CEREJA</t>
  </si>
  <si>
    <t>BALA DORI 100G RECH HORTELA</t>
  </si>
  <si>
    <t>BALA DORI 100G RECHEADA MEL</t>
  </si>
  <si>
    <t>BALA DORI 100G YOGURTE MORANGO</t>
  </si>
  <si>
    <t>BALA DORI PESCOCO DE GIRAFA 27G TUTTI FRUTTI</t>
  </si>
  <si>
    <t>BALA DORI PESCOCO DE GIRAFA 30G FRAMBOESA</t>
  </si>
  <si>
    <t>BALA DORI PESCOCO DE GIRAFA 30G MORANGO</t>
  </si>
  <si>
    <t>BALA DORI PESCOCO DE GIRAFA 30G YOGURTE</t>
  </si>
  <si>
    <t>BALA GATOS BUBBALOO 15G SORTIDAS</t>
  </si>
  <si>
    <t>BALA GATOS BUBBALOO 82,5G SORTIDAS AZED</t>
  </si>
  <si>
    <t>BALA GOMA DORI 100G DELIKET</t>
  </si>
  <si>
    <t>BALA GOMA KASUGAI 102G FRUTAS SORTI</t>
  </si>
  <si>
    <t>BALA GOMA KASUGAI 107G MORANGO</t>
  </si>
  <si>
    <t>BALA GOMA KASUGAI 107G UVA</t>
  </si>
  <si>
    <t>BALA HALLS 28G CEREJA</t>
  </si>
  <si>
    <t>BALA HALLS 28G EXTRA FORTE</t>
  </si>
  <si>
    <t>BALA HALLS 28G MELANCIA</t>
  </si>
  <si>
    <t>BALA HALLS 28G MENTA</t>
  </si>
  <si>
    <t>BALA HALLS 28G MENTA PRATA</t>
  </si>
  <si>
    <t>BALA HALLS 28G MORANGO</t>
  </si>
  <si>
    <t>BALA HALLS MULTI PACK 82,5G EXT FORTE</t>
  </si>
  <si>
    <t>BALA HALLS MULTI PACK 84G MENTA</t>
  </si>
  <si>
    <t>BALA HARIBO 75G MORANGUINHOS</t>
  </si>
  <si>
    <t>BALA HARIBO 80G AVIOES</t>
  </si>
  <si>
    <t>BALA HARIBO 80G CREAM KISS</t>
  </si>
  <si>
    <t>BALA HARIBO 80G DENTINHOS</t>
  </si>
  <si>
    <t>BALA HARIBO 80G DINOS</t>
  </si>
  <si>
    <t>BALA HARIBO 80G FRUTAS MIX</t>
  </si>
  <si>
    <t>BALA HARIBO 80G GOTINHAS</t>
  </si>
  <si>
    <t>BALA HARIBO 80G LETRINHAS</t>
  </si>
  <si>
    <t>BALA HARIBO 80G MELANCIA</t>
  </si>
  <si>
    <t>BALA HARIBO 80G SWEET BANANA</t>
  </si>
  <si>
    <t>BALA HARIBO 80G URSINHOS OURO</t>
  </si>
  <si>
    <t>BALA HARIBO 80G WUMMIS</t>
  </si>
  <si>
    <t>BALA HARIBO BARBIE 80G</t>
  </si>
  <si>
    <t>BALA HARIBO HOT WHEELS 80G FRUTAS</t>
  </si>
  <si>
    <t>BALA KANTEN 150G FRUTAS SORTIDAS</t>
  </si>
  <si>
    <t>BALA KASUGAI 112G MENTA C/FRUTAS SORTIDAS</t>
  </si>
  <si>
    <t>BALA KASUGAI 115G LICHIA</t>
  </si>
  <si>
    <t>BALA KASUGAI 115G MELAO</t>
  </si>
  <si>
    <t>BALA KASUGAI 125G LEITE</t>
  </si>
  <si>
    <t>BALA KASUGAI 125G MENTA C/LEITE</t>
  </si>
  <si>
    <t>BALA KASUGAI 135G BEIJO DE FLOR</t>
  </si>
  <si>
    <t>BALA NOBEL 83G SUPER COLA</t>
  </si>
  <si>
    <t>BALA NOBEL 83G SUPER LEMON</t>
  </si>
  <si>
    <t>BALA PATINHAS BUBBALOO 15G MORANGO</t>
  </si>
  <si>
    <t>BALA PATINHAS BUBBALOO 15G TUTI FRUTI</t>
  </si>
  <si>
    <t>BALA PATINHAS BUBBALOO 75G MORANGO</t>
  </si>
  <si>
    <t>BALA PATINHAS BUBBALOO 75G TUTI FRUTI</t>
  </si>
  <si>
    <t>BALA PATINHAS BUBBALOO 82,5G MOR AZEDINHA</t>
  </si>
  <si>
    <t>BALA POKEMON 120G PESSEGO</t>
  </si>
  <si>
    <t>BALA POKEMON 120G UVA</t>
  </si>
  <si>
    <t>BALA POKEMON 120G UVA VERDE</t>
  </si>
  <si>
    <t>BALA RABINHO BUBBALOO 82,5G CITRIC BLUEBERRY</t>
  </si>
  <si>
    <t>BALA SOURPATCH SORTIDO 80G KIDS</t>
  </si>
  <si>
    <t>BALA SOURPATCH SORTIDO 80G KIDS WATERMELON</t>
  </si>
  <si>
    <t>BALA SOURPATCH SORTIDO 80G PEACH</t>
  </si>
  <si>
    <t>BALA SOURPATCH SORTIDO 80G STRAWBERRY</t>
  </si>
  <si>
    <t>BALA SOURPATCH SORTIDO 80G TROPICAL</t>
  </si>
  <si>
    <t>BALA TIC TAC 14,5 G MENTA FRESH MENTA FRESH</t>
  </si>
  <si>
    <t>BALA TIC TAC 14,5G FRUTAS TE GUSTA</t>
  </si>
  <si>
    <t>BALA TIC TAC 14,5G LARANJA</t>
  </si>
  <si>
    <t>BALA TIC TAC 14,5G MENTA</t>
  </si>
  <si>
    <t>BALA TIC TAC 14,5G MORANGO</t>
  </si>
  <si>
    <t>BALA TIC TAC 14,9G CITRUS MIX</t>
  </si>
  <si>
    <t>BALA TIC TAC 49G LARANJA</t>
  </si>
  <si>
    <t>BALA TIC TAC 49G MENTA</t>
  </si>
  <si>
    <t>BALLA STICKS HARIBO 70G FRAMBOESA</t>
  </si>
  <si>
    <t>BALLA STICKS HARIBO 70G FRAMBOESA ACIDA</t>
  </si>
  <si>
    <t>BALLA STICKS HARIBO 70G MORANGO</t>
  </si>
  <si>
    <t>BALLA STICKS HARIBO 70G PINK LEMONADE</t>
  </si>
  <si>
    <t>BALLA STICKS HARIBO 70G ZOURR TUTTI</t>
  </si>
  <si>
    <t>BALLA STICKS HARIBO 80G ZOUR</t>
  </si>
  <si>
    <t>BAN CHA YAMAMOTOYAMAE 22,5G VERDE</t>
  </si>
  <si>
    <t>BANANA NATURAL BAN MANIA 200G DESID</t>
  </si>
  <si>
    <t>BANANA PASSA BAN MANIA 150G CHOC S/LACT</t>
  </si>
  <si>
    <t>BANANA PASSA BAN MANIA 27G AMEIXA</t>
  </si>
  <si>
    <t>BANANA PASSA BAN MANIA 27G C/UVA PASSA COB CHOC</t>
  </si>
  <si>
    <t>BANANA PASSA BAN MANIA 28G C/CH BRA LIGHT</t>
  </si>
  <si>
    <t>BANANA PASSA BAN MANIA 28G C/CHO BRANCO</t>
  </si>
  <si>
    <t>BANANA PASSA BAN MANIA 28G C/CHOC</t>
  </si>
  <si>
    <t>BANANA PASSA BAN MANIA 28G C/COB CHOCO LIGHT</t>
  </si>
  <si>
    <t>BANANA PASSA BAN MANIA 28G CAFE</t>
  </si>
  <si>
    <t>BANANA PASSA BAN MANIA 28G S/LACT C/CHOC</t>
  </si>
  <si>
    <t>BANANA PASSA BAN MANIA 84G C/CH BRA</t>
  </si>
  <si>
    <t>BANANA PASSA BAN MANIA 84G C/CHOC LIGHT</t>
  </si>
  <si>
    <t>BANANA PASSA BAN MANIA 84G CHOCO AO LEITE</t>
  </si>
  <si>
    <t>BANANADA CREM TESOURO REAL 400G ZERO</t>
  </si>
  <si>
    <t>BANANINHA PARAIBUNA 18G MIX CASTANHA</t>
  </si>
  <si>
    <t>BANANINHA PARAIBUNA 200G C/ACUCAR</t>
  </si>
  <si>
    <t>BANANINHA PARAIBUNA 200G S/ ACUCAR</t>
  </si>
  <si>
    <t>BANANINHA PARAIBUNA 20G MIX 100% CACAU</t>
  </si>
  <si>
    <t>BANANINHA PARAIBUNA 23G COB CHOC</t>
  </si>
  <si>
    <t>BANANINHA PARAIBUNA 23G S/ ACUCAR</t>
  </si>
  <si>
    <t>BANANINHA PARAIBUNA 36G C/ ACUCAR</t>
  </si>
  <si>
    <t>BANANINHA PARAIBUNA 70G CHOCOLATE</t>
  </si>
  <si>
    <t>BANANINHA PARAIBUNA 70G CREMOSA</t>
  </si>
  <si>
    <t>BANANINHA PARAIBUNA 70G MINI S/AC</t>
  </si>
  <si>
    <t>BANANINHA PARAIBUNA S/ACUCAR 200G NIBS CACAU</t>
  </si>
  <si>
    <t>BARRA ARROZ NATURAL FILE 11G S/G C/CHOC DARK</t>
  </si>
  <si>
    <t>BARRA CEREAL BIO2 PROTEIN 45G ACAI E BANANA</t>
  </si>
  <si>
    <t>BARRA CEREAL BIO2 PROTEIN 45G ALFARROBA</t>
  </si>
  <si>
    <t>BARRA CEREAL BIO2 PROTEIN 45G BAUN PAST AMEND</t>
  </si>
  <si>
    <t>BARRA CEREAL BIO2 PROTEIN 45G CACAU MACA PERU</t>
  </si>
  <si>
    <t>BARRA CEREAL BIO2 VEGAN CRUNCHY 28G CARAMELO CACAU</t>
  </si>
  <si>
    <t>BARRA CEREAL BIO2 VEGAN CRUNCHY 28G CENOURA E CACA</t>
  </si>
  <si>
    <t>BARRA FIBRAS VEG MAE TERRA 54G C/3 BANANA</t>
  </si>
  <si>
    <t>BARRA FIBRAS VEG MAE TERRA 54G C/3 CASTANHAS</t>
  </si>
  <si>
    <t>BARRA FIBRAS VEG MAE TERRA 54G C/3 FRUTAS VERM</t>
  </si>
  <si>
    <t>BARRA FRUTAS &amp;JOY 25G BANANA/CACAU</t>
  </si>
  <si>
    <t>BARRA FRUTAS &amp;JOY 25G MACA/CANELA</t>
  </si>
  <si>
    <t>BARRA MIXED NUTS &amp;JOY 2X 30G CRANBERRY</t>
  </si>
  <si>
    <t>BARRA MIXED NUTS &amp;JOY 2X30G CLASSICA</t>
  </si>
  <si>
    <t>BARRA MIXED NUTS &amp;JOY 2X30G COCO AMENDOA</t>
  </si>
  <si>
    <t>BARRA MIXED NUTS &amp;JOY 2X30G NOZES/CANELA</t>
  </si>
  <si>
    <t>BARRA MIXED NUTS &amp;JOY 2X30G SEMENTES</t>
  </si>
  <si>
    <t>BARRA MIXED NUTS &amp;JOY 30G COCO/AMENDOA</t>
  </si>
  <si>
    <t>BARRA MIXED NUTS &amp;JOY 30G CRANBERRY</t>
  </si>
  <si>
    <t>BARRA MIXED NUTS &amp;JOY 30G NOZ/CAN</t>
  </si>
  <si>
    <t>BARRA MIXED NUTS &amp;JOY 30G SEMENTES</t>
  </si>
  <si>
    <t>BARRA MIXED NUTS &amp;JOY 30G TRADICIONAL</t>
  </si>
  <si>
    <t>BARRA NUTS &amp;JOY 50G ZER AVE NIBS CACAU</t>
  </si>
  <si>
    <t>BARRA NUTS &amp;JOY 50G ZER BAN/DAM/NOZES</t>
  </si>
  <si>
    <t>BARRA NUTS BIO2 25G BANANA</t>
  </si>
  <si>
    <t>BARRA NUTS BIO2 25G CACAU</t>
  </si>
  <si>
    <t>BARRA NUTS BIO2 25G COCO</t>
  </si>
  <si>
    <t>BARRA NUTS BIO2 25G CRANBERRY</t>
  </si>
  <si>
    <t>BARRA NUTS BIO2 25G DAMASCO</t>
  </si>
  <si>
    <t>BARRA NUTS BIO2 25G MACA</t>
  </si>
  <si>
    <t>BARRA NUTS LINEA 60G BAN/AVEIA</t>
  </si>
  <si>
    <t>BARRA NUTS MAE TERRA FIT 25G BANANA</t>
  </si>
  <si>
    <t>BARRA NUTS MAE TERRA FIT 25G COCO</t>
  </si>
  <si>
    <t>BARRA NUTS PROTEIN &amp;JOY 35G BANANA/CANELA</t>
  </si>
  <si>
    <t>BARRA NUTS PROTEIN &amp;JOY 35G COCO/AMENDOA</t>
  </si>
  <si>
    <t>BARRA NUTS PROTEIN &amp;JOY 35G CRANBERRY/AMARA</t>
  </si>
  <si>
    <t>BARRA NUTS PROTEIN &amp;JOY 70G COCO/AMENDOA</t>
  </si>
  <si>
    <t>BARRA NUTS PROTEIN &amp;JOY 70G CRANBERRY/AMARA</t>
  </si>
  <si>
    <t>BARRA PROT LINEA MUITO SABOR 32G COOKIES'N CREAM</t>
  </si>
  <si>
    <t>BARRA PROT NUTRATA 45G CARAMEL</t>
  </si>
  <si>
    <t>BARRA PROT NUTRATA 45G DARK CARAMEL</t>
  </si>
  <si>
    <t>BARRA PROT NUTRATA PROTO WAFER 30G DOCE DE LEITE</t>
  </si>
  <si>
    <t>BARRA PROT NUTRATA PROTOBAR 70G DOCE DE LEITE</t>
  </si>
  <si>
    <t>BARRA PROT NUTRATA WHEY GREGO 40G DOC LTE/LIMAO</t>
  </si>
  <si>
    <t>BARRA PROT NUTRATA WHEY GREGO 40G DOC LTE/MORANGO</t>
  </si>
  <si>
    <t>BARRA PROT NUTRATA WHEY GREGO 40G DOCE DE LEITE</t>
  </si>
  <si>
    <t>BARRA PROT NUTRATA YOPRO 55G CHOCOLATE</t>
  </si>
  <si>
    <t>BARRA PROT NUTRATA YOPRO 55G MORANGO/CHO BCO</t>
  </si>
  <si>
    <t>BATATA LAYS 68G CHEESE</t>
  </si>
  <si>
    <t>BATATA LAYS 70G CLASSICA</t>
  </si>
  <si>
    <t>BATATA LAYS 70G SALT&amp;VINEGAR</t>
  </si>
  <si>
    <t>BATATA LAYS 70G SOUR CREAM</t>
  </si>
  <si>
    <t>BATATA PALHA ELMA CHIPS 100G</t>
  </si>
  <si>
    <t>BATATA PALHA ELMA CHIPS 215G</t>
  </si>
  <si>
    <t>BATATA PALHA ELMA CHIPS 300G</t>
  </si>
  <si>
    <t>BATATA PALHA ELMA CHIPS EXTRA FINA 90G</t>
  </si>
  <si>
    <t>BATATA PALHA YOKI 105G TRADICIONAL</t>
  </si>
  <si>
    <t>BATATA PALHA YOKI 195G TRADICIONAL</t>
  </si>
  <si>
    <t>BATATA PALHA YOKI EXTRAFINA 100G CEB/SALSA</t>
  </si>
  <si>
    <t>BATATA PALHA YOKI EXTRAFINA 100G PARMESAO</t>
  </si>
  <si>
    <t>BATATA PALHA YOKI EXTRAFINA 100G TRADICIONAL</t>
  </si>
  <si>
    <t>BATATA PALHA YOKI EXTRAFINA 190G TRADICIONAL</t>
  </si>
  <si>
    <t>BATATA PALHA YOKI L105G P90G TRAD</t>
  </si>
  <si>
    <t>BATATA RUSTICA LAYS 68G SAL MARINHO</t>
  </si>
  <si>
    <t>BATATA SCHAR CURVIES 170G BBQ</t>
  </si>
  <si>
    <t>BATATA SCHAR CURVIES 170G ORIGINAL</t>
  </si>
  <si>
    <t>BATATA VAPZA 500G COZ VAPOR</t>
  </si>
  <si>
    <t>BEB AMENDOA ALMOND BREEZE 1L CHOCOLATE</t>
  </si>
  <si>
    <t>BEB AMENDOA ALMOND BREEZE 1L ORIGINAL</t>
  </si>
  <si>
    <t>BEB AMENDOA NATURE'S HEART 1L TRAD</t>
  </si>
  <si>
    <t>BEB AVEIA A TAL DA CASTANHA 1L BARISTA</t>
  </si>
  <si>
    <t>BEB AVEIA A TAL DA CASTANHA 1L S/GLUTEN</t>
  </si>
  <si>
    <t>BEB AVEIA ADES 1L CHOCOLATE</t>
  </si>
  <si>
    <t>BEB AVEIA ADES 1L ORIGINAL</t>
  </si>
  <si>
    <t>BEB AVEIA FAZENDA FUTURO 1L CHOCOLATE</t>
  </si>
  <si>
    <t>BEB AVEIA FAZENDA FUTURO 1L ORIGINAL</t>
  </si>
  <si>
    <t>BEB AVEIA NATURE'S 1L BARISTA</t>
  </si>
  <si>
    <t>BEB AVEIA NATURE'S 1L TRADICIONAL</t>
  </si>
  <si>
    <t>BEB CAST A TAL DA CASTANHA 1L AMENDOA</t>
  </si>
  <si>
    <t>BEB CAST A TAL DA CASTANHA 1L BARISTA</t>
  </si>
  <si>
    <t>BEB CAST A TAL DA CASTANHA 1L CAJU+COCO</t>
  </si>
  <si>
    <t>BEB CAST A TAL DA CASTANHA 1L CAJU+PARA</t>
  </si>
  <si>
    <t>BEB CAST A TAL DA CASTANHA 1L CHOCONUTS</t>
  </si>
  <si>
    <t>BEB CAST A TAL DA CASTANHA 1L MIXED NUTS</t>
  </si>
  <si>
    <t>BEB CAST A TAL DA CASTANHA 1L ORIGINAL</t>
  </si>
  <si>
    <t>BEB CAST A TAL DA CASTANHA 1L ZERO CHOCONUTS</t>
  </si>
  <si>
    <t>BEB DE ARROZ NATURE'S 1L ARROZ COCO</t>
  </si>
  <si>
    <t>BEB DE ARROZ NATURE'S 1L ARROZ TRADICIONAL</t>
  </si>
  <si>
    <t>BEB DE ARROZ NATURE'S 1L ARROZ/CACAU</t>
  </si>
  <si>
    <t>BEB KOMBUCHA PURO VERDE 269ML GUARANA</t>
  </si>
  <si>
    <t>BEB KOMBUCHA PURO VERDE 269ML LEMON GINGER</t>
  </si>
  <si>
    <t>BEB KOMBUCHA PURO VERDE 269ML MATE C/GUARANA</t>
  </si>
  <si>
    <t>BEB KOMBUCHA PURO VERDE 350ML BLUEBERRY</t>
  </si>
  <si>
    <t>BEB KOMBUCHA PURO VERDE 350ML GENGIBRE</t>
  </si>
  <si>
    <t>BEB KOMBUCHA PURO VERDE 350ML HIBISCO/ABACAXI</t>
  </si>
  <si>
    <t>BEB KOMBUCHA PURO VERDE 350ML IMMUNITY</t>
  </si>
  <si>
    <t>BEB KOMBUCHA PURO VERDE 350ML MARACUJA</t>
  </si>
  <si>
    <t>BEB KOMBUCHA PURO VERDE 350ML UVA</t>
  </si>
  <si>
    <t>BEB LACTEA 3 CORACOES 260ML CAPPUCC CHOCOLATE</t>
  </si>
  <si>
    <t>BEB LACTEA 3 CORACOES 260ML CAPPUCC CLASSIC</t>
  </si>
  <si>
    <t>BEB LACTEA 3 CORACOES 260ML POWER WHEY</t>
  </si>
  <si>
    <t>BEB LACTEA 3 CORACOES WHEY 250ML CAP CHOCOLATE</t>
  </si>
  <si>
    <t>BEB LACTEA 3 CORACOES WHEY 250ML CAP CLASSICO</t>
  </si>
  <si>
    <t>BEB LACTEA 3 CORACOES WHEY 250ML CAP COOKIES'N</t>
  </si>
  <si>
    <t>BEB LACTEA 3 CORACOES WHEY 250ML CAP DOCE LEITE</t>
  </si>
  <si>
    <t>BEB LACTEA DANETTE 200ML</t>
  </si>
  <si>
    <t>BEB LACTEA FAST CHOC 280ML ALPINO</t>
  </si>
  <si>
    <t>BEB LACTEA FAST NESTON 280ML</t>
  </si>
  <si>
    <t>BEB LACTEA NESCAFE 270ML CHOCCOCINO</t>
  </si>
  <si>
    <t>BEB LACTEA NESCAFE 270ML LATTE</t>
  </si>
  <si>
    <t>BEB LACTEA NESCAU 180ML Z/LACT</t>
  </si>
  <si>
    <t>BEB LACTEA NESCAU 270ML</t>
  </si>
  <si>
    <t>BEB LACTEA NESCAU 270ML EXTRA CACAU</t>
  </si>
  <si>
    <t>BEB LACTEA NESCAU ACTIGEN 180ML</t>
  </si>
  <si>
    <t>BEB LACTEA NESCAU ACTIGEN 1L</t>
  </si>
  <si>
    <t>BEB LACTEA NESQUIK 180ML MORANGO</t>
  </si>
  <si>
    <t>BEB LACTEA PIRACANJUBA WHEY PRO 15G 250ML CHOCOLAT</t>
  </si>
  <si>
    <t>BEB LACTEA PIRACANJUBA WHEY PRO 15G 250ML COCO</t>
  </si>
  <si>
    <t>BEB LACTEA PIRACANJUBA WHEY PRO 15G 250ML MORANGO</t>
  </si>
  <si>
    <t>BEB LACTEA PIRACANJUBA WHEY PRO 23G 250ML AMENDOIM</t>
  </si>
  <si>
    <t>BEB LACTEA PIRACANJUBA WHEY PRO 23G 250ML BANANA</t>
  </si>
  <si>
    <t>BEB LACTEA PIRACANJUBA WHEY PRO 23G 250ML BAUNILHA</t>
  </si>
  <si>
    <t>BEB LACTEA PIRACANJUBA WHEY PRO 23G 250ML CACAU</t>
  </si>
  <si>
    <t>BEB LACTEA PIRACANJUBA WHEY PRO 23G 250ML FRUT VER</t>
  </si>
  <si>
    <t>BEB LACTEA STARBUCKS 280ML CAFE MOCHA</t>
  </si>
  <si>
    <t>BEB LACTEA STARBUCKS 280ML FRAPPUCC CAFE CLASSICO</t>
  </si>
  <si>
    <t>BEB LACTEA STARBUCKS 280ML FRAPPUCC CARAMELO</t>
  </si>
  <si>
    <t>BEB LACTEA TODDYNHO 200ML LEVINHO</t>
  </si>
  <si>
    <t>BEB LACTEA TODDYNHO 200ML TRADICIONAL</t>
  </si>
  <si>
    <t>BEB LACTEA YODEL 210G MORANGO</t>
  </si>
  <si>
    <t>BEB LACTEA YODEL 210G UVA VERDE</t>
  </si>
  <si>
    <t>BEB LACTEA YOPRO 250G PROT 15G BANANA</t>
  </si>
  <si>
    <t>BEB LACTEA YOPRO 250G PROT 15G BAUNILHA</t>
  </si>
  <si>
    <t>BEB LACTEA YOPRO 250G PROT 15G COC/BAT DOCE</t>
  </si>
  <si>
    <t>BEB LACTEA YOPRO 250G PROT 15G DOCE DE LEITE</t>
  </si>
  <si>
    <t>BEB LACTEA YOPRO 250G PROT 15G MORANGO</t>
  </si>
  <si>
    <t>BEB LACTEA YOPRO 250ML PROT 15G CHO</t>
  </si>
  <si>
    <t>BEB LACTEA YOPRO 250ML PROT 25G BAUNILHA</t>
  </si>
  <si>
    <t>BEB LACTEA YOPRO 250ML PROT 25G CHO</t>
  </si>
  <si>
    <t>BEB LACTEA YOPRO BOOST 250ML PROT 15G CAFE EXP</t>
  </si>
  <si>
    <t>BEB LACTEA YOPRO BOOST 250ML PROT 15G CAPPUCCINO</t>
  </si>
  <si>
    <t>BEB MIST SCHWEPPES GIN TONICA 250ML</t>
  </si>
  <si>
    <t>BEB MIST SCHWEPPES SPRITZ 250ML</t>
  </si>
  <si>
    <t>BEB MIST SCHWEPPES VODKA CITRUS 250ML</t>
  </si>
  <si>
    <t>BEB MISTA ABSOLUT VODKA SPRITE 269ML</t>
  </si>
  <si>
    <t>BEB MISTA CABARE ICE 275ML FRUT VERMELHAS</t>
  </si>
  <si>
    <t>BEB MISTA CABARE ICE 275ML FRUTAS AMARELAS</t>
  </si>
  <si>
    <t>BEB MISTA CABARE ICE 275ML LIMAO</t>
  </si>
  <si>
    <t>BEB MISTA FEST DRINK 269ML GIN TONICA</t>
  </si>
  <si>
    <t>BEB MISTA FEST DRINK 269ML INTENSE CITRUS</t>
  </si>
  <si>
    <t>BEB MISTA JACK COLA LT 350ML</t>
  </si>
  <si>
    <t>BEB MISTA KEEP COOLER CLASSIC 275ML ACAI/HIBISCO</t>
  </si>
  <si>
    <t>BEB MISTA KEEP COOLER CLASSIC 275ML MORANGO</t>
  </si>
  <si>
    <t>BEB MISTA KEEP COOLER CLASSIC 275ML PESSEGO</t>
  </si>
  <si>
    <t>BEB MISTA KEEP COOLER CLASSIC 275ML TANGERINA</t>
  </si>
  <si>
    <t>BEB MISTA KEEP COOLER CLASSIC 275ML UVA</t>
  </si>
  <si>
    <t>BEB MISTA MIKES HARD 275ML LN LEMONADE</t>
  </si>
  <si>
    <t>BEB MISTA SCHWEPPES 269ML LT VODKA &amp; CITRUS</t>
  </si>
  <si>
    <t>BEB MISTA SKOL BEATS 269ML LN TROP</t>
  </si>
  <si>
    <t>BEB MISTA SKOL BEATS 269ML RED LT</t>
  </si>
  <si>
    <t>BEB MISTA SKOL BEATS 269ML TROPICAL</t>
  </si>
  <si>
    <t>BEB MISTA SKOL BEATS CAIPIRINHA LT 269ML</t>
  </si>
  <si>
    <t>BEB MISTA SKOL BEATS GT 269ML LN</t>
  </si>
  <si>
    <t>BEB MISTA SKOL BEATS GT 269ML LT</t>
  </si>
  <si>
    <t>BEB MISTA SMIRNOFF ICE 269ML GREEN APPLE</t>
  </si>
  <si>
    <t>BEB MISTA SMIRNOFF ICE 269ML TROPIC</t>
  </si>
  <si>
    <t>BEB PO NESQUIK 200G MORANGO</t>
  </si>
  <si>
    <t>BEB PO NESQUIK 380G MORANGO</t>
  </si>
  <si>
    <t>BEB PO NESTON 210G SACHE MAMAO/BAN/MACA</t>
  </si>
  <si>
    <t>BEB PO NESTON 400G MAMAO/BAN/MACA</t>
  </si>
  <si>
    <t>BEB PO NUTREN KIDS 350G BAUNILHA</t>
  </si>
  <si>
    <t>BEB PO NUTREN KIDS 350G CHOCOLATE</t>
  </si>
  <si>
    <t>BEBIDA LACTEA NESCAFE 270ML CAPPUCCINO</t>
  </si>
  <si>
    <t>BEBIDA LACTEA NESCAFE 270ML SMOOVLATT</t>
  </si>
  <si>
    <t>BENI SHOGA CORTADO 250G</t>
  </si>
  <si>
    <t>BERINJELA CHTOURA GARDEN 600G C/NOZES</t>
  </si>
  <si>
    <t>BICARBONATO DE SODIO ESP E SAB 50G</t>
  </si>
  <si>
    <t>BICARBONATO KITANO 80G</t>
  </si>
  <si>
    <t>BIFE VEGETAL SUPERBOM 300G LT</t>
  </si>
  <si>
    <t>BISC ADRIA FOLHATA 170G MANT</t>
  </si>
  <si>
    <t>BISC ALE BAHLSEN WAFFELETTEN 100G DARK</t>
  </si>
  <si>
    <t>BISC AMANT BAUDUCCO 375G BAN/CANELA</t>
  </si>
  <si>
    <t>BISC AMANTEIGADO BAUDUCCO 335G CHOCOLATE</t>
  </si>
  <si>
    <t>BISC AMANTEIGADO BAUDUCCO 335G GOTAS/CHOC</t>
  </si>
  <si>
    <t>BISC AMANTEIGADO BAUDUCCO 335G LEITE</t>
  </si>
  <si>
    <t>BISC ARROZ CARAMELIZADO OKOSHI 200G</t>
  </si>
  <si>
    <t>BISC ARROZ CARAMELIZADO OKOSHI 200G INTEGRAL</t>
  </si>
  <si>
    <t>BISC ARROZ FIT FOOD 60G CHOCO AO LEITE</t>
  </si>
  <si>
    <t>BISC ARROZ FIT FOOD 60G CHOCO MEIO AMARGO</t>
  </si>
  <si>
    <t xml:space="preserve">BISC ARROZ INT CAMIL 150G </t>
  </si>
  <si>
    <t>BISC ARROZ INT CAMIL 150G CHIA/LINH</t>
  </si>
  <si>
    <t>BISC ARROZ INT CAMIL 150G PIMENTA</t>
  </si>
  <si>
    <t>BISC ARROZ INT CAMIL 90G</t>
  </si>
  <si>
    <t>BISC ARROZ INT CAMIL 90G CHIA/LINH</t>
  </si>
  <si>
    <t>BISC ARROZ INT NATURAL LIFE 80G S/G</t>
  </si>
  <si>
    <t>BISC ARROZ INT NATURAL LIFE 80G S/G 7 GRAOS</t>
  </si>
  <si>
    <t>BISC ARROZ INT OKASHY 100G CARAMELIZADO</t>
  </si>
  <si>
    <t>BISC ARROZ JASMINE 90G S/GLUTEN MULTIGRAOS</t>
  </si>
  <si>
    <t>BISC ARROZ JASMINE 90G S/GLUTEN TRADICIONAL</t>
  </si>
  <si>
    <t>BISC ARROZ NATURAL LIFE 140G S/G MEL C/CHOCO</t>
  </si>
  <si>
    <t>BISC ARROZ NATURAL LIFE 40G S/G RECH PAST AMEND</t>
  </si>
  <si>
    <t>BISC ARROZ OKASHY 100G CARAMELIZADO</t>
  </si>
  <si>
    <t>BISC BAUDUCCO 140G CHOC C/BAUNILHA</t>
  </si>
  <si>
    <t>BISC BAUDUCCO 141G CEREALE MACA/UVA PASSA</t>
  </si>
  <si>
    <t>BISC BAUDUCCO 147G CEREALE LAR/DAM</t>
  </si>
  <si>
    <t>BISC BAUDUCCO 170G CEREALE CACAU</t>
  </si>
  <si>
    <t>BISC BAUDUCCO 170G CEREALE CASTANHA</t>
  </si>
  <si>
    <t>BISC BAUDUCCO 354G BANANA C/CANELA</t>
  </si>
  <si>
    <t>BISC BAUDUCCO CHAMP 150G ACUC CRIS</t>
  </si>
  <si>
    <t>BISC BAUDUCCO CREAM CRACKER 200G</t>
  </si>
  <si>
    <t>BISC BAUDUCCO CREAM CRACKER INT 200G</t>
  </si>
  <si>
    <t>BISC BAUDUCCO GULOSOS 140G CHOCOLATE</t>
  </si>
  <si>
    <t>BISC BAUDUCCO GULOSOS 140G DUP CHOC</t>
  </si>
  <si>
    <t>BISC BAUDUCCO GULOSOS 140G MORANGO</t>
  </si>
  <si>
    <t>BISC BAUDUCCO MAIZENA 170G</t>
  </si>
  <si>
    <t>BISC BAUDUCCO RECH 104G BRIGAD</t>
  </si>
  <si>
    <t>BISC BAUDUCCO RECH 104G CHOCOLATE</t>
  </si>
  <si>
    <t>BISC BAUDUCCO RECH 112G GOIABA</t>
  </si>
  <si>
    <t>BISC BAUDUCCO SPECULOOS 84G CARAMELIZADO</t>
  </si>
  <si>
    <t>BISC BELFAR 84G AMANTEIGADO</t>
  </si>
  <si>
    <t>BISC BELFAR 84G MACA C/CANELA</t>
  </si>
  <si>
    <t>BISC BELFAR AMANTEIGADO 28G DP</t>
  </si>
  <si>
    <t>BISC BELVITA 25G MEL/CACAU</t>
  </si>
  <si>
    <t>BISC BELVITA 75G MEL/CACAU</t>
  </si>
  <si>
    <t>BISC BONNE MAMAN 90G GALETTES</t>
  </si>
  <si>
    <t>BISC BONO 109G CHOCOLATE</t>
  </si>
  <si>
    <t>BISC BONO 109G TORTA LIMAO C/CHOCO BRANCO</t>
  </si>
  <si>
    <t>BISC BONO 90G CHOCOLATE</t>
  </si>
  <si>
    <t>BISC BONO 90G COCO</t>
  </si>
  <si>
    <t>BISC BONO 90G DOCE DE LEITE</t>
  </si>
  <si>
    <t>BISC BONO 90G LIMAO</t>
  </si>
  <si>
    <t>BISC BONO 90G MORANGO</t>
  </si>
  <si>
    <t>BISC BONO FININHO 57G CHOCOLATE</t>
  </si>
  <si>
    <t>BISC BONO FININHO 57G LIMAO SICILIANO</t>
  </si>
  <si>
    <t>BISC CALIPSO 130G CHOCO BRANCO</t>
  </si>
  <si>
    <t>BISC CALIPSO 130G CHOCOLATE</t>
  </si>
  <si>
    <t>BISC CHOC BAUDUCCO BIG COOKIE 30G</t>
  </si>
  <si>
    <t>BISC CHOC COOKIES MAE TERRA 80G CAST BRASILEIRA</t>
  </si>
  <si>
    <t>BISC CHOCO COOKIE GAROTO 100G AO LEITE</t>
  </si>
  <si>
    <t>BISC CHOCO COOKIE GAROTO 100G SERENATA AMOR</t>
  </si>
  <si>
    <t>BISC CHOCO MAE TERRA 58G MAIZENA</t>
  </si>
  <si>
    <t>BISC CHOCOLICIA 132G CHOCOLATE</t>
  </si>
  <si>
    <t>BISC CLASSIC 140G CHOCOLATE</t>
  </si>
  <si>
    <t>BISC CLUB SOCIAL 141G BACON/PROVOLONE</t>
  </si>
  <si>
    <t>BISC CLUB SOCIAL 141G CEB/SOUR CREAM</t>
  </si>
  <si>
    <t>BISC CLUB SOCIAL 141G PIZZA</t>
  </si>
  <si>
    <t>BISC CLUB SOCIAL 141G PRESUNTO</t>
  </si>
  <si>
    <t>BISC CLUB SOCIAL 141G QUEIJO</t>
  </si>
  <si>
    <t>BISC CLUB SOCIAL 144G INT TRAD</t>
  </si>
  <si>
    <t>BISC CLUB SOCIAL 144G ORIGINAL</t>
  </si>
  <si>
    <t>BISC CLUB SOCIAL 288G INT TRAD</t>
  </si>
  <si>
    <t>BISC CLUB SOCIAL 288G ORIGINAL</t>
  </si>
  <si>
    <t>BISC COOKIE ALPINO 60G GOTAS CHOCO</t>
  </si>
  <si>
    <t>BISC COOKIE BAUDUCCO 100G CHOC</t>
  </si>
  <si>
    <t>BISC COOKIE BAUDUCCO 100G ORIGINAL</t>
  </si>
  <si>
    <t>BISC COOKIE BAUDUCCO 60G CHOCOLATE</t>
  </si>
  <si>
    <t>BISC COOKIE BAUDUCCO 60G TRADICIONAL</t>
  </si>
  <si>
    <t>BISC COOKIE BAUDUCCO FINI 96G DENTADURAS</t>
  </si>
  <si>
    <t>BISC COOKIE BAUDUCCO FINI 96G TUBES FRAMB</t>
  </si>
  <si>
    <t>BISC COOKIE BAUDUCCO MAXI 96G CARAMEL SALGADO</t>
  </si>
  <si>
    <t>BISC COOKIE BAUDUCCO MAXI 96G CHOC COBERT CHOC BCO</t>
  </si>
  <si>
    <t>BISC COOKIE BAUDUCCO MAXI 96G CHOCOLATE</t>
  </si>
  <si>
    <t>BISC COOKIE GALAK 60G GOTA CHOC</t>
  </si>
  <si>
    <t>BISC COOKIE GAROTO 60G CARIBE</t>
  </si>
  <si>
    <t>BISC COOKIE GAROTO 60G CROCANTE</t>
  </si>
  <si>
    <t>BISC COOKIE INT BAUDUCCO 80G AVEIA/PASSAS</t>
  </si>
  <si>
    <t>BISC COOKIE JASMINE S/GLUTEN 120G FR SILVESTRE</t>
  </si>
  <si>
    <t>BISC COOKIE JASMINE S/GLUTEN 120G LAR/MEL</t>
  </si>
  <si>
    <t>BISC COOKIE LACTA 80G AO LEITE</t>
  </si>
  <si>
    <t>BISC COOKIE LACTA 80G LAKA</t>
  </si>
  <si>
    <t>BISC COOKIE MAE TERRA 120G CAST PARA</t>
  </si>
  <si>
    <t>BISC COOKIE MAE TERRA 120G COCO</t>
  </si>
  <si>
    <t>BISC COOKIE NEGRESCO 60G GOTAS BAUNILHA</t>
  </si>
  <si>
    <t>BISC COOKIE NESCAU 60G GOTAS DUO</t>
  </si>
  <si>
    <t>BISC COOKIE NESFIT 60G GOTAS CHOCO CACAU/AVELA</t>
  </si>
  <si>
    <t>BISC COOKIE NESTLE 120G BROWNIE</t>
  </si>
  <si>
    <t>BISC COOKIE NESTLE 120G CHOCOLATE</t>
  </si>
  <si>
    <t>BISC COOKIE NESTLE 120G CREME DE AVELA</t>
  </si>
  <si>
    <t>BISC COOKIE NESTLE 120G DUPLO CHOCOLATE</t>
  </si>
  <si>
    <t>BISC COOKIE PARATI 60G CHOC</t>
  </si>
  <si>
    <t>BISC COOKIE PRESTIGIO 60G GOTA CHOC</t>
  </si>
  <si>
    <t>BISC COOKIES CLASSIC 60G BAUN/ GOTA CHOC</t>
  </si>
  <si>
    <t>BISC COOKIES DIET JASMINE 120G AMEIXA/COCO</t>
  </si>
  <si>
    <t>BISC COOKIES DIET JASMINE 120G AMEND/CAST</t>
  </si>
  <si>
    <t>BISC COOKIES DIET JASMINE 120G CAPPUCCIN/AVELA</t>
  </si>
  <si>
    <t>BISC COOKIES DIET JASMINE 120G DAMASCO/CHOC</t>
  </si>
  <si>
    <t>BISC COOKIES INTEGRAL JASMINE 120G CASTANHA PARA</t>
  </si>
  <si>
    <t>BISC COOKIES INTEGRAL JASMINE 120G CHOC C/GOTAS</t>
  </si>
  <si>
    <t>BISC COOKIES INTEGRAL JASMINE 120G LARANJA</t>
  </si>
  <si>
    <t>BISC COOKIES NATURAL LIFE 180G S/G BAUN C/GOTAS</t>
  </si>
  <si>
    <t>BISC COOKIES PASSATEMPO 60G GOTAS CHOCOLATE</t>
  </si>
  <si>
    <t>BISC COOKIES SCHAR 100G CHOCO CHIP</t>
  </si>
  <si>
    <t>BISC COOKIES SEMBEI 260G AMEND</t>
  </si>
  <si>
    <t>BISC COOKIES SEMBEI 260G AO LEITE</t>
  </si>
  <si>
    <t>BISC COOKIES SEMBEI 260G AVE/BA/MEL</t>
  </si>
  <si>
    <t>BISC COOKIES SEMBEI 260G GERGELIM</t>
  </si>
  <si>
    <t>BISC COOKIES SEMBEI 50G S/ACUCAR AO LEITE</t>
  </si>
  <si>
    <t>BISC COOKIES SEMBEI 50G S/ACUCAR GERGELIM</t>
  </si>
  <si>
    <t>BISC CRACKER DUX 110G SALTED</t>
  </si>
  <si>
    <t>BISC CRACKER DUX 120G GOLDEN</t>
  </si>
  <si>
    <t>BISC CRACKER DUX 276G INTEGRAL</t>
  </si>
  <si>
    <t>BISC CRACKER DUX 300G SODAS</t>
  </si>
  <si>
    <t>BISC CRACKER DUX 69G GOLDEN BITES</t>
  </si>
  <si>
    <t>BISC CRACKER PARATI 370G</t>
  </si>
  <si>
    <t>BISC CRACKER VEG MAE TERRA 130G MULTIGRAOS</t>
  </si>
  <si>
    <t>BISC CREAM CRACKER BAUDUCCO 165G INTEGRAL</t>
  </si>
  <si>
    <t>BISC CREAM CRACKER BAUDUCCO 165G TRADICIONAL</t>
  </si>
  <si>
    <t>BISC CREAM CRACKER CROCKS VITARELLA 350G QUEIJO</t>
  </si>
  <si>
    <t>BISC CREAM CRACKER CROCKS VITARELLA 350G TRAD</t>
  </si>
  <si>
    <t>BISC CREAM CRACKER SCHAR 210G S/LACT TRAD</t>
  </si>
  <si>
    <t>BISC CREAM CRACKER VIEIRA 200G TRADICIONAL</t>
  </si>
  <si>
    <t>BISC CREAM CRACKER VITARELLA 350G</t>
  </si>
  <si>
    <t>BISC CREAM CRACKER VITARELLA AMANTE 350G</t>
  </si>
  <si>
    <t>BISC CREAM CRAKER BELFAR 104G GERGELIM</t>
  </si>
  <si>
    <t>BISC CREAM CRAKER BELFAR 104G ORIGINAL</t>
  </si>
  <si>
    <t>BISC CROSTINI LA PASTINA 200G SAL MARINHO/ALECRIM</t>
  </si>
  <si>
    <t>BISC CROSTINI LA PASTINA 200G TRAD</t>
  </si>
  <si>
    <t>BISC DUX 150G BAUNILHA</t>
  </si>
  <si>
    <t>BISC ENROLADINHO NATURAL LIFE 65G S/G GOIABADA</t>
  </si>
  <si>
    <t>BISC EQUILIBRI PANETINI 40G QUEIJO SUAVE</t>
  </si>
  <si>
    <t>BISC GALLETAS CRAC DUX 300G SALTED</t>
  </si>
  <si>
    <t>BISC GALLETAS CRACKERS DUX 294G GOLDEN</t>
  </si>
  <si>
    <t>BISC GOPLANA CRUNCHY 140G CARAMEL/NUTS</t>
  </si>
  <si>
    <t>BISC GULLON 130G CHIP CHOC S/GLUTEN</t>
  </si>
  <si>
    <t>BISC GULLON COCKIES CACAU S/GLUTEN 200G</t>
  </si>
  <si>
    <t>BISC GULLON MARIA INT S/GLUTEN 400G</t>
  </si>
  <si>
    <t>BISC HOJALMAR 145G LARGUITA</t>
  </si>
  <si>
    <t>BISC HOJALMAR 145G PALMIER</t>
  </si>
  <si>
    <t>BISC HOJALMAR 145G TRIANGULO</t>
  </si>
  <si>
    <t>BISC JASMINE SOU SWEET 75G CACAU /CEREAIS</t>
  </si>
  <si>
    <t>BISC JASMINE SOU SWEET 75G INT BANANA/AVEIA</t>
  </si>
  <si>
    <t>BISC JASMINE SOU SWEET 75G INT GRANOLA/MEL</t>
  </si>
  <si>
    <t>BISC LINEA INTEGRAL 100G BANANA/CANELA</t>
  </si>
  <si>
    <t>BISC LINEA INTEGRAL 100G LARANJA/CENOURA</t>
  </si>
  <si>
    <t>BISC LOTTE KOALA 37G CHOCOLATE</t>
  </si>
  <si>
    <t>BISC LOTTE KOALA 37G MORANGO</t>
  </si>
  <si>
    <t>BISC MACARRON 80G CREME</t>
  </si>
  <si>
    <t>BISC MACARRON 80G MATCHA</t>
  </si>
  <si>
    <t>BISC MACARRON 80G MORANGO</t>
  </si>
  <si>
    <t>BISC MAISENA LOWCUCAR 115G</t>
  </si>
  <si>
    <t>BISC MAIZENA VEG NATURAL LIFE 112G S/GLUTEN</t>
  </si>
  <si>
    <t>BISC MAIZENA VITARELLA 350G</t>
  </si>
  <si>
    <t>BISC MAIZENA VITARELLA 350G BAUN</t>
  </si>
  <si>
    <t>BISC MAIZENA VITARELLA 350G LEITE</t>
  </si>
  <si>
    <t>BISC MARIA SCHAR 125G TRAD</t>
  </si>
  <si>
    <t>BISC MARIA VITARELLA 350G LEITE</t>
  </si>
  <si>
    <t>BISC MARIA VITARELLA 350G TRAD</t>
  </si>
  <si>
    <t>BISC MARILAN 350G COCO</t>
  </si>
  <si>
    <t>BISC MARILAN 80G BAUNY C/MORANGO</t>
  </si>
  <si>
    <t>BISC MARILAN 80G CHOCOLATE C/BAUNY</t>
  </si>
  <si>
    <t>BISC MARILAN AGUA/SAL 350G</t>
  </si>
  <si>
    <t>BISC MARILAN AMANTEIGADO 280G CHOCO</t>
  </si>
  <si>
    <t>BISC MARILAN AMANTEIGADO 280G COCO</t>
  </si>
  <si>
    <t>BISC MARILAN AMANTEIGADO 280G NATA</t>
  </si>
  <si>
    <t>BISC MARILAN CREAM CRACKER 350G</t>
  </si>
  <si>
    <t>BISC MARILAN CREAM CRACKER 365G INT</t>
  </si>
  <si>
    <t>BISC MARILAN LEITE 350G</t>
  </si>
  <si>
    <t>BISC MARILAN MAIZENA 350G</t>
  </si>
  <si>
    <t>BISC MARILAN MANTEIGA 350G</t>
  </si>
  <si>
    <t>BISC MARILAN MARIA 350G</t>
  </si>
  <si>
    <t>BISC MARILAN PAW PATROL 80G CHOCOLATE</t>
  </si>
  <si>
    <t>BISC MARILAN PAW PATROL 80G MORANGO</t>
  </si>
  <si>
    <t>BISC MARILAN PIT STOP 98G RECH CHOCOLATE</t>
  </si>
  <si>
    <t>BISC MARILAN PIT STOP 98G RECH TRUFADO</t>
  </si>
  <si>
    <t>BISC MARILAN TEENS 80G CHOC BCO</t>
  </si>
  <si>
    <t>BISC MARILAN TEENS 80G CHOCOLATE</t>
  </si>
  <si>
    <t>BISC MEIJI TSUKEBO 48G C/CREME CHOC</t>
  </si>
  <si>
    <t>BISC MEIJI YAN YAN 50G C/CREME CHOC</t>
  </si>
  <si>
    <t>BISC MILKA 112G LILA STICKS</t>
  </si>
  <si>
    <t>BISC MILKA 120G CHOCO MOO</t>
  </si>
  <si>
    <t>BISC MILKA 260G CHOCO CREME</t>
  </si>
  <si>
    <t>BISC MOCA 140G LEITE CONDENSADO</t>
  </si>
  <si>
    <t>BISC MUCILON 35G PIPOQUINHA</t>
  </si>
  <si>
    <t>BISC MUCILON LANCHINHO 35G BANANA C/LARANJA</t>
  </si>
  <si>
    <t>BISC MUCILON LANCHINHO 35G BANANA C/MORANGO</t>
  </si>
  <si>
    <t>BISC MUCILON LANCHINHO 35G MILHO</t>
  </si>
  <si>
    <t>BISC MUCILON LANCHINHO 35G TOMATE</t>
  </si>
  <si>
    <t>BISC NEGRESCO 103G BAUNILHA C/CHOCO BRANCO</t>
  </si>
  <si>
    <t>BISC NEGRESCO 120G AO LEITE</t>
  </si>
  <si>
    <t>BISC NEGRESCO 90G BAUNILHA</t>
  </si>
  <si>
    <t>BISC NEGRESCO 90G CHOCOLATE</t>
  </si>
  <si>
    <t>BISC NEGRESCO 90G LIMAO SICILIANO</t>
  </si>
  <si>
    <t>BISC NEGRESCO 90G MORANGO</t>
  </si>
  <si>
    <t>BISC NEGRESCO FININHO 57G BAUNILHA</t>
  </si>
  <si>
    <t>BISC NEGRESCO FININHO 57G PASTA AMENDOIM</t>
  </si>
  <si>
    <t>BISC NESCAU 140G</t>
  </si>
  <si>
    <t>BISC NESFIT 140G DELICE CACAU/AVELA</t>
  </si>
  <si>
    <t>BISC NESFIT 140G DELICE MACA/CANELA</t>
  </si>
  <si>
    <t>BISC NESFIT 160G BAN/AVEIA/CANELA</t>
  </si>
  <si>
    <t>BISC NESFIT 160G CACAU/CEREAIS</t>
  </si>
  <si>
    <t>BISC NESFIT 160G CEREAIS/MORANGO</t>
  </si>
  <si>
    <t>BISC NESFIT 160G COCO</t>
  </si>
  <si>
    <t>BISC NESFIT 160G LARANJA/CENOURA</t>
  </si>
  <si>
    <t>BISC NESFIT 160G LIMAO/CEREAIS</t>
  </si>
  <si>
    <t>BISC OREO 270G LV+ PG- BAUNILHA</t>
  </si>
  <si>
    <t>BISC OREO 270G LV+ PG- CHOCOLATE</t>
  </si>
  <si>
    <t>BISC OREO 36G CHOCOLATE</t>
  </si>
  <si>
    <t>BISC OREO 90G CHOCOLATE</t>
  </si>
  <si>
    <t>BISC OREO 90G MILK SHAKE MOR</t>
  </si>
  <si>
    <t>BISC OREO 90G ORIGINAL</t>
  </si>
  <si>
    <t>BISC OREO MINI 35G BAUNILHA</t>
  </si>
  <si>
    <t>BISC OREO RECH BLUBERRY 97G SORTIS</t>
  </si>
  <si>
    <t>BISC ORG MAE TERRA 130G CACAU</t>
  </si>
  <si>
    <t>BISC ORG MAE TERRA 130G COCO</t>
  </si>
  <si>
    <t>BISC ORG ZOORETA 110G CACAU</t>
  </si>
  <si>
    <t>BISC ORG ZOORETA 110G MAIZENA</t>
  </si>
  <si>
    <t>BISC ORG ZOORETA 110G MORANGO</t>
  </si>
  <si>
    <t>BISC ORG ZOORETA 80G CACAU</t>
  </si>
  <si>
    <t>BISC ORG ZOORETA 80G MAIZENA</t>
  </si>
  <si>
    <t>BISC PALITO POCKY 41G MORANGO</t>
  </si>
  <si>
    <t>BISC PALITO POCKY 44G THIN</t>
  </si>
  <si>
    <t>BISC PALITO POCKY 46G CHOCOLATE</t>
  </si>
  <si>
    <t>BISC PANCO DELICIOSO SALGADINH 500G</t>
  </si>
  <si>
    <t>BISC PANCO PAO DE MEL 500G</t>
  </si>
  <si>
    <t>BISC PANCO TICA ROSQUINHA COCO 500G</t>
  </si>
  <si>
    <t>BISC PANCO TICA SORTIDOS 500G</t>
  </si>
  <si>
    <t>BISC PARATI 370G LEITE</t>
  </si>
  <si>
    <t>BISC PARATI 370G MAIZENA</t>
  </si>
  <si>
    <t>BISC PARATI 370G MARIA</t>
  </si>
  <si>
    <t>BISC PASSATEMPO 130G CHOCO MIX CHOC</t>
  </si>
  <si>
    <t>BISC PASSATEMPO 130G CHOCO MIX MORANGO</t>
  </si>
  <si>
    <t>BISC PASSATEMPO 130G CHOCOLATE</t>
  </si>
  <si>
    <t>BISC PASSATEMPO 130G LEITE</t>
  </si>
  <si>
    <t>BISC PASSATEMPO 130G MORANGO</t>
  </si>
  <si>
    <t>BISC PASSATEMPO 150G CHOCOMIX</t>
  </si>
  <si>
    <t>BISC PASSATEMPO 150G LEITE</t>
  </si>
  <si>
    <t>BISC PASSATEMPO 150G LEITE MALTADO</t>
  </si>
  <si>
    <t>BISC PASSATEMPO 170G MAIZENA</t>
  </si>
  <si>
    <t>BISC PETIT SCHAR 165G CLASSICO CLASSICO</t>
  </si>
  <si>
    <t>BISC PIRAQUE 132G LEITE MALT COCO</t>
  </si>
  <si>
    <t>BISC PIRAQUE 132G LEITE MALT LIGHT</t>
  </si>
  <si>
    <t>BISC PIRAQUE 132G LEITE MALTADO</t>
  </si>
  <si>
    <t>BISC PIRAQUE 175G MAIZENA</t>
  </si>
  <si>
    <t>BISC PIRAQUE 184G AGUA E SAL</t>
  </si>
  <si>
    <t>BISC PIRAQUE 184G CREAM CRAC</t>
  </si>
  <si>
    <t>BISC PIRAQUE 215G AGUA E GERGELIM</t>
  </si>
  <si>
    <t>BISC PIRAQUE 215G CREAM CRAC INT</t>
  </si>
  <si>
    <t>BISC PIRAQUE 80G LEITE MALTADO COBERTURA CHOCO</t>
  </si>
  <si>
    <t>BISC PIRAQUE 85G LEITE MALT CHOC C/AVELA</t>
  </si>
  <si>
    <t>BISC PIRAQUE 85G LEITE MALT CHOC MALTADO</t>
  </si>
  <si>
    <t>BISC PIRAQUE 85G LEITE MALT DOCE DE LEITE</t>
  </si>
  <si>
    <t>BISC PIRAQUE RECH 76G CHOCOLATE</t>
  </si>
  <si>
    <t>BISC PIRAQUE RECH 76G LIMAO</t>
  </si>
  <si>
    <t>BISC PIRAQUE RECH 76G MORANGO</t>
  </si>
  <si>
    <t>BISC POLVILHO CASSINI 100G DOCE</t>
  </si>
  <si>
    <t>BISC POLVILHO CASSINI 100G QUEIJO</t>
  </si>
  <si>
    <t>BISC POLVILHO CASSINI 100G SALGADO</t>
  </si>
  <si>
    <t>BISC POLVILHO CASSINI 200G ARGOLA</t>
  </si>
  <si>
    <t>BISC POLVILHO CASSINI 200G SALGADO</t>
  </si>
  <si>
    <t>BISC POLVILHO NATURAL LIFE 90G CEBOLA/SALSA</t>
  </si>
  <si>
    <t>BISC POLVILHO NATURAL LIFE 90G LEMON PEPPER</t>
  </si>
  <si>
    <t>BISC POLVILHO NATURAL LIFE 90G TRADICIONAL</t>
  </si>
  <si>
    <t>BISC POLVILHO SHIRAYUKI 90G</t>
  </si>
  <si>
    <t>BISC PRESTIGIO 140G</t>
  </si>
  <si>
    <t>BISC RECH LOWCUCAR 120G BAUNILHA</t>
  </si>
  <si>
    <t>BISC RECH LOWCUCAR 120G CHOCOLATE</t>
  </si>
  <si>
    <t>BISC RECH LOWCUCAR 120G MORANGO</t>
  </si>
  <si>
    <t>BISC SALG SCHAR SALINIS 60G S/LACT</t>
  </si>
  <si>
    <t>BISC SALG SCHAR SALTI 175G S/LACT</t>
  </si>
  <si>
    <t>BISC SCHAR 115G AGUA E SAL</t>
  </si>
  <si>
    <t>BISC SCHAR 150G CHOCOFIBRAS</t>
  </si>
  <si>
    <t>BISC SCHAR 165G CHOCOLATE O'S</t>
  </si>
  <si>
    <t>BISC SEQUILHOS PANCO 200G</t>
  </si>
  <si>
    <t>BISC SEQUILHOS PANCO 500G</t>
  </si>
  <si>
    <t>BISC SEQUILHOS PAULISTA 200G</t>
  </si>
  <si>
    <t>BISC SEQUILHOS SEVEN BOYS 400G</t>
  </si>
  <si>
    <t>BISC SOU SWEET JASMINE ZERO 90G FRUT VERMELHAS</t>
  </si>
  <si>
    <t>BISC SOU SWEET JASMINE ZERO 90G MARACUJA E CHIA</t>
  </si>
  <si>
    <t>BISC SOU SWEET JASMINE ZERO CHOC C/GOTAS 90G</t>
  </si>
  <si>
    <t>BISC SUNYOUNG STICK CHOC 54G PEANUT</t>
  </si>
  <si>
    <t>BISC TORTILHA BONNE MAMAN 125G LIMAO</t>
  </si>
  <si>
    <t>BISC TORTILHA BONNE MAMAN 135G FRAMBOESA</t>
  </si>
  <si>
    <t>BISC TOSTINES 150G ESPECIARIAS</t>
  </si>
  <si>
    <t>BISC TOSTINES 160G COCO</t>
  </si>
  <si>
    <t>BISC TOSTINES 160G MACA/CANELA</t>
  </si>
  <si>
    <t>BISC TOSTINES 200G AGUA</t>
  </si>
  <si>
    <t>BISC TOSTINES MAIZENA 200G</t>
  </si>
  <si>
    <t>BISC TRAKINAS 126G CHOCOLATE</t>
  </si>
  <si>
    <t>BISC TRAKINAS 126G MEIO CHOC/CH BC</t>
  </si>
  <si>
    <t>BISC TRAKINAS 126G MEIO CHOC/MOR</t>
  </si>
  <si>
    <t>BISC TRAKINAS 126G MORANGO</t>
  </si>
  <si>
    <t>BISC TRAKINAS 126G TORTINHA LIMAO</t>
  </si>
  <si>
    <t>BISC TRAKINAS BUBBALOO 126G TUTI FRUTI</t>
  </si>
  <si>
    <t>BISC VEG NATURAL LIFE BICHINHOS 80G S/G BRIGADEIRO</t>
  </si>
  <si>
    <t>BISC VEG SCHAR 115G BAUNILHA</t>
  </si>
  <si>
    <t>BISC VIEIRA 200G PRINCESA CHOCOLATE</t>
  </si>
  <si>
    <t>BISC VIEIRA 300G CIRCUS MEL</t>
  </si>
  <si>
    <t>BISC VIEIRA 400G PRINCESA SORTIDO</t>
  </si>
  <si>
    <t>BISC VIEIRA WAFER 125G CHOCOLATE</t>
  </si>
  <si>
    <t>BISC VITARELLA AGUA 350G</t>
  </si>
  <si>
    <t>BISC VITARELLA AGUA E SAL 350G</t>
  </si>
  <si>
    <t>BISC VITARELLA DELICITA 414G</t>
  </si>
  <si>
    <t>BISC VITARELLA MARIA 350G CHOCOLATE</t>
  </si>
  <si>
    <t>BISC WAFER BAUDUCCO 140G CHOC C/AVE</t>
  </si>
  <si>
    <t>BISC WAFER BAUDUCCO 140G CHOCOLATE</t>
  </si>
  <si>
    <t>BISC WAFER BAUDUCCO 140G MORANGO</t>
  </si>
  <si>
    <t>BISC WAFER BAUDUCCO MAXI 104G CHOCO &amp; CREAM</t>
  </si>
  <si>
    <t>BISC WAFER BAUDUCCO MAXI 104G CHOCOLATE</t>
  </si>
  <si>
    <t>BISC WAFER BAUDUCCO MAXI 104G PISTACHE</t>
  </si>
  <si>
    <t>BISC WAFER BAUDUCCO TRIP 140G CHOC</t>
  </si>
  <si>
    <t>BISC WAFER BONO 110G CHOCOLATE</t>
  </si>
  <si>
    <t>BISC WAFER BONO 110G MORANGO</t>
  </si>
  <si>
    <t>BISC WAFER BONO 110G TORTA DE LIMAO</t>
  </si>
  <si>
    <t>BISC WAFER FERRERO ROCHER 22G B READY NUTELLA</t>
  </si>
  <si>
    <t>BISC WAFER FIORELLA 60G CROCANTE</t>
  </si>
  <si>
    <t>BISC WAFER HANUTA 22G C/CREME AVELA</t>
  </si>
  <si>
    <t>BISC WAFER LOACKER 100G CREME NOISETTE</t>
  </si>
  <si>
    <t>BISC WAFER LOWCUCAR Z/ACUCAR 115G CHOC/AVE</t>
  </si>
  <si>
    <t>BISC WAFER LOWCUCAR Z/ACUCAR 115G CHOCOLATE</t>
  </si>
  <si>
    <t>BISC WAFER LOWCUCAR Z/ACUCAR 115G LIMAO</t>
  </si>
  <si>
    <t>BISC WAFER LOWCUCAR Z/ACUCAR 115G MORANGO</t>
  </si>
  <si>
    <t>BISC WAFER NEGRESCO 110G</t>
  </si>
  <si>
    <t>BISC WAFER NESCAU 110G</t>
  </si>
  <si>
    <t>BISC WAFER PASSATEMPO 20G CHOCOLATE</t>
  </si>
  <si>
    <t>BISC WAFER PASSATEMPO 20G MORANGO</t>
  </si>
  <si>
    <t>BISC WAFER PIRAQUE 100G CHOCOLATE</t>
  </si>
  <si>
    <t>BISC WAFER PIRAQUE 100G LIMAO</t>
  </si>
  <si>
    <t>BISC WAFER PIRAQUE 100G MORANGO</t>
  </si>
  <si>
    <t>BISC WAFER PRESTIGIO 110G</t>
  </si>
  <si>
    <t>BISC WAFER SCHAR 50G AVELA</t>
  </si>
  <si>
    <t>BISC WAFER SCHAR 64,5 CHOCOLATE</t>
  </si>
  <si>
    <t>BISC WAFER TORTINA LOACKER 63G ORIGINAL</t>
  </si>
  <si>
    <t>BISC WAFER TORTINA LOACKER 63G TRIPLE CHOCO</t>
  </si>
  <si>
    <t>BISC WAFER VIEIRA 125G LIMAO</t>
  </si>
  <si>
    <t>BISC WAFER VITAO 90G Z/ACUCAR CHOCOLATE</t>
  </si>
  <si>
    <t>BISC WAFER VITAO 90G Z/ACUCAR MORANGO</t>
  </si>
  <si>
    <t>BISC WAFER VITAO 90G Z/ACUCAR TORTA DE LIMAO</t>
  </si>
  <si>
    <t>BISC WIND 500G</t>
  </si>
  <si>
    <t>BISCOITO BISCOFF LOTUS 250G</t>
  </si>
  <si>
    <t>BISCOITO CREAM CRACKER MARILAN 140G</t>
  </si>
  <si>
    <t>BISCOITO CREAM CRACKER MARILAN 155G INTEGRAL</t>
  </si>
  <si>
    <t>BISCOITO CREAM CRACKER MARILAN 300G</t>
  </si>
  <si>
    <t>BISCOITO CREAM CRACKER MARILAN 335G INTEGRAL</t>
  </si>
  <si>
    <t>BISCOITO KARINTO YOKO 200G</t>
  </si>
  <si>
    <t>BISCUITS CANUDO FEINY 400G BAUNILHA</t>
  </si>
  <si>
    <t>BISNAGUINHA SCHAR 150G S/LACT</t>
  </si>
  <si>
    <t>BLOCO HIG HARPIC FRESHPOWER6 1UN LAVANDA</t>
  </si>
  <si>
    <t>BLOCO HIG HARPIC FRESHPOWER6 1UN PINHO CAMPESTRE</t>
  </si>
  <si>
    <t>BLOCO HIG HARPIC FRESHPOWER6 40%OFF 2ªUN LAVANDA</t>
  </si>
  <si>
    <t>BLOCO SAN HARPIC 3UN PROMO AQCA MARINE</t>
  </si>
  <si>
    <t>BLOCO SAN HARPIC 50G CAIXA ACOPLADA</t>
  </si>
  <si>
    <t>BLOCO SAN HARPIC LAVANDA 50% OFF 2°UN</t>
  </si>
  <si>
    <t>BLOCO SAN HARPIC MARINE C/2 PROMO CAIXA ACOPLADA</t>
  </si>
  <si>
    <t>BOLACHA PHAZA 500G SEMBEI GERGELIM</t>
  </si>
  <si>
    <t>BOLINHO CELIVITA 35G S/ACUCAR CACAU</t>
  </si>
  <si>
    <t>BOLINHO CELIVITA 35G S/ACUCAR LARANJA</t>
  </si>
  <si>
    <t>BOLINHO CHO FU 227G ABACAXI</t>
  </si>
  <si>
    <t>BOLINHO INT SUAVIPAN 40G 7 GRAOS</t>
  </si>
  <si>
    <t>BOLINHO INT SUAVIPAN 40G CAST PARA</t>
  </si>
  <si>
    <t>BOLINHO ORION CUSTARD 138G CREME</t>
  </si>
  <si>
    <t>BOLINHO SUAVIPAN 40G ZERO BAUN/CHOCOLATE</t>
  </si>
  <si>
    <t>BOLINHO SUAVIPAN 40G ZERO BAUN/MORANGO</t>
  </si>
  <si>
    <t>BOLINHO SUAVIPAN 40G ZERO BAUNILHA</t>
  </si>
  <si>
    <t>BOLINHO SUAVIPAN 40G ZERO CEN/CHOCO</t>
  </si>
  <si>
    <t>BOLINHO SUAVIPAN 40G ZERO CHOC/BAUNILHA</t>
  </si>
  <si>
    <t>BOLINHO SUAVIPAN 40G ZERO CHOCOLATE</t>
  </si>
  <si>
    <t>BOLINHO SUAVIPAN 40G ZERO CHURROS</t>
  </si>
  <si>
    <t>BOLINHO SUAVIPAN 40G ZERO RED VELVET</t>
  </si>
  <si>
    <t>BOLO INT SUAVIPAN 250G ZERO BANANA</t>
  </si>
  <si>
    <t>BOLO INT SUAVIPAN 250G ZERO MACA</t>
  </si>
  <si>
    <t>BOLO INT SUAVIPAN 250G ZERO NOZES</t>
  </si>
  <si>
    <t>BOLO JASMINE 300G S/GLUTEN CHOCO C/GOTAS</t>
  </si>
  <si>
    <t>BOLO JASMINE 300G S/GLUTEN LARANJA C/CHIA</t>
  </si>
  <si>
    <t>BOLO SCHAR 200G CHOCOLATE</t>
  </si>
  <si>
    <t>BOLO SCHAR 200G LARANJA</t>
  </si>
  <si>
    <t>BOLO SUAVIPAN 250G ZERO ABACAXI</t>
  </si>
  <si>
    <t>BOLO SUAVIPAN 250G ZERO CHOCOLATE</t>
  </si>
  <si>
    <t>BOLO SUAVIPAN 250G ZERO FUBA</t>
  </si>
  <si>
    <t>BOLO SUAVIPAN 250G ZERO LARANJA</t>
  </si>
  <si>
    <t>BOLO SUAVIPAN 250G ZERO MESCLADO</t>
  </si>
  <si>
    <t>BOLSA TERMICA PEG PESE 15L</t>
  </si>
  <si>
    <t>BOMBOM FERRERO ROCHER 100G</t>
  </si>
  <si>
    <t>BOMBOM FERRERO ROCHER 150G</t>
  </si>
  <si>
    <t>BOMBOM FERRERO ROCHER 37,5G</t>
  </si>
  <si>
    <t>BOMBOM FERRERO ROCHER 50G</t>
  </si>
  <si>
    <t>BOMBOM FERRERO ROCHER COLLECT 77G</t>
  </si>
  <si>
    <t>BOMBOM FERRERO ROCHER DIAMANTE 300G</t>
  </si>
  <si>
    <t>BOMBOM FONDANTE 400G</t>
  </si>
  <si>
    <t>BOMBOM GAROTO CARIBE 28G</t>
  </si>
  <si>
    <t>BOMBOM GAROTO SORTIDOS 250G</t>
  </si>
  <si>
    <t>BOMBOM LACTA 20G OURO BRANCO</t>
  </si>
  <si>
    <t>BOMBOM LACTA FAVORITOS 250,6G</t>
  </si>
  <si>
    <t>BOMBOM LACTA OURO BRANCO 1KG</t>
  </si>
  <si>
    <t>BOMBOM MAITRE 150G LICOR DE CEREJA</t>
  </si>
  <si>
    <t>BOMBOM MAITRE 180G SORTIDOS</t>
  </si>
  <si>
    <t>BOMBOM MAITRE ROSA 180G SORTIDOS</t>
  </si>
  <si>
    <t>BOMBOM NESTLE ESPECIALIDADES 251G</t>
  </si>
  <si>
    <t>BOMBOM PERUGINA BACI 37,5G AMARGO</t>
  </si>
  <si>
    <t>BOMBOM PERUGINA BACI 37,5G AO LEITE</t>
  </si>
  <si>
    <t>BOMBOM PRESTIGIO 252G SORTIDOS</t>
  </si>
  <si>
    <t>BOMBOM RAFFAELLO FERRERO 150G</t>
  </si>
  <si>
    <t>BOMBOM RAFFAELLO FERRERO 30G</t>
  </si>
  <si>
    <t>BOMBOM RAFFAELLO FERRERO 90G</t>
  </si>
  <si>
    <t>BOMBOM SERENATA DE AMOR 19G</t>
  </si>
  <si>
    <t>BOMBOM SERENATA DE AMOR 825G</t>
  </si>
  <si>
    <t>BOMBOM SONHO DE VALSA 1KG</t>
  </si>
  <si>
    <t>BOMBOM SONHO DE VALSA 20G</t>
  </si>
  <si>
    <t>BRANQUEADOR ANIL CUBOS 90G</t>
  </si>
  <si>
    <t>BRANQUEADOR ANIL LIQ 200ML</t>
  </si>
  <si>
    <t>BRANQUEADOR VEJA 500ML BANHEIRO ANTIBAC PROMO</t>
  </si>
  <si>
    <t>BRIGADEIRO COLHER SEGREDOS FAZENDA 280G</t>
  </si>
  <si>
    <t>BRIGADEIRO COLHER SEGREDOS FAZENDO 500G</t>
  </si>
  <si>
    <t>BRIGADEIRO VITAO 200G ZERO</t>
  </si>
  <si>
    <t>BRILHA MOVEIS DESTAC LAVANDA 200ML</t>
  </si>
  <si>
    <t>BRILHA MOVEIS DESTAC LAVANDA 500ML</t>
  </si>
  <si>
    <t>BROTO DE BAMBU 330G TRADICIONAL</t>
  </si>
  <si>
    <t>BRUSCHETTA BUL MARETTI 85G MEDIT VEGET</t>
  </si>
  <si>
    <t>BRUSCHETTA BUL MARETTI 85G SALAMI PEPP</t>
  </si>
  <si>
    <t>BRUSCHETTA BUL MARETTI 85G TOM/OLIVES/OREG</t>
  </si>
  <si>
    <t>BRUSCHETTA LA PASTINA 280G ALCACHOFRA</t>
  </si>
  <si>
    <t>BRUSCHETTA LA PASTINA 280G ALCACHOFRA/PIM</t>
  </si>
  <si>
    <t>BRUSCHETTA LA PASTINA ALCACHOFRA 140G</t>
  </si>
  <si>
    <t>BRUSCHETTA LA PASTINA AZEITONA PRET 140G</t>
  </si>
  <si>
    <t>BRUSCHETTA LA PASTINA TOMATE SECO 140G</t>
  </si>
  <si>
    <t>CACAU EM PO DIVINE 75G 100%</t>
  </si>
  <si>
    <t>CACAU EM PO GAROTO 200G</t>
  </si>
  <si>
    <t>CACAU EM PO NESTLE 200G 100% CACAU</t>
  </si>
  <si>
    <t>CACAU EM PO VITAO 100G Z/ACUCAR</t>
  </si>
  <si>
    <t>CAFE 3 CORACOES 250G DESCAF VACUO</t>
  </si>
  <si>
    <t>CAFE 3 CORACOES 250G FORZA</t>
  </si>
  <si>
    <t>CAFE 3 CORACOES 250G GOURMET CERRADO MINEIRO</t>
  </si>
  <si>
    <t>CAFE 3 CORACOES 250G GOURMET DARK</t>
  </si>
  <si>
    <t>CAFE 3 CORACOES 250G GOURMET MOGIANA PAULIST</t>
  </si>
  <si>
    <t>CAFE 3 CORACOES 250G GOURMET SUL DE MINAS</t>
  </si>
  <si>
    <t>CAFE 3 CORACOES 250G GOURMET VACUO</t>
  </si>
  <si>
    <t>CAFE 3 CORACOES 500G POUCH EXT FORTE</t>
  </si>
  <si>
    <t>CAFE 3 CORACOES 500G POUCH TRADICIONAL</t>
  </si>
  <si>
    <t>CAFE 3 CORACOES 500G PREM EST REAL</t>
  </si>
  <si>
    <t>CAFE 3 CORACOES 500G VACUO EX FORTE</t>
  </si>
  <si>
    <t>CAFE 3 CORACOES 500G VACUO TRADICIONAL</t>
  </si>
  <si>
    <t>CAFE 3 CORACOES C/LEITE 100G RF</t>
  </si>
  <si>
    <t>CAFE 3 CORACOES C/LEITE 300G</t>
  </si>
  <si>
    <t>CAFE 3 CORACOES GOURMET C/10 SACHE DARK DRIP</t>
  </si>
  <si>
    <t>CAFE 3 CORACOES PORTINARI 250G 1942</t>
  </si>
  <si>
    <t>CAFE 3 CORACOES PORTINARI 250G 1957</t>
  </si>
  <si>
    <t>CAFE 3 CORACOES PORTINARI 250G SOLTANDO PIPA</t>
  </si>
  <si>
    <t>CAFE 3 CORACOES RITUAIS 85+ 250G CHOCOLATE</t>
  </si>
  <si>
    <t>CAFE 3 CORACOES RITUAIS 85+ 250G EXOTICO</t>
  </si>
  <si>
    <t>CAFE 3 CORACOES RITUAIS 85+ 250G FRUT VERMELHAS</t>
  </si>
  <si>
    <t>CAFE 3 CORACOES RITUAIS 85+ 250G FRUTAS SECAS</t>
  </si>
  <si>
    <t>CAFE AROMATIZADO BAGGIO 250G CARAMELO</t>
  </si>
  <si>
    <t>CAFE AROMATIZADO BAGGIO 250G CHOC C/MENTA</t>
  </si>
  <si>
    <t>CAFE AROMATIZADO BAGGIO 250G CHOCO C/AVELA</t>
  </si>
  <si>
    <t>CAFE AROMATIZADO BAGGIO 250G CHOCO TRUF</t>
  </si>
  <si>
    <t>CAFE C/LEITE NESTLE NESCAFE 300G</t>
  </si>
  <si>
    <t>CAFE COREANO COM LEITE OKF 240ML</t>
  </si>
  <si>
    <t>CAFE COREANO COM LEITE OKF 240ML CARAMEL M</t>
  </si>
  <si>
    <t>CAFE COREANO COM LEITE OKF 240ML MOCHA</t>
  </si>
  <si>
    <t>CAFE DO PONTO EXPORTACAO VACUO 500G</t>
  </si>
  <si>
    <t>CAFE DO PONTO EXTRA FORTE VACUO 500G</t>
  </si>
  <si>
    <t>CAFE DO PONTO VACUO TRAD 500G</t>
  </si>
  <si>
    <t>CAFE GOURMET BAGGIO 250G ESPRESSO</t>
  </si>
  <si>
    <t>CAFE GRAO CAFE DO PONTO 1KG ESPRESSO</t>
  </si>
  <si>
    <t>CAFE GRAO ILLY 250G CLASSICO</t>
  </si>
  <si>
    <t>CAFE GRAO ILLY ARABICA SELECTION 250G MINEIRO</t>
  </si>
  <si>
    <t>CAFE GRAO ORFEU 250G CLASSICO</t>
  </si>
  <si>
    <t>CAFE GRAO ORFEU 250G INTENSO</t>
  </si>
  <si>
    <t>CAFE GRAO PILAO 1KG ESPRESSO</t>
  </si>
  <si>
    <t>CAFE GRAO PILAO CAFETERIA 500G</t>
  </si>
  <si>
    <t>CAFE ILLY 125G CLASSICO</t>
  </si>
  <si>
    <t>CAFE ILLY 125G CLASSICO MOKA</t>
  </si>
  <si>
    <t>CAFE ILLY 125G INTENSO MOKA</t>
  </si>
  <si>
    <t>CAFE ILLY 250G FILTER INTENSO</t>
  </si>
  <si>
    <t>CAFE ILLY ARABICA SELECTION 125G GUATEMALA</t>
  </si>
  <si>
    <t>CAFE ILLY ARABICA SELECTION 250G CERRADO MINEIRO</t>
  </si>
  <si>
    <t>CAFE JUAN VALDEZ 250G COLINA</t>
  </si>
  <si>
    <t>CAFE LOR 500G FORZA</t>
  </si>
  <si>
    <t>CAFE LOR GOURMET 250G ULTIMO</t>
  </si>
  <si>
    <t>CAFE LOR ORIGENS BRASILEIRAS 250G CERRADO MINEIRO</t>
  </si>
  <si>
    <t>CAFE LOR ORIGENS BRASILEIRAS 250G MOGIANA</t>
  </si>
  <si>
    <t>CAFE LOR ORIGENS BRASILEIRAS 250G SUL DE MINAS</t>
  </si>
  <si>
    <t>CAFE LOR TORRAS GOURMET 250G DELICADO</t>
  </si>
  <si>
    <t>CAFE LOR TORRAS GOURMET 250G EQUILIBRADO</t>
  </si>
  <si>
    <t>CAFE LOR TORRAS GOURMET 250G INTENSO</t>
  </si>
  <si>
    <t>CAFE MELITTA 250G DESCAFEINADO</t>
  </si>
  <si>
    <t>CAFE MELITTA 250G GOURMET CERRADO</t>
  </si>
  <si>
    <t>CAFE MELITTA 250G GOURMET MOGIANA</t>
  </si>
  <si>
    <t>CAFE MELITTA 250G GOURMET SUL MINAS</t>
  </si>
  <si>
    <t>CAFE MELITTA 250G TERRAS CAPIXABAS</t>
  </si>
  <si>
    <t>CAFE MELITTA 250G VACUO TRAD</t>
  </si>
  <si>
    <t>CAFE MELITTA 500G ESPECIAL</t>
  </si>
  <si>
    <t>CAFE MELITTA 500G POUCH EXTRA FORTE</t>
  </si>
  <si>
    <t>CAFE MELITTA 500G POUCH TRAD</t>
  </si>
  <si>
    <t>CAFE MELITTA 500G VACUO EXTRA FORTE</t>
  </si>
  <si>
    <t>CAFE MELITTA 500G VACUO TRADICIONAL</t>
  </si>
  <si>
    <t>CAFE MELITTA FAZENDA 500G POUCH</t>
  </si>
  <si>
    <t>CAFE MELITTA FAZENDA 500G VACUO</t>
  </si>
  <si>
    <t>CAFE MELITTA SPRESSO 500G GOURMET</t>
  </si>
  <si>
    <t>CAFE NESCAFE 250G INTENSIDADE MAXIMA</t>
  </si>
  <si>
    <t>CAFE NESCAFE GOLD 250G EQUILIBRADO</t>
  </si>
  <si>
    <t>CAFE NESCAFE GOLD 250G INTENSO</t>
  </si>
  <si>
    <t>CAFE ORFEU 250G BOURBON AMARELO</t>
  </si>
  <si>
    <t>CAFE ORFEU 250G CLASSICO</t>
  </si>
  <si>
    <t>CAFE ORFEU DRIP COFFEE C/10 SACHES CLASSICO</t>
  </si>
  <si>
    <t>CAFE ORFEU DRIP COFFEE C/10 SACHES INTENSO</t>
  </si>
  <si>
    <t>CAFE ORFEU VARIETAIS 250G ACAUA</t>
  </si>
  <si>
    <t>CAFE ORFEU VARIETAIS 250G ARARA</t>
  </si>
  <si>
    <t>CAFE ORFEU VARIETAIS 250G JAPY</t>
  </si>
  <si>
    <t>CAFE ORG NATIVE 250G</t>
  </si>
  <si>
    <t>CAFE PILAO 500G 252 GRAUS POUCH</t>
  </si>
  <si>
    <t>CAFE PILAO 500G 252 GRAUS VACUO</t>
  </si>
  <si>
    <t>CAFE PILAO CAFETERIA 500G VACUO COADO</t>
  </si>
  <si>
    <t>CAFE PILAO CAFETERIA 500G VACUO ESPRESSO</t>
  </si>
  <si>
    <t>CAFE PILAO CAFETERIA 500G VACUO ITALIANO</t>
  </si>
  <si>
    <t>CAFE PILAO DOY BAG 500G EXTRAFORTE</t>
  </si>
  <si>
    <t>CAFE PILAO DOY BAG 500G TRADICIONAL</t>
  </si>
  <si>
    <t>CAFE PILAO EXTRA FORTE 500G ALM</t>
  </si>
  <si>
    <t>CAFE PILAO EXTRA FORTE 500G VACUO</t>
  </si>
  <si>
    <t>CAFE PILAO INTENSO 500G</t>
  </si>
  <si>
    <t>CAFE PILAO TRADICIONAL 250G</t>
  </si>
  <si>
    <t>CAFE PILAO TRADICIONAL 500G ALM</t>
  </si>
  <si>
    <t>CAFE PILAO TRADICIONAL 500G VACUO</t>
  </si>
  <si>
    <t>CAFE PILAO VACUO 250G</t>
  </si>
  <si>
    <t>CAFE PILAO VACUO DESCAFEINADO 250G</t>
  </si>
  <si>
    <t>CAFE SOLUVEL 3 CORACOES 100G LIOFILIZADO</t>
  </si>
  <si>
    <t>CAFE SOLUVEL 3 CORACOES 100G VD TRADICIONAL</t>
  </si>
  <si>
    <t>CAFE SOLUVEL 3 CORACOES 40G DESCAF</t>
  </si>
  <si>
    <t>CAFE SOLUVEL 3 CORACOES 40G RF EXT FORTE</t>
  </si>
  <si>
    <t>CAFE SOLUVEL 3 CORACOES 40G RF LIOFILIZADO</t>
  </si>
  <si>
    <t>CAFE SOLUVEL 3 CORACOES 40G RF PORTINARI</t>
  </si>
  <si>
    <t>CAFE SOLUVEL 3 CORACOES 40G RF TRADICIONAL</t>
  </si>
  <si>
    <t>CAFE SOLUVEL EXPRESSO LOR 100G VD</t>
  </si>
  <si>
    <t>CAFE SOLUVEL IGUACU 100G GOURMET</t>
  </si>
  <si>
    <t>CAFE SOLUVEL IGUACU 200G TRAD LT</t>
  </si>
  <si>
    <t>CAFE SOLUVEL JUAN VALDEZ 95G VD AVELA</t>
  </si>
  <si>
    <t>CAFE SOLUVEL JUAN VALDEZ 95G VD CLASSICO</t>
  </si>
  <si>
    <t>CAFE SOLUVEL JUAN VALDEZ 95G VD DESCAFEINADO</t>
  </si>
  <si>
    <t>CAFE SOLUVEL JUAN VALDEZ 95G VD DOCE DE LEITE</t>
  </si>
  <si>
    <t>CAFE SOLUVEL LOR 84G CLASSIQUE</t>
  </si>
  <si>
    <t>CAFE SOLUVEL LOR 84G INTENSE</t>
  </si>
  <si>
    <t>CAFE SOLUVEL LOR LIOFILIZADO VD 84G MONT CAPIXABAS</t>
  </si>
  <si>
    <t>CAFE SOLUVEL LOR LIOFILIZADO VD 84G SUL DA BAHIA</t>
  </si>
  <si>
    <t>CAFE SOLUVEL LOR POUCH 40G ESPRESSO</t>
  </si>
  <si>
    <t>CAFE SOLUVEL LOR STAND UP 40G CLASSIQUE</t>
  </si>
  <si>
    <t>CAFE SOLUVEL LOR STAND UP 40G INTENSE</t>
  </si>
  <si>
    <t>CAFE SOLUVEL MELITTA 200G C/LEITE</t>
  </si>
  <si>
    <t>CAFE SOLUVEL MELITTA 200G VD TRAD</t>
  </si>
  <si>
    <t>CAFE SOLUVEL MELITTA 40G DESCAFEINADO</t>
  </si>
  <si>
    <t>CAFE SOLUVEL MELITTA 40G EXT FORTE</t>
  </si>
  <si>
    <t>CAFE SOLUVEL MELITTA 40G TRAD</t>
  </si>
  <si>
    <t>CAFE SOLUVEL NESCAFE 100G VD EXTRA FORTE</t>
  </si>
  <si>
    <t>CAFE SOLUVEL NESCAFE 100G VD INTENS MAXIMA</t>
  </si>
  <si>
    <t>CAFE SOLUVEL NESCAFE 100G VD MATINAL</t>
  </si>
  <si>
    <t>CAFE SOLUVEL NESCAFE 100G VD TRADICAO</t>
  </si>
  <si>
    <t>CAFE SOLUVEL NESCAFE 160G VD INTENS MAXIMA</t>
  </si>
  <si>
    <t>CAFE SOLUVEL NESCAFE 160G VD MATINAL</t>
  </si>
  <si>
    <t>CAFE SOLUVEL NESCAFE 160G VD ORIGINAL</t>
  </si>
  <si>
    <t>CAFE SOLUVEL NESCAFE 40G DESCAF</t>
  </si>
  <si>
    <t>CAFE SOLUVEL NESCAFE 40G MATINAL</t>
  </si>
  <si>
    <t>CAFE SOLUVEL NESCAFE 40G ORIGINAL</t>
  </si>
  <si>
    <t>CAFE SOLUVEL NESCAFE 40G TRADICAO</t>
  </si>
  <si>
    <t>CAFE SOLUVEL NESCAFE GOLD 100G LT EQUILIBRADO</t>
  </si>
  <si>
    <t>CAFE SOLUVEL NESCAFE GOLD 100G LT INTENSO</t>
  </si>
  <si>
    <t>CAFE SOLUVEL NESCAFE GOLD 100G LT SUAVE</t>
  </si>
  <si>
    <t>CAFE SOLUVEL NESCAFE GOLD 40G EQUILIBRADO</t>
  </si>
  <si>
    <t>CAFE SOLUVEL NESCAFE GOLD 40G INTENSO</t>
  </si>
  <si>
    <t>CAFE SOLUVEL NESCAFE GOLD 40G SUAVE</t>
  </si>
  <si>
    <t>CAFE SOLUVEL NESCAFE LV50G PG40G MATINAL</t>
  </si>
  <si>
    <t>CAFE SOLUVEL PILAO 100G</t>
  </si>
  <si>
    <t>CAFE SOLUVEL PILAO CAFETERIA 40G</t>
  </si>
  <si>
    <t>CAFE SOLUVEL PILAO CAFETERIA 70G VD</t>
  </si>
  <si>
    <t>CAFE SOLUVEL PILAO GRAN 40G TRAD</t>
  </si>
  <si>
    <t>CAFE STARBUCKS 250G COLOMBIA</t>
  </si>
  <si>
    <t>CAFE STARBUCKS 250G HOUSE BLEND</t>
  </si>
  <si>
    <t>CAFE STARBUCKS 250G PIKE PLACE</t>
  </si>
  <si>
    <t>CAFE STARBUCKS 250G VERONA</t>
  </si>
  <si>
    <t>CALDA DE AGAVE ORG JASMINE 330G</t>
  </si>
  <si>
    <t>CALDA HERSHEY'S 623G CARAMEL</t>
  </si>
  <si>
    <t>CALDA HERSHEY'S 680G CHOCOLATE</t>
  </si>
  <si>
    <t>CALDA PANQUECA HUNGRY JACK 428ML ORIGINAL</t>
  </si>
  <si>
    <t>CALDA TAMARAS REGALLE 280G</t>
  </si>
  <si>
    <t>CALDO KNORR 114G CARNE</t>
  </si>
  <si>
    <t>CALDO KNORR 114G GALINHA</t>
  </si>
  <si>
    <t>CALDO KNORR 48G ZERO SAL CARNE</t>
  </si>
  <si>
    <t>CALDO KNORR 48G ZERO SAL GALINHA</t>
  </si>
  <si>
    <t>CALDO KNORR 48G ZERO SAL LEGUMES</t>
  </si>
  <si>
    <t>CALDO KNORR 57G CARNE</t>
  </si>
  <si>
    <t>CALDO KNORR 57G GALINHA</t>
  </si>
  <si>
    <t>CALDO KNORR 57G LEGUMES</t>
  </si>
  <si>
    <t>CALDO KNORR 96G ZERO SAL CARNE</t>
  </si>
  <si>
    <t>CALDO KNORR 96G ZERO SAL GALINHA</t>
  </si>
  <si>
    <t>CALDO KNORR 96G ZERO SAL LEGUMES</t>
  </si>
  <si>
    <t>CALDO LIQ DAVOZZI 1L CARNE</t>
  </si>
  <si>
    <t>CALDO LIQ DAVOZZI 1L FRANGO</t>
  </si>
  <si>
    <t>CALDO LIQ DAVOZZI 1L LEGUMES</t>
  </si>
  <si>
    <t>CALDO MAGGI 114G CARNE</t>
  </si>
  <si>
    <t>CALDO MAGGI 114G GALINHA</t>
  </si>
  <si>
    <t>CALDO MAGGI 152G GALINHA</t>
  </si>
  <si>
    <t>CALDO MAGGI 57G BACON</t>
  </si>
  <si>
    <t>CALDO MAGGI 57G CARNE</t>
  </si>
  <si>
    <t>CALDO MAGGI 57G COSTELA</t>
  </si>
  <si>
    <t>CALDO MAGGI 57G GALINHA</t>
  </si>
  <si>
    <t>CALDO MAGGI 57G LEG/VERD</t>
  </si>
  <si>
    <t>CALDO MAGGI EQUILIBRIUM 114G CARNE</t>
  </si>
  <si>
    <t>CALDO MAGGI EQUILIBRIUM 114G GALINH</t>
  </si>
  <si>
    <t>CALDO MAGGI EQUILIBRIUM 57G CARNE</t>
  </si>
  <si>
    <t>CALDO MAGGI EQUILIBRIUM 57G GALINHA</t>
  </si>
  <si>
    <t>CALDO PO ARISCO 35G GALINHA</t>
  </si>
  <si>
    <t>CALDO PO MAGGI 35G CARNE</t>
  </si>
  <si>
    <t>CALDO PO MAGGI 35G GALINHA</t>
  </si>
  <si>
    <t>CALDO PO MAGGI 35G LEGUMES</t>
  </si>
  <si>
    <t>CALDO PO SAZON 32,5G BACON</t>
  </si>
  <si>
    <t>CALDO PO SAZON 32,5G CAMARAO</t>
  </si>
  <si>
    <t>CALDO PO SAZON 32,5G CARNE</t>
  </si>
  <si>
    <t>CALDO PO SAZON 32,5G COSTELA</t>
  </si>
  <si>
    <t>CALDO PO SAZON 32,5G GALINHA</t>
  </si>
  <si>
    <t>CALDO PO SAZON 32,5G LEGUMES</t>
  </si>
  <si>
    <t>CALDO PO SAZON 32,5G PICANHA</t>
  </si>
  <si>
    <t>CALDO PO SAZON LEV 32,5G CARNE</t>
  </si>
  <si>
    <t>CALDO PO SAZON LEV 32,5G GALINHA</t>
  </si>
  <si>
    <t>CAMOMILA ESP E SAB 15G</t>
  </si>
  <si>
    <t>CAMOMILA KITANO 10G</t>
  </si>
  <si>
    <t>CANELA CASCA ESP E SAB 40G</t>
  </si>
  <si>
    <t>CANELA CASCA KITANO 8G</t>
  </si>
  <si>
    <t>CANELA CHINA CASCA KITANO 20G</t>
  </si>
  <si>
    <t>CANELA CHINA PO KITANO 50G</t>
  </si>
  <si>
    <t>CANELA CHINA PO TUBO KITANO 35G</t>
  </si>
  <si>
    <t>CANELA EM PO BR SPICES ASSENCIAL 50G</t>
  </si>
  <si>
    <t>CANELA EM PO ESP E SAB 40G</t>
  </si>
  <si>
    <t>CANJAO KNORR 179G GALINHA ARROZ</t>
  </si>
  <si>
    <t>CANJAO MAGGI 200G ARROZ/LEGUMES</t>
  </si>
  <si>
    <t>CANJICA DE MILHO OKOSHI 50G AC COCO CACAU</t>
  </si>
  <si>
    <t>CANJICA DE MILHO OKOSHI 50G AC COCO TRAD</t>
  </si>
  <si>
    <t>CANJICA DE MILHO OKOSHI 50G DOCE</t>
  </si>
  <si>
    <t>CANJICA DE MILHO OKOSHI 50G SALGADA</t>
  </si>
  <si>
    <t>CANJICA VAPZA 500G BRANCA</t>
  </si>
  <si>
    <t>CANJICA YOKI 400G CRISTAL</t>
  </si>
  <si>
    <t>CANJICA YOKI 500G AMARELA</t>
  </si>
  <si>
    <t>CANJIQUINHA YOKI XEREM 500G</t>
  </si>
  <si>
    <t>CANUDOS WAFFER 120G SORTIS CARAMELO</t>
  </si>
  <si>
    <t>CANUDOS WAFFER 120G SORTIS RECH AVELA</t>
  </si>
  <si>
    <t>CANUDOS WAFFER 120G SORTIS RECH CHOCOLATE</t>
  </si>
  <si>
    <t>CAPPUCCINO 3 CORACOES 100G CLASSIC REFIL</t>
  </si>
  <si>
    <t>CAPPUCCINO 3 CORACOES 140G LIGHT</t>
  </si>
  <si>
    <t>CAPPUCCINO 3 CORACOES 200G AVELA</t>
  </si>
  <si>
    <t>CAPPUCCINO 3 CORACOES 200G BAUNILHA</t>
  </si>
  <si>
    <t>CAPPUCCINO 3 CORACOES 200G CARAMELO SALG</t>
  </si>
  <si>
    <t>CAPPUCCINO 3 CORACOES 200G CHOCO</t>
  </si>
  <si>
    <t>CAPPUCCINO 3 CORACOES 200G CLASSIC</t>
  </si>
  <si>
    <t>CAPPUCCINO 3 CORACOES 200G COOKIES CREAM</t>
  </si>
  <si>
    <t>CAPPUCCINO 3 CORACOES 200G DESCAF</t>
  </si>
  <si>
    <t>CAPPUCCINO 3 CORACOES 200G SACHE CLASSIC</t>
  </si>
  <si>
    <t>CAPPUCCINO 3 CORACOES 400G CLASSIC</t>
  </si>
  <si>
    <t>CAPPUCCINO LOR PREMIUM 156,8G CHOCOLATE</t>
  </si>
  <si>
    <t>CAPPUCCINO LOR PREMIUM 162,4G BAUNILHA</t>
  </si>
  <si>
    <t>CAPPUCCINO LOR PREMIUM 162,4G CARAMELO</t>
  </si>
  <si>
    <t>CAPPUCCINO MELITTA 200G CHOCO C/AVELA</t>
  </si>
  <si>
    <t>CAPPUCCINO MELITTA 200G CHOCOLATE</t>
  </si>
  <si>
    <t>CAPPUCCINO MELITTA 200G DOCE DE LEITE</t>
  </si>
  <si>
    <t>CAPPUCCINO MELITTA 200G TRADICIONAL</t>
  </si>
  <si>
    <t>CAPPUCCINO MELITTA LIGHT 140G</t>
  </si>
  <si>
    <t>CAPSULA 3 CORACOES C/ 10 AMENO</t>
  </si>
  <si>
    <t>CAPSULA 3 CORACOES C/ 10 ATENTO</t>
  </si>
  <si>
    <t>CAPSULA 3 CORACOES C/ 10 CAFE C/LEITE</t>
  </si>
  <si>
    <t>CAPSULA 3 CORACOES C/ 10 CAPPUC AVELA</t>
  </si>
  <si>
    <t>CAPSULA 3 CORACOES C/ 10 CAPPUC CLASSIC</t>
  </si>
  <si>
    <t>CAPSULA 3 CORACOES C/ 10 CHAPADA</t>
  </si>
  <si>
    <t>CAPSULA 3 CORACOES C/ 10 CHOCO CARAMELLO</t>
  </si>
  <si>
    <t>CAPSULA 3 CORACOES C/ 10 CHOCOLATTO</t>
  </si>
  <si>
    <t>CAPSULA 3 CORACOES C/ 10 DARK ROAST</t>
  </si>
  <si>
    <t>CAPSULA 3 CORACOES C/ 10 DC LEITE</t>
  </si>
  <si>
    <t>CAPSULA 3 CORACOES C/ 10 DESCAFEINADO</t>
  </si>
  <si>
    <t>CAPSULA 3 CORACOES C/ 10 FILT CLASSICO</t>
  </si>
  <si>
    <t>CAPSULA 3 CORACOES C/ 10 FILT GOURMET</t>
  </si>
  <si>
    <t>CAPSULA 3 CORACOES C/ 10 FORZA</t>
  </si>
  <si>
    <t>CAPSULA 3 CORACOES C/ 10 MACCHIATO LATTE</t>
  </si>
  <si>
    <t>CAPSULA 3 CORACOES C/ 10 ORGANICO</t>
  </si>
  <si>
    <t>CAPSULA 3 CORACOES C/ 10 PLENO</t>
  </si>
  <si>
    <t>CAPSULA 3 CORACOES C/ 10 SUPREMO</t>
  </si>
  <si>
    <t>CAPSULA 3 CORACOES C/ 10 VIBRANT</t>
  </si>
  <si>
    <t>CAPSULA 3 CORACOES C/10 CAFE C/LEIT BAILEYS</t>
  </si>
  <si>
    <t>CAPSULA 3 CORACOES C/10 CAPPUC NAPOLITANO</t>
  </si>
  <si>
    <t>CAPSULA 3 CORACOES C/10 CHA CAMOMILA</t>
  </si>
  <si>
    <t>CAPSULA 3 CORACOES C/10 CHA LATTE</t>
  </si>
  <si>
    <t>CAPSULA 3 CORACOES C/10 CHA MISTO LIMAO/GENGIBRE</t>
  </si>
  <si>
    <t>CAPSULA 3 CORACOES C/10 CHA NOITES TRANQUILAS</t>
  </si>
  <si>
    <t>CAPSULA 3 CORACOES C/10 NESPRESSO CERRADO MINEIRO</t>
  </si>
  <si>
    <t>CAPSULA 3 CORACOES C/10 NESPRESSO COLOMBIA</t>
  </si>
  <si>
    <t>CAPSULA 3 CORACOES C/10 NESPRESSO DESCAFEINADO</t>
  </si>
  <si>
    <t>CAPSULA 3 CORACOES C/10 NESPRESSO INTENSO</t>
  </si>
  <si>
    <t>CAPSULA 3 CORACOES C/10 NESPRESSO MAXIMO</t>
  </si>
  <si>
    <t>CAPSULA 3 CORACOES C/10 NESPRESSO MOGIANA</t>
  </si>
  <si>
    <t>CAPSULA 3 CORACOES C/10 NESPRESSO PERU</t>
  </si>
  <si>
    <t>CAPSULA 3 CORACOES C/10 STAR WARS DARTH VADER</t>
  </si>
  <si>
    <t>CAPSULA 3 CORACOES C/10 STAR WARS MESTRE YODA</t>
  </si>
  <si>
    <t>CAPSULA 3 CORACOES CHA C/10 LAR/HIB</t>
  </si>
  <si>
    <t>CAPSULA BAGGIO ALUMINIUM C/10 ESPRESSO</t>
  </si>
  <si>
    <t>CAPSULA BAGGIO ALUMINIUM C/10 RISTRETTO</t>
  </si>
  <si>
    <t>CAPSULA CAFE BAGGIO C/10 AMENDOA TORRADA</t>
  </si>
  <si>
    <t>CAPSULA CAFE BAGGIO C/10 CARAMELO</t>
  </si>
  <si>
    <t>CAPSULA CAFE BAGGIO C/10 CHOC TRUFADO</t>
  </si>
  <si>
    <t>CAPSULA CAFE BAGGIO C/10 CHOCO C/AVELA</t>
  </si>
  <si>
    <t>CAPSULA CAFE BAGGIO C/10 CLASSICO</t>
  </si>
  <si>
    <t>CAPSULA CAFE BAGGIO C/10 EXTRA INTENSO</t>
  </si>
  <si>
    <t>CAPSULA CAFE BAGGIO C/10 VANILLA</t>
  </si>
  <si>
    <t>CAPSULA CAFE ORFEU C/10 BOURBON AMARELO</t>
  </si>
  <si>
    <t>CAPSULA CAFE ORFEU C/10 CLASSICO</t>
  </si>
  <si>
    <t>CAPSULA CAFE ORFEU C/10 INTENSO</t>
  </si>
  <si>
    <t>CAPSULA CAFE ORFEU C/10 ORGANICO</t>
  </si>
  <si>
    <t>CAPSULA CAFE ORFEU VARIETAIS C/10 ACAUA</t>
  </si>
  <si>
    <t>CAPSULA CAFE ORFEU VARIETAIS C/10 ARARA</t>
  </si>
  <si>
    <t>CAPSULA CAFE ORFEU VARIETAIS C/10 JAPY</t>
  </si>
  <si>
    <t>CAPSULA DOLCE GUSTO C/ 10 CAFE AU LAIT</t>
  </si>
  <si>
    <t>CAPSULA DOLCE GUSTO C/ 10 CANELA</t>
  </si>
  <si>
    <t>CAPSULA DOLCE GUSTO C/ 10 DESNATADO</t>
  </si>
  <si>
    <t>CAPSULA DOLCE GUSTO C/ 10 NET CAPPUCCINO</t>
  </si>
  <si>
    <t>CAPSULA DOLCE GUSTO C/ 10 PINGADO</t>
  </si>
  <si>
    <t>CAPSULA DOLCE GUSTO C/ 10 VANILLA</t>
  </si>
  <si>
    <t>CAPSULA DOLCE GUSTO C/10 CAFE CASEIRO</t>
  </si>
  <si>
    <t>CAPSULA DOLCE GUSTO C/10 CAFE CASEIRO INTENSO</t>
  </si>
  <si>
    <t>CAPSULA DOLCE GUSTO C/10 CAFE FRAPP</t>
  </si>
  <si>
    <t>CAPSULA DOLCE GUSTO C/10 CAFE MATINAL</t>
  </si>
  <si>
    <t>CAPSULA DOLCE GUSTO C/10 CAPPUCCINO TRADICIONAL</t>
  </si>
  <si>
    <t>CAPSULA DOLCE GUSTO C/10 CERRADO MINEIRO</t>
  </si>
  <si>
    <t>CAPSULA DOLCE GUSTO C/10 CHOCO ALPINO</t>
  </si>
  <si>
    <t>CAPSULA DOLCE GUSTO C/10 CHOCOCINO</t>
  </si>
  <si>
    <t>CAPSULA DOLCE GUSTO C/10 DOCE LEITE</t>
  </si>
  <si>
    <t>CAPSULA DOLCE GUSTO C/10 ESPRESSO DOPPIO</t>
  </si>
  <si>
    <t>CAPSULA DOLCE GUSTO C/10 ESPRESSO INTENSO</t>
  </si>
  <si>
    <t>CAPSULA DOLCE GUSTO C/10 ESPRESSO TRADICIONAL</t>
  </si>
  <si>
    <t>CAPSULA DOLCE GUSTO C/10 GALAK</t>
  </si>
  <si>
    <t>CAPSULA DOLCE GUSTO C/10 KITKAT</t>
  </si>
  <si>
    <t>CAPSULA DOLCE GUSTO C/10 LATTE MACCHIATO</t>
  </si>
  <si>
    <t>CAPSULA DOLCE GUSTO C/10 LUNGO</t>
  </si>
  <si>
    <t>CAPSULA DOLCE GUSTO C/10 MOCHACCINO AVELA</t>
  </si>
  <si>
    <t>CAPSULA DOLCE GUSTO C/10 NESCAU</t>
  </si>
  <si>
    <t>CAPSULA DOLCE GUSTO C/10 SENSACAO</t>
  </si>
  <si>
    <t>CAPSULA ESPRESSO LOR 104G</t>
  </si>
  <si>
    <t>CAPSULA ESPRESSO LOR 52G BAUNILHA</t>
  </si>
  <si>
    <t>CAPSULA ESPRESSO LOR 52G CARAMELO</t>
  </si>
  <si>
    <t>CAPSULA ESPRESSO LOR 52G CHOCOLATE</t>
  </si>
  <si>
    <t>CAPSULA ESPRESSO LOR 52G COLOMBIA</t>
  </si>
  <si>
    <t>CAPSULA ESPRESSO LOR 52G FORZA</t>
  </si>
  <si>
    <t>CAPSULA ESPRESSO LOR 52G GUATEMALA</t>
  </si>
  <si>
    <t>CAPSULA ESPRESSO LOR 52G INDIA KARNATAKA</t>
  </si>
  <si>
    <t>CAPSULA ESPRESSO LOR 52G INDONESIA</t>
  </si>
  <si>
    <t>CAPSULA ESPRESSO LOR 52G LUNGO ESTREMO</t>
  </si>
  <si>
    <t>CAPSULA ESPRESSO LOR 52G ONXY</t>
  </si>
  <si>
    <t>CAPSULA ESPRESSO LOR 52G PAPUA</t>
  </si>
  <si>
    <t>CAPSULA ESPRESSO LOR 52G RIST DECAF</t>
  </si>
  <si>
    <t>CAPSULA ESPRESSO LOR 52G RISTRETTO</t>
  </si>
  <si>
    <t>CAPSULA ESPRESSO LOR 52G SONTUOSO</t>
  </si>
  <si>
    <t>CAPSULA ESPRESSO LOR 52G ULTIMO</t>
  </si>
  <si>
    <t>CAPSULA ILLY IPERES C/18 CLAS LONGO</t>
  </si>
  <si>
    <t>CAPSULA ILLY IPERES C/18 CLASSICO</t>
  </si>
  <si>
    <t>CAPSULA ILLY IPERES C/18 DESCAF</t>
  </si>
  <si>
    <t>CAPSULA ILLY IPERES C/18 INTENSO</t>
  </si>
  <si>
    <t>CAPSULA ILLY NESPRESSO C/10 CLASSICO</t>
  </si>
  <si>
    <t>CAPSULA ILLY NESPRESSO C/10 FORTE</t>
  </si>
  <si>
    <t>CAPSULA ILLY NESPRESSO C/10 INTENSO</t>
  </si>
  <si>
    <t>CAPSULA MELITTA ESPRESSO C/10 AUDACCE</t>
  </si>
  <si>
    <t>CAPSULA MELITTA ESPRESSO C/10 DESCAFEINADO</t>
  </si>
  <si>
    <t>CAPSULA MELITTA ESPRESSO C/10 LUNGO INTENSO</t>
  </si>
  <si>
    <t>CAPSULA MELITTA ESPRESSO C/10 MARCATO</t>
  </si>
  <si>
    <t>CAPSULA MELITTA ESPRESSO C/10 RISTRETTO</t>
  </si>
  <si>
    <t>CAPSULA NESCAFE C/10 NESPRESSO ANDES</t>
  </si>
  <si>
    <t>CAPSULA NESCAFE C/10 NESPRESSO BRAZIL</t>
  </si>
  <si>
    <t>CAPSULA NESCAFE C/10 NESPRESSO COLOMBIA</t>
  </si>
  <si>
    <t>CAPSULA NESCAFE C/10 NESPRESSO INDIA</t>
  </si>
  <si>
    <t>CAPSULA NESCAFE C/10 NESPRESSO MEXICO</t>
  </si>
  <si>
    <t>CAPSULA ORG DOLCE GUSTO C/10 BRASIL LUNGO</t>
  </si>
  <si>
    <t>CAPSULA PILAO 104G 20 CAPSULAS ESPRESSO 12</t>
  </si>
  <si>
    <t>CAPSULA PILAO 104G 20 CAPSULAS LUNGO 8</t>
  </si>
  <si>
    <t>CAPSULA PILAO 52G C/10 ESPRESSO 10</t>
  </si>
  <si>
    <t>CAPSULA PILAO 52G C/10 ESPRESSO 12</t>
  </si>
  <si>
    <t>CAPSULA PILAO 52G C/10 ESPRESSO 7</t>
  </si>
  <si>
    <t>CAPSULA PILAO 52G C/10 EXTREMO</t>
  </si>
  <si>
    <t>CAPSULA PILAO 52G C/10 LUNGO 10</t>
  </si>
  <si>
    <t>CAPSULA PILAO 52G C/10 LUNGO 8</t>
  </si>
  <si>
    <t>CAPSULA STARBUCKS DOLCE GUSTO C/10 CARAMEL MACCH</t>
  </si>
  <si>
    <t>CAPSULA STARBUCKS DOLCE GUSTO C/10 HOUSE BLEND</t>
  </si>
  <si>
    <t>CAPSULA STARBUCKS DOLCE GUSTO C/10 SINGLE ORIGIN</t>
  </si>
  <si>
    <t>CAPSULA STARBUCKS NESPRESSO 53G PIKE P LUNG</t>
  </si>
  <si>
    <t>CAPSULA STARBUCKS NESPRESSO 55G CAFE VERONA</t>
  </si>
  <si>
    <t>CAPSULA STARBUCKS NESPRESSO 57G COLOMBIA</t>
  </si>
  <si>
    <t>CAPSULA STARBUCKS NESPRESSO 57G ESPR ROAST</t>
  </si>
  <si>
    <t>CARGA BARBEAR DR JONES THE RAZOR 4</t>
  </si>
  <si>
    <t>CARGA BARBEAR DR JONES THE RAZOR 6 4UN THE RAZOR 6</t>
  </si>
  <si>
    <t>CARNE SECA DESFIADO VAPZA 400G</t>
  </si>
  <si>
    <t>CARNE VEGETAL SUPERBOM 400G</t>
  </si>
  <si>
    <t>CARVAO BRIQUETES ARCO IRIS 2,5KG</t>
  </si>
  <si>
    <t>CARVAO SAO PAULO 2KG</t>
  </si>
  <si>
    <t>CARVAO SAO PAULO 4KG</t>
  </si>
  <si>
    <t>CEBOLA ALHO E SALSA KITANO 40G</t>
  </si>
  <si>
    <t>CEBOLA CARAMELIZADA QUEENSBERRY 310G</t>
  </si>
  <si>
    <t>CEBOLA EM PO ESP &amp; SAB 40G</t>
  </si>
  <si>
    <t>CEBOLA GRANULADA ESP E SAB 50G</t>
  </si>
  <si>
    <t>CEBOLA PALHA ADKO +GOSTOSO 70G TRADICIONAL</t>
  </si>
  <si>
    <t>CEBOLA PALHA ADKO 70G TOQUE LIMAO</t>
  </si>
  <si>
    <t>CEBOLA PALHA ADKO+GOSTOSO 70G DEFUMADA</t>
  </si>
  <si>
    <t>CEBOLA PALHA ADKO+GOSTOSO 70G PICANTE</t>
  </si>
  <si>
    <t>CEBOLINHA RAIOLA CONSERVA 200G</t>
  </si>
  <si>
    <t>CEBOLINHA VERDE KITANO 5G</t>
  </si>
  <si>
    <t>CERA POLIFLOR PEROLAS 700ML INCOLOR</t>
  </si>
  <si>
    <t>CERA POLIFLOR PRATIC 750ML INCOLOR</t>
  </si>
  <si>
    <t>CEREAL CRUNCH 120G</t>
  </si>
  <si>
    <t>CEREAL CRUNCH 230G</t>
  </si>
  <si>
    <t>CEREAL INF MUCILON 180G ARROZ/AVEIA</t>
  </si>
  <si>
    <t>CEREAL INF MUCILON 180G MULTCEREAIS</t>
  </si>
  <si>
    <t>CEREAL INF MUCILON 180G SACHE ARROZ</t>
  </si>
  <si>
    <t>CEREAL INF MUCILON 180G SACHE MILHO</t>
  </si>
  <si>
    <t>CEREAL INF MUCILON 360G ARROZ</t>
  </si>
  <si>
    <t>CEREAL INF MUCILON 360G ARROZ/AVEIA</t>
  </si>
  <si>
    <t>CEREAL INF MUCILON 360G MILHO</t>
  </si>
  <si>
    <t>CEREAL INF MUCILON 360G MULTICEREAIS</t>
  </si>
  <si>
    <t>CEREAL INF MUCILON 400G ARZ E AVEIA 8MS</t>
  </si>
  <si>
    <t>CEREAL INF MUCILON 400G MILHO 6 MESES</t>
  </si>
  <si>
    <t>CEREAL INF NESTON 210G SACHE AVEIA/FIBRA/CER</t>
  </si>
  <si>
    <t>CEREAL INF NESTON 360G AVEIA/FIB/CE</t>
  </si>
  <si>
    <t>CEREAL MATINAL BIO2 ORG 200G VEGAN CACAU E CARAMEL</t>
  </si>
  <si>
    <t>CEREAL MATINAL BIO2 ORG 200G VEGAN CENOURA, BETERR</t>
  </si>
  <si>
    <t>CEREAL MATINAL CHOCO KRISPIS 200G</t>
  </si>
  <si>
    <t>CEREAL MATINAL CORN FLAKES 190G</t>
  </si>
  <si>
    <t>CEREAL MATINAL FROOT LOOPS 230G FRUT</t>
  </si>
  <si>
    <t>CEREAL MATINAL KELLOGGS 200G CORN FLAKES</t>
  </si>
  <si>
    <t>CEREAL MATINAL KELLOGGS MUSLI 270G CHOC</t>
  </si>
  <si>
    <t>CEREAL MATINAL KELLOGGS MUSLI 270G MACA/PASSAS</t>
  </si>
  <si>
    <t>CEREAL MATINAL KITKAT 210G</t>
  </si>
  <si>
    <t>CEREAL MATINAL MOCA FLAKES 120G</t>
  </si>
  <si>
    <t>CEREAL MATINAL MOCA FLAKES 230G</t>
  </si>
  <si>
    <t>CEREAL MATINAL NEGRESCO 200G CHOCO/BAUNILHA</t>
  </si>
  <si>
    <t>CEREAL MATINAL NESCAU 120G</t>
  </si>
  <si>
    <t>CEREAL MATINAL NESCAU 170G EXTRA CACAU</t>
  </si>
  <si>
    <t>CEREAL MATINAL NESCAU 210G DUO</t>
  </si>
  <si>
    <t>CEREAL MATINAL NESCAU 770G</t>
  </si>
  <si>
    <t>CEREAL MATINAL NESFIT 220G ORIGINAL</t>
  </si>
  <si>
    <t>CEREAL MATINAL NESTLE KITKAT 90G</t>
  </si>
  <si>
    <t>CEREAL MATINAL SNOW FLAKES 120G</t>
  </si>
  <si>
    <t>CEREAL MATINAL SNOW FLAKES 210G STARS</t>
  </si>
  <si>
    <t>CEREAL MATINAL SNOW FLAKES 230G</t>
  </si>
  <si>
    <t>CEREAL MATINAL SNOW FLAKES 620G</t>
  </si>
  <si>
    <t>CEREAL MATINAL SUCRILHOS 170G ORIG MENOS ACUCAR</t>
  </si>
  <si>
    <t>CEREAL MATINAL SUCRILHOS 240G CHOCO</t>
  </si>
  <si>
    <t>CEREAL MATINAL SUCRILHOS 240G ORIG</t>
  </si>
  <si>
    <t>CEREAL MATINAL SUCRILHOS 690G ORIGINAL</t>
  </si>
  <si>
    <t>CEREAL NESTLE NESCAU 210G</t>
  </si>
  <si>
    <t>CEREAL ORG NATIVE 250G MULTI GRAIN</t>
  </si>
  <si>
    <t>CEREAL ORG NATIVE 300G CORN FLAKES</t>
  </si>
  <si>
    <t>CEREAL ORG NATIVE 300G FIBRAS</t>
  </si>
  <si>
    <t>CEREJA EM CALDA RAIOLA 125G MARASCHINO</t>
  </si>
  <si>
    <t>CERV PATAGONIA BOHEMIAN PILSENER 350ML LT</t>
  </si>
  <si>
    <t>CERVEJA AMSTEL LTA 269ML</t>
  </si>
  <si>
    <t>CERVEJA AMSTEL PREMIUM LAGER LTA 350ML</t>
  </si>
  <si>
    <t>CERVEJA AMSTEL ULTRA LN 275ML</t>
  </si>
  <si>
    <t>CERVEJA AMSTEL ULTRA LT 269ML</t>
  </si>
  <si>
    <t>CERVEJA BADEN 350ML IPA MARACUJA</t>
  </si>
  <si>
    <t>CERVEJA BADEN 350ML PILSEN CRISTAL</t>
  </si>
  <si>
    <t>CERVEJA BADEN 350ML WITBIER COENTRO</t>
  </si>
  <si>
    <t>CERVEJA BADEN 600ML AMERICAN IPA</t>
  </si>
  <si>
    <t>CERVEJA BADEN 600ML CRISTAL</t>
  </si>
  <si>
    <t>CERVEJA BADEN 600ML GOLDEN</t>
  </si>
  <si>
    <t>CERVEJA BADEN 600ML WITBIER</t>
  </si>
  <si>
    <t>CERVEJA BADEN GOLDEN LTA 350ML</t>
  </si>
  <si>
    <t>CERVEJA BAVARIA LT 350ML</t>
  </si>
  <si>
    <t>CERVEJA BECKS LATA 350ML</t>
  </si>
  <si>
    <t>CERVEJA BECKS LONG NECK 330ML</t>
  </si>
  <si>
    <t>CERVEJA BECKS PURO MALTE LN 600ML</t>
  </si>
  <si>
    <t>CERVEJA BLACK PRINCESS 600ML APA</t>
  </si>
  <si>
    <t>CERVEJA BLACK PRINCESS 600ML DOCTOR WEISS</t>
  </si>
  <si>
    <t>CERVEJA BLACK PRINCESS 600ML GOLD ESCURA</t>
  </si>
  <si>
    <t>CERVEJA BLACK PRINCESS 600ML LETS HOP IPA</t>
  </si>
  <si>
    <t>CERVEJA BLACK PRINCESS 600ML MISS BLONDE</t>
  </si>
  <si>
    <t>CERVEJA BLACK PRINCESS 600ML TIAO BOCK</t>
  </si>
  <si>
    <t>CERVEJA BLACK PRINCESS 600ML TO THE RED</t>
  </si>
  <si>
    <t>CERVEJA BLACK PRINCESS GOLD 330ML PURO MALT</t>
  </si>
  <si>
    <t>CERVEJA BLACK PRINCESS GOLD 350ML PURO MALTE</t>
  </si>
  <si>
    <t>CERVEJA BLUE MOON BELGIAN WHITE 355ML</t>
  </si>
  <si>
    <t>CERVEJA BLUE MOON BELGIAN WHITE LTA 350ML</t>
  </si>
  <si>
    <t>CERVEJA BOHEMIA LTA 269ML</t>
  </si>
  <si>
    <t>CERVEJA BRAHMA LT 269ML DUPLO MALTE</t>
  </si>
  <si>
    <t>CERVEJA BRAHMA LTA 269ML</t>
  </si>
  <si>
    <t>CERVEJA BRAHMA ZERO LTA 350ML</t>
  </si>
  <si>
    <t>CERVEJA BUDWEISER 330ML</t>
  </si>
  <si>
    <t>CERVEJA BUDWEISER 330ML Z/ALCOOL</t>
  </si>
  <si>
    <t>CERVEJA BUDWEISER LT 269ML</t>
  </si>
  <si>
    <t>CERVEJA BUDWEISER LT 350ML Z/ALCOOL</t>
  </si>
  <si>
    <t>CERVEJA CACILDIS 350ML</t>
  </si>
  <si>
    <t>CERVEJA CACILDIS LN 330ML</t>
  </si>
  <si>
    <t>CERVEJA CARACU LTA 350ML</t>
  </si>
  <si>
    <t>CERVEJA COLORADO 350ML LT APPIA</t>
  </si>
  <si>
    <t>CERVEJA COLORADO 350ML LT LAGER</t>
  </si>
  <si>
    <t>CERVEJA COLORADO 355ML RIBEIRAO LAGER</t>
  </si>
  <si>
    <t>CERVEJA COLORADO 600ML APPIA</t>
  </si>
  <si>
    <t>CERVEJA COLORADO 600ML DEMOISELLE</t>
  </si>
  <si>
    <t>CERVEJA COLORADO 600ML INDICA</t>
  </si>
  <si>
    <t>CERVEJA COLORADO 600ML RIBEIRAO LAGER</t>
  </si>
  <si>
    <t>CERVEJA CORONA CERO SUNBREW LN 330ML ZERO</t>
  </si>
  <si>
    <t>CERVEJA CORONA CERO SUNBREW LT 350ML Z/ALCOOL</t>
  </si>
  <si>
    <t>CERVEJA CORONA EXTRA LN 330ML</t>
  </si>
  <si>
    <t>CERVEJA CORONA EXTRA LT 269ML</t>
  </si>
  <si>
    <t>CERVEJA CORONA EXTRA LT 350ML</t>
  </si>
  <si>
    <t>CERVEJA DAMA BIER 250 PILSEN 600ML</t>
  </si>
  <si>
    <t>CERVEJA DAMA BIER AMERICAN IPA 600ML</t>
  </si>
  <si>
    <t>CERVEJA DAMA BIER AMERICAN LAGER 600ML</t>
  </si>
  <si>
    <t>CERVEJA DAMA BIER APA QI 600ML</t>
  </si>
  <si>
    <t>CERVEJA DAMA BIER PILSEN 600ML</t>
  </si>
  <si>
    <t>CERVEJA DAMA BIER SOUR FRUIT 355ML ABACAXI</t>
  </si>
  <si>
    <t>CERVEJA DAMA BIER SOUR FRUIT 355ML MARACUJA</t>
  </si>
  <si>
    <t>CERVEJA DAMA BIER SOUR FRUIT 355ML TANGERINA</t>
  </si>
  <si>
    <t>CERVEJA DAMA BIER STOUT 600ML</t>
  </si>
  <si>
    <t>CERVEJA DAMA BIER TUPI 600ML</t>
  </si>
  <si>
    <t>CERVEJA DAMA BIER WEISS 600ML</t>
  </si>
  <si>
    <t>CERVEJA DAMA BIER YOUNG 600ML</t>
  </si>
  <si>
    <t>CERVEJA EISENBAHN 350ML IPA</t>
  </si>
  <si>
    <t>CERVEJA EISENBAHN 350ML PALE ALE</t>
  </si>
  <si>
    <t>CERVEJA EISENBAHN 355ML IPA</t>
  </si>
  <si>
    <t>CERVEJA EISENBAHN 355ML PALE ALE</t>
  </si>
  <si>
    <t>CERVEJA EISENBAHN 355ML WEIZENBIER</t>
  </si>
  <si>
    <t>CERVEJA EISENBAHN LN 355ML UNIFILTERED</t>
  </si>
  <si>
    <t>CERVEJA EISENBAHN LT 350ML UNFILTERED</t>
  </si>
  <si>
    <t>CERVEJA EISENBAHN PILSEN 355ML</t>
  </si>
  <si>
    <t>CERVEJA EISENBAHN PILSEN LT 269ML</t>
  </si>
  <si>
    <t>CERVEJA EISENBAHN PILSEN LT 350ML</t>
  </si>
  <si>
    <t>CERVEJA ERDINGER HELLES 500ML</t>
  </si>
  <si>
    <t>CERVEJA ERDINGER LT TRAD 500ML</t>
  </si>
  <si>
    <t>CERVEJA ERDINGER URWEISSE 500ML</t>
  </si>
  <si>
    <t>CERVEJA ERDINGER WEIBBIER 500ML MIT HEFE</t>
  </si>
  <si>
    <t>CERVEJA ERDINGER WEIBBIER 500ML PIKANTUS</t>
  </si>
  <si>
    <t>CERVEJA ERDINGER WEISSBIER DUNKEL 500ML</t>
  </si>
  <si>
    <t>CERVEJA ESTRELLA GALICIA 600ML PURO MALTE</t>
  </si>
  <si>
    <t>CERVEJA ESTRELLA GALICIA LN 355ML</t>
  </si>
  <si>
    <t>CERVEJA ESTRELLA GALICIA PILSEN 350ML</t>
  </si>
  <si>
    <t>CERVEJA ESTRELLA GALICIA PURO MALTE 269ML</t>
  </si>
  <si>
    <t>CERVEJA ESTRELLA GALICIA Z/ALCOOL 330ML</t>
  </si>
  <si>
    <t>CERVEJA GOOSE ISLAND MIDWAY 355ML</t>
  </si>
  <si>
    <t>CERVEJA HB HOFBRAU ORIGINAL 500ML</t>
  </si>
  <si>
    <t>CERVEJA HEINEKEN LN 250ML</t>
  </si>
  <si>
    <t>CERVEJA HEINEKEN LN 330ML</t>
  </si>
  <si>
    <t>CERVEJA HEINEKEN LN 330ML Z/ALCOOL</t>
  </si>
  <si>
    <t>CERVEJA HEINEKEN LT 350ML Z/ALCOOL</t>
  </si>
  <si>
    <t>CERVEJA HEINEKEN LTA 350ML</t>
  </si>
  <si>
    <t>CERVEJA HEINEKEN PILSEN LTA 350ML</t>
  </si>
  <si>
    <t>CERVEJA HEINEKEN PURO MALTE 269ML Z/ALCOOL</t>
  </si>
  <si>
    <t>CERVEJA HEINEKEN PURO MALTE 600ML</t>
  </si>
  <si>
    <t>CERVEJA HEINEKEN PURO MALTE LTA 269ML</t>
  </si>
  <si>
    <t>CERVEJA HOEGAARDEN WHITE ONE WAY 330ML</t>
  </si>
  <si>
    <t>CERVEJA HOLLANDIA PREMIUM 500ML LT</t>
  </si>
  <si>
    <t>CERVEJA ITAIPAVA LTA 269ML</t>
  </si>
  <si>
    <t>CERVEJA ITAIPAVA LTA 350ML</t>
  </si>
  <si>
    <t>CERVEJA ITAIPAVA MALZBIER LONG NECK 330ML</t>
  </si>
  <si>
    <t>CERVEJA ITAIPAVA MALZBIER LT 350ML</t>
  </si>
  <si>
    <t>CERVEJA ITAIPAVA PILSEN 473ML</t>
  </si>
  <si>
    <t>CERVEJA ITAIPAVA S/ALCOOL LONG NECK 330ML</t>
  </si>
  <si>
    <t>CERVEJA ITAIPAVA S/ALCOOL LTA 350ML</t>
  </si>
  <si>
    <t>CERVEJA KAISER LTA 350ML</t>
  </si>
  <si>
    <t>CERVEJA LA MILNUEVE 1906 PURO MALTE 355ML</t>
  </si>
  <si>
    <t>CERVEJA LAGUNITAS IPA 355ML</t>
  </si>
  <si>
    <t>CERVEJA LAGUNITAS IPA LTA 350ML</t>
  </si>
  <si>
    <t>CERVEJA LEOPOLDINA 500ML BOHEMIAN PILSEN</t>
  </si>
  <si>
    <t>CERVEJA LEOPOLDINA 500ML INDIA PALE</t>
  </si>
  <si>
    <t>CERVEJA LEOPOLDINA 500ML PILSENE EX</t>
  </si>
  <si>
    <t>CERVEJA LEOPOLDINA 500ML WEISSBIER</t>
  </si>
  <si>
    <t>CERVEJA LEOPOLDINA 500ML WITBIER</t>
  </si>
  <si>
    <t>CERVEJA MALZBIER BRAHMA LTA 350ML</t>
  </si>
  <si>
    <t>CERVEJA MICHELOB LN 330ML</t>
  </si>
  <si>
    <t>CERVEJA MICHELOB ULTRA SLEEK LT 350ML</t>
  </si>
  <si>
    <t>CERVEJA NOVA SCHIN LTA 269ML</t>
  </si>
  <si>
    <t>CERVEJA ORIGINAL 269ML</t>
  </si>
  <si>
    <t>CERVEJA ORIGINAL ANTARCTICA 600ML</t>
  </si>
  <si>
    <t>CERVEJA ORIGINAL ANTARCTICA LATA 350ML</t>
  </si>
  <si>
    <t>CERVEJA PATAGONIA AMBER LAGER 350ML LT</t>
  </si>
  <si>
    <t>CERVEJA PATAGONIA AMBER LAGER LN 355ML</t>
  </si>
  <si>
    <t>CERVEJA PATAGONIA BOHEMIAN PILSENER 355ML</t>
  </si>
  <si>
    <t>CERVEJA PATAGONIA IPA 350ML LT</t>
  </si>
  <si>
    <t>CERVEJA PATAGONIA WEISSE 350ML LT</t>
  </si>
  <si>
    <t>CERVEJA PATAGONIA WEISSE LN 355ML</t>
  </si>
  <si>
    <t>CERVEJA PATAGONIA WEISSE ONE WAY 740ML</t>
  </si>
  <si>
    <t>CERVEJA PAULANER DUNKEL 500ML</t>
  </si>
  <si>
    <t>CERVEJA PAULANER WEISSBIER NATURTRUB 500ML</t>
  </si>
  <si>
    <t>CERVEJA PAULISTANIA LAGER MARCO ZER 600ML</t>
  </si>
  <si>
    <t>CERVEJA PETRA 330ML LN ESCURA</t>
  </si>
  <si>
    <t>CERVEJA PETRA AURUM 500ML</t>
  </si>
  <si>
    <t>CERVEJA PETRA LN 330ML PURO MALTE</t>
  </si>
  <si>
    <t>CERVEJA PETRA LT 269ML PURO MALTE</t>
  </si>
  <si>
    <t>CERVEJA PETRA LT 350ML PURO MALTE</t>
  </si>
  <si>
    <t>CERVEJA PETRA PREMIUM 350ML LT</t>
  </si>
  <si>
    <t>CERVEJA PETRA SCHWARZBIER 500ML</t>
  </si>
  <si>
    <t>CERVEJA PETRA STARK 500ML</t>
  </si>
  <si>
    <t>CERVEJA PRAYA ORIGINAL LN 355ML</t>
  </si>
  <si>
    <t>CERVEJA PRAYA ORIGINAL LN 600ML</t>
  </si>
  <si>
    <t>CERVEJA PRAYA PURO MALTE LAGER LN 355ML</t>
  </si>
  <si>
    <t>CERVEJA SERRAMALTE 350ML</t>
  </si>
  <si>
    <t>CERVEJA SKOL LTA 269ML</t>
  </si>
  <si>
    <t>CERVEJA SKOL LTA 269ML C/15</t>
  </si>
  <si>
    <t>CERVEJA SKOL LTA 350ML</t>
  </si>
  <si>
    <t>CERVEJA SKOL PIILSEN 473ML</t>
  </si>
  <si>
    <t>CERVEJA SOL 330ML</t>
  </si>
  <si>
    <t>CERVEJA SOL PILSEN 600ML</t>
  </si>
  <si>
    <t>CERVEJA SOL PREMIUM 330ML ZERO</t>
  </si>
  <si>
    <t>CERVEJA SPATEN MUNICH 269ML LT PURO MALTE</t>
  </si>
  <si>
    <t>CERVEJA SPATEN MUNICH 330ML PURO MALTE</t>
  </si>
  <si>
    <t>CERVEJA SPATEN MUNICH 350ML PURO MALTE</t>
  </si>
  <si>
    <t>CERVEJA SPATEN MUNICH 600ML PURO MALTE</t>
  </si>
  <si>
    <t>CERVEJA STELLA ARTOIS 350ML</t>
  </si>
  <si>
    <t>CERVEJA STELLA ARTOIS 600ML</t>
  </si>
  <si>
    <t>CERVEJA STELLA ARTOIS LN 330ML</t>
  </si>
  <si>
    <t>CERVEJA STELLA ARTOIS LT 269ML</t>
  </si>
  <si>
    <t>CERVEJA STELLA ARTOIS PURE GOLD LN 330ML</t>
  </si>
  <si>
    <t>CERVEJA THEREZOPOLIS DUNKEL 500ML</t>
  </si>
  <si>
    <t>CERVEJA THEREZOPOLIS GOLD 500ML</t>
  </si>
  <si>
    <t>CERVEJA THEREZOPOLIS GOLD LAGER P/ MALTE LT 350ML</t>
  </si>
  <si>
    <t>CERVEJA THEREZOPOLIS GOLD PREMIUM LAGER LN 355ML</t>
  </si>
  <si>
    <t>CERVEJA THEREZOPOLIS IPA 500ML</t>
  </si>
  <si>
    <t>CERVEJA THEREZOPOLIS WEISSIBIER 500ML</t>
  </si>
  <si>
    <t>CERVEJA VOLD X S/GLUTEN 269ML</t>
  </si>
  <si>
    <t>CEVADA SUPERBOM 500G</t>
  </si>
  <si>
    <t>CHA BRANCO CASA MADEIRA 500ML PESSEGO</t>
  </si>
  <si>
    <t>CHA CAMPO LARGO 900ML ZERO HIB/CRAN</t>
  </si>
  <si>
    <t>CHA LEAO 1,5L NATURAL</t>
  </si>
  <si>
    <t>CHA LEAO 1,5L PESSEGO</t>
  </si>
  <si>
    <t>CHA LEAO 1,5L ZERO NATURAL</t>
  </si>
  <si>
    <t>CHA LEAO 10G BOLDO DO CHILE</t>
  </si>
  <si>
    <t>CHA LEAO 10G CAMOMILA</t>
  </si>
  <si>
    <t>CHA LEAO 10G CIDREIRA</t>
  </si>
  <si>
    <t>CHA LEAO 10G HORTELA</t>
  </si>
  <si>
    <t>CHA LEAO 15G CAMOMILA</t>
  </si>
  <si>
    <t>CHA LEAO 15G CAPIM CIDREIRA</t>
  </si>
  <si>
    <t>CHA LEAO 15G HORTELA</t>
  </si>
  <si>
    <t>CHA LEAO 16G CAM/CID/MARAC</t>
  </si>
  <si>
    <t>CHA LEAO 16G CAPIM CID/LAR/LIM</t>
  </si>
  <si>
    <t>CHA LEAO 16G ERVA DOCE</t>
  </si>
  <si>
    <t>CHA LEAO 16G FRUTAS VERMELHAS</t>
  </si>
  <si>
    <t>CHA LEAO 16G FUNCIONAL RECARREGA</t>
  </si>
  <si>
    <t>CHA LEAO 16G FUNCIONAL RELAXA</t>
  </si>
  <si>
    <t>CHA LEAO 16G GENGIBRE E ESPECIARIAS</t>
  </si>
  <si>
    <t>CHA LEAO 16G HIB/ROSA SILV/AMORA</t>
  </si>
  <si>
    <t>CHA LEAO 16G MACA</t>
  </si>
  <si>
    <t>CHA LEAO 16G MORANGO</t>
  </si>
  <si>
    <t>CHA LEAO 16G PRETO</t>
  </si>
  <si>
    <t>CHA LEAO 18G FUNCIONAL REEQUILIBRA</t>
  </si>
  <si>
    <t>CHA LEAO 20G ACAI+GUARANA</t>
  </si>
  <si>
    <t>CHA LEAO 20G FUNCIONAL REANIMA</t>
  </si>
  <si>
    <t>CHA LEAO 20G LARANJA+CENOURA</t>
  </si>
  <si>
    <t>CHA LEAO 20G MACA C/CANELA</t>
  </si>
  <si>
    <t>CHA LEAO 20G MEL/GENG/CURCUM</t>
  </si>
  <si>
    <t>CHA LEAO 20G VITAMINA C LARANJA</t>
  </si>
  <si>
    <t>CHA LEAO 22G AMORA/MIRT/BAUN</t>
  </si>
  <si>
    <t>CHA LEAO 22G MARAC/LAR/GENG</t>
  </si>
  <si>
    <t>CHA LEAO 23G COLD BREW ICE TEA/LIMAO</t>
  </si>
  <si>
    <t>CHA LEAO 23G COLD BREW MOR/LAR</t>
  </si>
  <si>
    <t>CHA LEAO 24G ERVA DOCE</t>
  </si>
  <si>
    <t>CHA LEAO 25G COLD BREW ABACAXI HORTELA</t>
  </si>
  <si>
    <t>CHA LEAO 25G COLD BREW GROSELHA NEGRA</t>
  </si>
  <si>
    <t>CHA LEAO 25G COLD BREW PESSEGO</t>
  </si>
  <si>
    <t>CHA LEAO 25G COLD BREW PR/FR VERMELHAS</t>
  </si>
  <si>
    <t>CHA LEAO 25G COLD BREW VER/GEN/LIM</t>
  </si>
  <si>
    <t>CHA LEAO 290ML C/GAS LIMAO</t>
  </si>
  <si>
    <t>CHA LEAO BRANCO 1,5L ZERO LICHIA</t>
  </si>
  <si>
    <t>CHA LEAO BRANCO 450ML ZERO LICHIA</t>
  </si>
  <si>
    <t>CHA LEAO FASES 20G CICLO SUAVE</t>
  </si>
  <si>
    <t>CHA LEAO FASES 20G MAMAE SERENA</t>
  </si>
  <si>
    <t>CHA LEAO FASES 20G MENOPAUSA</t>
  </si>
  <si>
    <t>CHA LEAO FASES 20G XO TPM</t>
  </si>
  <si>
    <t>CHA LEAO FUZE 1,5L LIMAO</t>
  </si>
  <si>
    <t>CHA LEAO FUZE 1,5L PESSEGO</t>
  </si>
  <si>
    <t>CHA LEAO FUZE 1,5L ZERO LIMAO</t>
  </si>
  <si>
    <t>CHA LEAO FUZE 1,5L ZERO PESSEGO</t>
  </si>
  <si>
    <t>CHA LEAO FUZE 24G CAMO CIDRE MARA</t>
  </si>
  <si>
    <t>CHA LEAO FUZE 450ML LIMAO</t>
  </si>
  <si>
    <t>CHA LEAO FUZE 450ML PESSEGO</t>
  </si>
  <si>
    <t>CHA LEAO FUZE 450ML ZERO LIMAO</t>
  </si>
  <si>
    <t>CHA LEAO FUZE 450ML ZERO PESSEGO</t>
  </si>
  <si>
    <t>CHA LEAO NATURAL 1,5L C/LIMAO</t>
  </si>
  <si>
    <t>CHA LEAO SENSES 22G AMO/MIR/BAU</t>
  </si>
  <si>
    <t>CHA LEAO SENSES 22G MAR/LAR/GENG</t>
  </si>
  <si>
    <t>CHA LEAO VERDE 1,5L ZERO LIMAO</t>
  </si>
  <si>
    <t>CHA LEAO VERDE 450ML ZERO LIMAO</t>
  </si>
  <si>
    <t>CHA LEAOZINHO 23G FRANB/AMORA</t>
  </si>
  <si>
    <t>CHA LEAOZINHO 23G LARANJA ROSA</t>
  </si>
  <si>
    <t>CHA LEAOZINHO 23G MOR/MARACUJA</t>
  </si>
  <si>
    <t>CHA LIPTON 1,5L LIMAO</t>
  </si>
  <si>
    <t>CHA MATE BAER MATE 269ML C/GAS CAFEINA</t>
  </si>
  <si>
    <t>CHA MATE BAER MATE 350ML C/GAS CAFEINA</t>
  </si>
  <si>
    <t>CHA MATTE LEAO 1,5L ZERO LIMAO</t>
  </si>
  <si>
    <t>CHA MATTE LEAO 100G</t>
  </si>
  <si>
    <t>CHA MATTE LEAO 250G</t>
  </si>
  <si>
    <t>CHA MATTE LEAO 290ML C/GAS LIMAO</t>
  </si>
  <si>
    <t>CHA MATTE LEAO 30G C/CANELA</t>
  </si>
  <si>
    <t>CHA MATTE LEAO 30G C/LIMAO</t>
  </si>
  <si>
    <t>CHA MATTE LEAO 40G NATURAL</t>
  </si>
  <si>
    <t>CHA MATTE LEAO 450ML LIMAO</t>
  </si>
  <si>
    <t>CHA MATTE LEAO 450ML NATURAL</t>
  </si>
  <si>
    <t>CHA PRETO CASA MADEIRA 500ML CARVALHO/LIMAO</t>
  </si>
  <si>
    <t>CHA PRETO CASA MADEIRA 500ML CRANBERRY/HIBI</t>
  </si>
  <si>
    <t>CHA PURO VERDE 350ML ENERGY</t>
  </si>
  <si>
    <t>CHA PURO VERDE 350ML HIBIS/GENGIBRE</t>
  </si>
  <si>
    <t>CHA PURO VERDE 350ML RELAX</t>
  </si>
  <si>
    <t>CHA TWININGS 10G CAMOMILA</t>
  </si>
  <si>
    <t>CHA TWININGS 15G CAM/MEL/BAU</t>
  </si>
  <si>
    <t>CHA TWININGS 15G LIM C/GENG</t>
  </si>
  <si>
    <t>CHA TWININGS 15G LIMAO/FRAMB</t>
  </si>
  <si>
    <t>CHA TWININGS 15G MOR/MANGA</t>
  </si>
  <si>
    <t>CHA TWININGS 17,5G HORTELA</t>
  </si>
  <si>
    <t>CHA TWININGS 18G LAR/MAN/CAN</t>
  </si>
  <si>
    <t>CHA TWININGS 20G EN BREAKFAS</t>
  </si>
  <si>
    <t>CHA TWININGS 20G ERVA DOCE NACIONAL</t>
  </si>
  <si>
    <t>CHA TWININGS 20G FRUT VERMELHAS</t>
  </si>
  <si>
    <t>CHA TWININGS 20G FRUTAS SILV</t>
  </si>
  <si>
    <t>CHA TWININGS PRETO 20G EARL GREY</t>
  </si>
  <si>
    <t>CHA VERDE CAMPO LARGO 900ML CAP/LIM/ABACAXI</t>
  </si>
  <si>
    <t>CHA VERDE CAMPO LARGO 900ML GEN/LIM ZERO</t>
  </si>
  <si>
    <t>CHA VERDE CASA MADEIRA 500ML LIMAO SIC/ALECR</t>
  </si>
  <si>
    <t>CHA VERDE ESP E SAB 20G</t>
  </si>
  <si>
    <t>CHA VERDE LEAO 16G NATURAL</t>
  </si>
  <si>
    <t>CHA VERDE TWININGS 20G HORTELA</t>
  </si>
  <si>
    <t>CHA YAMAMOTOYAMA 30G VERDE</t>
  </si>
  <si>
    <t>CHAMPIGNON FATIADO RAIOLA 100G</t>
  </si>
  <si>
    <t>CHAMPIGNON INTEIRO RAIOLA 100G</t>
  </si>
  <si>
    <t>CHANTY MIX AMELIA 1L</t>
  </si>
  <si>
    <t>CHANTY MIX AMELIA 200ML</t>
  </si>
  <si>
    <t>CHIA EM GRAO VITAO 120G</t>
  </si>
  <si>
    <t>CHIA ORG NATIVE 180G</t>
  </si>
  <si>
    <t>CHICHARRO RAL SANTA RITA 410G</t>
  </si>
  <si>
    <t>CHICLETE BUBBALOO 50G MORANGO</t>
  </si>
  <si>
    <t>CHICLETE BUBBALOO 50G TUTI FRUTI</t>
  </si>
  <si>
    <t>CHICLETE LOTTE 35G MIRTILO/IOGURTE</t>
  </si>
  <si>
    <t>CHICLETE MARUKAWA 36,6G SABORES</t>
  </si>
  <si>
    <t>CHICLETE TRIDENT 32G BAG HORTELA</t>
  </si>
  <si>
    <t>CHICLETE TRIDENT 32G BAG MELANCIA</t>
  </si>
  <si>
    <t>CHICLETE TRIDENT 32G BAG MORANGO</t>
  </si>
  <si>
    <t>CHICLETE TRIDENT 32G LV+ PG- XFRESH</t>
  </si>
  <si>
    <t>CHICLETE TRIDENT 8G CANELA</t>
  </si>
  <si>
    <t>CHICLETE TRIDENT 8G HORTELA</t>
  </si>
  <si>
    <t>CHICLETE TRIDENT 8G MELANCIA</t>
  </si>
  <si>
    <t>CHICLETE TRIDENT 8G MENTA</t>
  </si>
  <si>
    <t>CHICLETE TRIDENT 8G MORANGO</t>
  </si>
  <si>
    <t>CHICLETE TRIDENT 8G TUTTI FRUTTI</t>
  </si>
  <si>
    <t>CHICLETE TRIDENT MAX 16,5G HORTELA FRESCA</t>
  </si>
  <si>
    <t>CHICLETE TRIDENT X SENSES 54G MORAN/LIME</t>
  </si>
  <si>
    <t>CHICLETE TRIDENT X SENSES 54G PEPPERMINT</t>
  </si>
  <si>
    <t>CHIMARRAO LEAO 1KG</t>
  </si>
  <si>
    <t>CHIMICHURRI BOMBAY 30G</t>
  </si>
  <si>
    <t>CHIMICHURRI ESP E SAB 30G</t>
  </si>
  <si>
    <t>CHIMICHURRI KITANO 12G</t>
  </si>
  <si>
    <t>CHIMICHURRY ARGENTINA ESP E SAB 30G</t>
  </si>
  <si>
    <t>CHIMICHURRY QUENTE ESP E SAB 30G</t>
  </si>
  <si>
    <t>CHIPS ARROZ INT NATURAL LIFE 70G S/G CEB/SALSA</t>
  </si>
  <si>
    <t>CHIPS ARROZ INT NATURAL LIFE 70G S/G MOST/MEL</t>
  </si>
  <si>
    <t>CHIPS ARROZ INT NATURAL LIFE 70G S/G QJO NACHO</t>
  </si>
  <si>
    <t>CHIPS HUNTERS GOURMET 125G SAL MARINHO</t>
  </si>
  <si>
    <t>CHIPS HUNTERS GOURMET 125G SAL MARINHO/PIMENTA</t>
  </si>
  <si>
    <t>CHIPS HUNTERS GOURMET 125G SMOKEHOUSE BARB</t>
  </si>
  <si>
    <t>CHIPS HUNTERS GOURMET 125G TRUFAS NEGRAS</t>
  </si>
  <si>
    <t>CHOC BATON 16G AO LEITE</t>
  </si>
  <si>
    <t>CHOC CAILLER 100G 27% CACAU AO LTE C/AMENDOA</t>
  </si>
  <si>
    <t>CHOC CAILLER 100G 31% CACAU AO LTE</t>
  </si>
  <si>
    <t>CHOC CAILLER 100G 46% CACAU AMARGO</t>
  </si>
  <si>
    <t>CHOC CHOCO SOY 62G MAIS</t>
  </si>
  <si>
    <t>CHOC COBERT DR OETKER 350G AMARGO</t>
  </si>
  <si>
    <t>CHOC COBERT DR OETKER 350G AO LEITE</t>
  </si>
  <si>
    <t>CHOC COBERT DR OETKER 350G BRANCO</t>
  </si>
  <si>
    <t>CHOC COELHO DIVINE 100G 37% CACAU AO LEITE</t>
  </si>
  <si>
    <t>CHOC COELHO KINDER 45G CHOC LEITE</t>
  </si>
  <si>
    <t>CHOC COELHO LINDT GOLD 10G AO LEITE</t>
  </si>
  <si>
    <t>CHOC COELHO LINDT GOLDHASE 100G AO LEITE</t>
  </si>
  <si>
    <t>CHOC COELHO LINDT GOLDHASE 100G BRANCO</t>
  </si>
  <si>
    <t>CHOC CULINA LINEA 250G DARK</t>
  </si>
  <si>
    <t>CHOC DISQUETI 100G BRANCO</t>
  </si>
  <si>
    <t>CHOC DISQUETI 120G AMENDOIM</t>
  </si>
  <si>
    <t>CHOC DISQUETI 120G AO LEITE</t>
  </si>
  <si>
    <t>CHOC DIVINE 100G 80% CACAU ZERO C/CASTANHA CAJU</t>
  </si>
  <si>
    <t>CHOC DIVINE 100G 85% CACAU C/NIBS</t>
  </si>
  <si>
    <t>CHOC DIVINE 70G 30% CACAU ZERO BRANCO</t>
  </si>
  <si>
    <t>CHOC DIVINE 70G 37% CACAU AO LEITE</t>
  </si>
  <si>
    <t>CHOC DIVINE 70G 37% CACAU CAJUNUT</t>
  </si>
  <si>
    <t>CHOC DIVINE 70G 37% CACAU COOKIES</t>
  </si>
  <si>
    <t>CHOC DIVINE 70G 37% CACAU DIVIKREK</t>
  </si>
  <si>
    <t>CHOC DIVINE 70G 37% CACAU DIVINUT</t>
  </si>
  <si>
    <t>CHOC DIVINE 70G 37% CACAU DUE PASSIONE</t>
  </si>
  <si>
    <t>CHOC DIVINE 70G 37% CACAU ZERO</t>
  </si>
  <si>
    <t>CHOC DIVINE 70G 50% CACAU MEIO AMARGO</t>
  </si>
  <si>
    <t>CHOC DIVINE 70G 50% CACAU ZERO</t>
  </si>
  <si>
    <t>CHOC DIVINE 70G 70% CACAU AMARGO</t>
  </si>
  <si>
    <t>CHOC DIVINE 70G 80% CACAU ZERO</t>
  </si>
  <si>
    <t>CHOC DIVINE 70G BRANCO</t>
  </si>
  <si>
    <t>CHOC DIVINE 90G 37% CACAU RECH AMENDOIM</t>
  </si>
  <si>
    <t>CHOC DIVINE 90G 37% CACAU RECH AVELA</t>
  </si>
  <si>
    <t>CHOC DIVINE 90G 37% CACAU RECH CARAMELO</t>
  </si>
  <si>
    <t>CHOC DIVINE 90G 37% CACAU RECH LIMAO</t>
  </si>
  <si>
    <t>CHOC DIVINE 90G 37% CACAU RECH MORANGO</t>
  </si>
  <si>
    <t>CHOC ERAMIS MARZIPAN 100G</t>
  </si>
  <si>
    <t>CHOC FERRERO ROCHER 90G BRANCO</t>
  </si>
  <si>
    <t>CHOC FERRERO ROCHER 90G DARK</t>
  </si>
  <si>
    <t>CHOC FERRERO ROCHER 90G ORIGINAL</t>
  </si>
  <si>
    <t>CHOC GAROTAO 150G AO LEITE/AMEND</t>
  </si>
  <si>
    <t>CHOC GAROTAO 150G CROCANTE</t>
  </si>
  <si>
    <t>CHOC GAROTAO 150G NEGRESCO</t>
  </si>
  <si>
    <t>CHOC GAROTO 80G AO LEITE</t>
  </si>
  <si>
    <t>CHOC GAROTO 80G CAJU PASSAS</t>
  </si>
  <si>
    <t>CHOC GAROTO 80G CASTANHA DE CAJU</t>
  </si>
  <si>
    <t>CHOC GAROTO 80G CRUNCH</t>
  </si>
  <si>
    <t>CHOC GAROTO 80G MEIO AMARGO</t>
  </si>
  <si>
    <t>CHOC GAROTO 90G CHOCOTRIO C/BONO</t>
  </si>
  <si>
    <t>CHOC GAROTO 90G CHOCOTRIO C/NEGRESCO</t>
  </si>
  <si>
    <t>CHOC GAROTO 90G CHOCOTRIO C/PRESTIGIO</t>
  </si>
  <si>
    <t>CHOC GAROTO BRANCO 80G NESGRESCO</t>
  </si>
  <si>
    <t>CHOC GAROTO COB CHOC AO LEITE 500G</t>
  </si>
  <si>
    <t>CHOC GAROTO COBERTURA MEIO AMA 500G</t>
  </si>
  <si>
    <t>CHOC GAROTO PO 200G</t>
  </si>
  <si>
    <t>CHOC GOPLANA 190G BLACKCURRANT DELIGHTS</t>
  </si>
  <si>
    <t>CHOC GUYLIAN DARK 112G AVELA 72% CACAU</t>
  </si>
  <si>
    <t>CHOC GUYLIAN THE ORIGINAL 125G AVELA</t>
  </si>
  <si>
    <t>CHOC GUYLIAN THE ORIGINAL 250G AVELA</t>
  </si>
  <si>
    <t>CHOC GUYLIAN THE ORIGINAL 65G AVELA</t>
  </si>
  <si>
    <t>CHOC HERSHEYS SYMPHONY 208G ALMOND TOFFEE</t>
  </si>
  <si>
    <t>CHOC KINDER 12,5G</t>
  </si>
  <si>
    <t>CHOC KINDER 50G</t>
  </si>
  <si>
    <t>CHOC KINDER BUENO 39G WHITE</t>
  </si>
  <si>
    <t>CHOC KINDER BUENO 43G</t>
  </si>
  <si>
    <t>CHOC KINDER C/6 BARRINHAS 75G AO LEITE</t>
  </si>
  <si>
    <t>CHOC KINDER OVO 20G MENINAS</t>
  </si>
  <si>
    <t>CHOC KINDER OVO 20G MENINOS</t>
  </si>
  <si>
    <t>CHOC KINDER OVO 40G MENINAS</t>
  </si>
  <si>
    <t>CHOC KINDER OVO 40G MENINOS SAVANA</t>
  </si>
  <si>
    <t>CHOC KINDER OVO JOY 40G MAGIC WORLD</t>
  </si>
  <si>
    <t>CHOC KINDER TRONKY 18G</t>
  </si>
  <si>
    <t>CHOC LACTA 145G TAM FAM AMARO 40% CACAU</t>
  </si>
  <si>
    <t>CHOC LACTA 145G TAM FAM AO LEITE</t>
  </si>
  <si>
    <t>CHOC LACTA 145G TAM FAM DIAMANTE NEGRO</t>
  </si>
  <si>
    <t>CHOC LACTA 34G AO LEITE</t>
  </si>
  <si>
    <t>CHOC LACTA 40G 5STAR</t>
  </si>
  <si>
    <t>CHOC LACTA 80G AMARO</t>
  </si>
  <si>
    <t>CHOC LACTA 80G AO LEITE</t>
  </si>
  <si>
    <t>CHOC LACTA 80G DIAM NEGRO/LAKA</t>
  </si>
  <si>
    <t>CHOC LACTA 80G DIAMANTE NEGRO</t>
  </si>
  <si>
    <t>CHOC LACTA 80G LAKA</t>
  </si>
  <si>
    <t>CHOC LACTA 80G LAKA OREO</t>
  </si>
  <si>
    <t>CHOC LACTA 90G OREO AO LEITE</t>
  </si>
  <si>
    <t>CHOC LACTA 98G SONHO DE VALSA</t>
  </si>
  <si>
    <t>CHOC LACTA BIS 100,8G BLACK</t>
  </si>
  <si>
    <t>CHOC LACTA BIS 100,8G BRANCO</t>
  </si>
  <si>
    <t>CHOC LACTA BIS 100,8G OREO</t>
  </si>
  <si>
    <t>CHOC LACTA BIS 100,8G ORIGINAL</t>
  </si>
  <si>
    <t>CHOC LACTA BIS 302,4G LV+ PG- ORIG</t>
  </si>
  <si>
    <t>CHOC LACTA BIS BLACK XTRA 45G</t>
  </si>
  <si>
    <t>CHOC LACTA BIS XTRA 45G OREO CHOC BCO</t>
  </si>
  <si>
    <t>CHOC LACTA BIS XTRA 45G ORIGINAL</t>
  </si>
  <si>
    <t>CHOC LACTA BISAO 201,6G AO LEITE</t>
  </si>
  <si>
    <t>CHOC LACTA BISAO 201,6G BRANCO</t>
  </si>
  <si>
    <t>CHOC LINDT 100G BEAR MILK</t>
  </si>
  <si>
    <t>CHOC LINDT 100G SWISS CLASSIC DARK</t>
  </si>
  <si>
    <t>CHOC LINDT 100G SWISS CLASSIC MILK</t>
  </si>
  <si>
    <t>CHOC LINDT 100G SWISS CLASSIC MILK HAZELNUTS</t>
  </si>
  <si>
    <t>CHOC LINDT 100G SWISS CLASSIC WHITE</t>
  </si>
  <si>
    <t>CHOC LINDT 35G NOCCIOLATTE</t>
  </si>
  <si>
    <t>CHOC LINDT CREATION 150G CREME BRULEE</t>
  </si>
  <si>
    <t>CHOC LINDT EXCELLENCE 100G 70%COCOA</t>
  </si>
  <si>
    <t>CHOC LINDT EXCELLENCE 100G 85%COCOA</t>
  </si>
  <si>
    <t>CHOC LINDT EXCELLENCE 100G 90%COCOA</t>
  </si>
  <si>
    <t>CHOC LINDT EXCELLENCE 100G EXTRA CREAMY</t>
  </si>
  <si>
    <t>CHOC LINDT EXCELLENCE 100G FLOR DE SAL</t>
  </si>
  <si>
    <t>CHOC LINDT EXCELLENCE 100G LARANJA INTENSA</t>
  </si>
  <si>
    <t>CHOC LINDT LINDOR 100G DARK</t>
  </si>
  <si>
    <t>CHOC LINDT LINDOR 100G HAZELNUT</t>
  </si>
  <si>
    <t>CHOC LINDT LINDOR 100G MILK</t>
  </si>
  <si>
    <t>CHOC LINDT LINDOR 112G</t>
  </si>
  <si>
    <t>CHOC LINDT LINDOR 200G ASSORTED</t>
  </si>
  <si>
    <t>CHOC LINDT LINDOR 200G AVELA</t>
  </si>
  <si>
    <t>CHOC LINDT LINDOR 200G BRANCO</t>
  </si>
  <si>
    <t>CHOC LINDT LINDOR 200G MILK</t>
  </si>
  <si>
    <t>CHOC LINDT LINDOR 200G MORANGO</t>
  </si>
  <si>
    <t>CHOC LINDT LINDOR 37G</t>
  </si>
  <si>
    <t>CHOC LINDT LINDOR 50G MILK HEART</t>
  </si>
  <si>
    <t>CHOC LINDT LINDOR 75G ASSORTED</t>
  </si>
  <si>
    <t>CHOC LINDT LINDOR 75G MILK</t>
  </si>
  <si>
    <t>CHOC LINDT SWISS PREMIUM 300G AO LEITE</t>
  </si>
  <si>
    <t>CHOC LINEA 30G BRANCO</t>
  </si>
  <si>
    <t>CHOC LINEA 30G BRANCO COOKIES CREAM</t>
  </si>
  <si>
    <t>CHOC LINEA 30G BRANCO Z/LACTOSE</t>
  </si>
  <si>
    <t>CHOC LINEA 75G AO LEITE</t>
  </si>
  <si>
    <t>CHOC LINEA 75G BRANCO COOKIES CREAM</t>
  </si>
  <si>
    <t>CHOC LINEA 75G DARK 58% CACAU</t>
  </si>
  <si>
    <t>CHOC LUISA ABRAM 80G 70% CACAU R/P</t>
  </si>
  <si>
    <t>CHOC LUISA ABRAM 80G 70% CACAU RIO JURUA</t>
  </si>
  <si>
    <t>CHOC LUISA ABRAM 80G 70% CACAU RIO TOCANTINS</t>
  </si>
  <si>
    <t>CHOC LUISA ABRAM 80G 81% CACAU R/P</t>
  </si>
  <si>
    <t>CHOC LUISA ABRAM 80G 81% CACAU RIO JURUA</t>
  </si>
  <si>
    <t>CHOC LUISA ABRAM 80G 81% CACAU RIO TOCANTINS</t>
  </si>
  <si>
    <t>CHOC LUISA ABRAM 80G AO LEITE</t>
  </si>
  <si>
    <t>CHOC LUISA ABRAM 80G AO LEITE COCO</t>
  </si>
  <si>
    <t>CHOC LUISA ABRAM 80G AVELA</t>
  </si>
  <si>
    <t>CHOC LUISA ABRAM 80G BC C/CASTANHA</t>
  </si>
  <si>
    <t>CHOC LUISA ABRAM 80G BC EXT CREMOSO</t>
  </si>
  <si>
    <t>CHOC LUISA ABRAM 80G BCO C/PISTACHE</t>
  </si>
  <si>
    <t>CHOC LUISA ABRAM 80G BCO CARAMEL</t>
  </si>
  <si>
    <t>CHOC M&amp;M'S 120G PIPOCA</t>
  </si>
  <si>
    <t>CHOC M&amp;M'S 148G AMENDOIM</t>
  </si>
  <si>
    <t>CHOC M&amp;M'S 148G AO LEITE</t>
  </si>
  <si>
    <t>CHOC M&amp;M'S 30G TUBO AO LEITE</t>
  </si>
  <si>
    <t>CHOC M&amp;M'S 35G PIPOCA</t>
  </si>
  <si>
    <t>CHOC M&amp;M'S 45G AMENDOIM</t>
  </si>
  <si>
    <t>CHOC M&amp;M'S 80G AMENDOIM</t>
  </si>
  <si>
    <t>CHOC M&amp;M'S 80G AO LEITE</t>
  </si>
  <si>
    <t>CHOC M&amp;M'S CHOCOLATE 45G AO LEITE</t>
  </si>
  <si>
    <t>CHOC M&amp;M'S CRISPY 120G AO LEITE</t>
  </si>
  <si>
    <t>CHOC M&amp;M'S CRISPY 35G AO LEITE</t>
  </si>
  <si>
    <t>CHOC MAJUCAU 80G 52% CACAU AO LEITE</t>
  </si>
  <si>
    <t>CHOC MAJUCAU 80G 52% CACAU BCO C/MARACUJA</t>
  </si>
  <si>
    <t>CHOC MAJUCAU 80G 70% CACAU</t>
  </si>
  <si>
    <t>CHOC MAJUCAU 80G 70% CACAU LARANJA</t>
  </si>
  <si>
    <t>CHOC MENDOA 25G 70% CACAU CLASSICO</t>
  </si>
  <si>
    <t>CHOC MENDOA 75G 60% CACAU C/COCO</t>
  </si>
  <si>
    <t>CHOC MENDOA 75G 60% CACAU C/GENGIBRE</t>
  </si>
  <si>
    <t>CHOC MENDOA 75G 70% CACAU CLASSICO</t>
  </si>
  <si>
    <t>CHOC MENDOA 75G 70% CACAU Z/ACUCAR</t>
  </si>
  <si>
    <t>CHOC MENDOA 80G 40% CACAU AO LEITE</t>
  </si>
  <si>
    <t>CHOC MENDOA 80G 40% CACAU C/CASTANHA CAJU</t>
  </si>
  <si>
    <t>CHOC MILKA 100G ALPINE MILK</t>
  </si>
  <si>
    <t>CHOC MILKA 100G BUBBLY WHITE</t>
  </si>
  <si>
    <t>CHOC MILKA 100G CARAMELO</t>
  </si>
  <si>
    <t>CHOC MILKA 100G CHERRY</t>
  </si>
  <si>
    <t>CHOC MILKA 100G CHIPS AHOY</t>
  </si>
  <si>
    <t>CHOC MILKA 100G DAIM</t>
  </si>
  <si>
    <t>CHOC MILKA 100G HAZELNUTS</t>
  </si>
  <si>
    <t>CHOC MILKA 100G OREO</t>
  </si>
  <si>
    <t>CHOC MILKA 100G OREO BROWNIE</t>
  </si>
  <si>
    <t>CHOC MILKA 100G RAISINS NUTS</t>
  </si>
  <si>
    <t>CHOC MILKA 100G RASPBERRY</t>
  </si>
  <si>
    <t>CHOC MILKA 100G STRAWBERRY YOGHURT</t>
  </si>
  <si>
    <t>CHOC MILKA 110G I LOVE CREAM</t>
  </si>
  <si>
    <t>CHOC MILKA 110G THANK YOU</t>
  </si>
  <si>
    <t>CHOC MILKA 150G CHOCOWAFER</t>
  </si>
  <si>
    <t>CHOC MILKA 270G ALPENMILCH</t>
  </si>
  <si>
    <t>CHOC MILKA 280G TRIOLADE</t>
  </si>
  <si>
    <t>CHOC MILKA 300G OREO</t>
  </si>
  <si>
    <t>CHOC MILKA 300G TOFFEE GANZNUSS</t>
  </si>
  <si>
    <t>CHOC MILKA 90G BUBBLY ALPINE MILK</t>
  </si>
  <si>
    <t>CHOC MILKA 90G TRIPLE CHOCO</t>
  </si>
  <si>
    <t>CHOC MILKA 92G OREO SANDWICH</t>
  </si>
  <si>
    <t>CHOC MILKA HAPPY COWS 100G</t>
  </si>
  <si>
    <t>CHOC MILKA MILKINIS 87,5G LEITE</t>
  </si>
  <si>
    <t>CHOC NESTLE 114G CHOKITO</t>
  </si>
  <si>
    <t>CHOC NESTLE 114G LOLLO</t>
  </si>
  <si>
    <t>CHOC NESTLE 117G CHARGE</t>
  </si>
  <si>
    <t>CHOC NESTLE 500G COB CHOC AO LEITE</t>
  </si>
  <si>
    <t>CHOC NESTLE ALPINO 195G TRADICIONAL</t>
  </si>
  <si>
    <t>CHOC NESTLE ALPINO 85G AO LEITE</t>
  </si>
  <si>
    <t>CHOC NESTLE ALPINO 85G WHITE TOP</t>
  </si>
  <si>
    <t>CHOC NESTLE CHOCOTRIO 90G C/BISC RECH AMENDOIM</t>
  </si>
  <si>
    <t>CHOC NESTLE CHOCOTRIO 90G C/BISC RECH AO LEITE</t>
  </si>
  <si>
    <t>CHOC NESTLE CHOCOTRIO 90G C/BISC RECH AVELA</t>
  </si>
  <si>
    <t>CHOC NESTLE CHOCOTRIO 90G C/BISC RECH CHOCOLATE</t>
  </si>
  <si>
    <t>CHOC NESTLE CLASSIC 150G AMENDOIM</t>
  </si>
  <si>
    <t>CHOC NESTLE CLASSIC 150G AO LEITE</t>
  </si>
  <si>
    <t>CHOC NESTLE CLASSIC 150G DUO COOKIE</t>
  </si>
  <si>
    <t>CHOC NESTLE CLASSIC 80G AO LEITE</t>
  </si>
  <si>
    <t>CHOC NESTLE CLASSIC 80G DIPLOMATA</t>
  </si>
  <si>
    <t>CHOC NESTLE CLASSIC 80G DUO</t>
  </si>
  <si>
    <t>CHOC NESTLE CLASSIC 80G MEIO AMARGO</t>
  </si>
  <si>
    <t>CHOC NESTLE CLASSIC 80G PRESTIGIO</t>
  </si>
  <si>
    <t>CHOC NESTLE CRUNCH 80G AO LEITE</t>
  </si>
  <si>
    <t>CHOC NESTLE GALAK 80G</t>
  </si>
  <si>
    <t>CHOC NESTLE KITKAT 185,6G SORTIDOS</t>
  </si>
  <si>
    <t>CHOC NESTLE KITKAT 41,5G</t>
  </si>
  <si>
    <t>CHOC NESTLE KITKAT 41,5G BRANCO</t>
  </si>
  <si>
    <t>CHOC NESTLE KITKAT 41,5G DARK</t>
  </si>
  <si>
    <t>CHOC NESTLE KITKAT 41,5G TRIPLE CHOC</t>
  </si>
  <si>
    <t>CHOC NESTLE KITKAT MINI MOMENTS 34,6G CARAMEL</t>
  </si>
  <si>
    <t>CHOC NESTLE KITKAT MINI MOMENTS 34,6G COOKIES</t>
  </si>
  <si>
    <t>CHOC NESTLE NESCAU 75G BALL</t>
  </si>
  <si>
    <t>CHOC NESTLE PRESTIGIO 114G TRAD</t>
  </si>
  <si>
    <t>CHOC NESTLE PRESTIGIO 33G DOCE LTE</t>
  </si>
  <si>
    <t>CHOC NESTLE PRESTIGIO 90G</t>
  </si>
  <si>
    <t>CHOC NESTLE SUFLAIR 50G</t>
  </si>
  <si>
    <t>CHOC NESTLE SUFLAIR 80G</t>
  </si>
  <si>
    <t>CHOC NESTLE SUFLAIR DUO 80G</t>
  </si>
  <si>
    <t>CHOC NESTLE SURPRESA 20G AO LEITE</t>
  </si>
  <si>
    <t>CHOC ORG MENDOA 80G 55% CACAU C/LARANJA</t>
  </si>
  <si>
    <t>CHOC ORG MENDOA 80G 81% CACAU C/NIBS</t>
  </si>
  <si>
    <t>CHOC PO DR OETKER 150G 100% CACAU</t>
  </si>
  <si>
    <t>CHOC PO DR OETKER 200G</t>
  </si>
  <si>
    <t>CHOC PO DR OETKER 200G 70% CACAU</t>
  </si>
  <si>
    <t>CHOC PO NESTLE DOIS FRADES 200G 50% CACAU</t>
  </si>
  <si>
    <t>CHOC REGALLE 80G AO LEITE AVEIA 56% AVELA</t>
  </si>
  <si>
    <t>CHOC REGALLE 80G AO LEITE AVEIA 56% CACAU</t>
  </si>
  <si>
    <t>CHOC REGALLE 80G AO LEITE AVEIA 56% QUINOA</t>
  </si>
  <si>
    <t>CHOC REGALLE 80G NOIR 70% CACAU C/ACUCAR COCO</t>
  </si>
  <si>
    <t>CHOC SNICKERS 42G DARK</t>
  </si>
  <si>
    <t>CHOC SNICKERS 42G MARACUJA</t>
  </si>
  <si>
    <t>CHOC SNICKERS 42G MORANGO</t>
  </si>
  <si>
    <t>CHOC SNICKERS 42G PE DE MOLEQUE</t>
  </si>
  <si>
    <t>CHOC SNICKERS 42G WHITE</t>
  </si>
  <si>
    <t>CHOC SNICKERS 78G C/2</t>
  </si>
  <si>
    <t>CHOC SNICKERS ORIGINAL 45G</t>
  </si>
  <si>
    <t>CHOC SNICKERS VARIEDADES 171G</t>
  </si>
  <si>
    <t>CHOC TALENTO 75G CARAMELO SALGADO</t>
  </si>
  <si>
    <t>CHOC TALENTO 85G AMENDOAS/PASSAS</t>
  </si>
  <si>
    <t>CHOC TALENTO 85G BRANCO C/DOCE LTE</t>
  </si>
  <si>
    <t>CHOC TALENTO 85G BRANCO CER/PAS</t>
  </si>
  <si>
    <t>CHOC TALENTO 85G CAST PARA</t>
  </si>
  <si>
    <t>CHOC TALENTO 85G LEITE AVELAS</t>
  </si>
  <si>
    <t>CHOC TALENTO 85G M/AMARGO AMENDOAS</t>
  </si>
  <si>
    <t>CHOC TALENTO 85G MORANGO</t>
  </si>
  <si>
    <t>CHOC TALENTO ARTESAO 75G AMEND/AVELA/AME</t>
  </si>
  <si>
    <t>CHOC TALENTO ARTESAO 75G CASTANHA/NIBS</t>
  </si>
  <si>
    <t>CHOC TALENTO OPERETA RECH 85G BCO CAST CAJU</t>
  </si>
  <si>
    <t>CHOC TERRAVITA 100G 70% CACAU IOG CEREJA</t>
  </si>
  <si>
    <t>CHOC TERRAVITA 100G AO LEITE</t>
  </si>
  <si>
    <t>CHOC TERRAVITA 100G AVELA</t>
  </si>
  <si>
    <t>CHOC TERRAVITA 100G DARK</t>
  </si>
  <si>
    <t>CHOC TERRAVITA 100G IOG FRAMBOESA</t>
  </si>
  <si>
    <t>CHOC TERRAVITA 100G IOG MORANGO</t>
  </si>
  <si>
    <t>CHOC TERRAVITA 100G LIMAO/MENTA</t>
  </si>
  <si>
    <t>CHOC TERRAVITA 100G TIRAMISU</t>
  </si>
  <si>
    <t>CHOC TERRAVITA 225G AO LEITE</t>
  </si>
  <si>
    <t>CHOC TERRAVITA 225G AVELA</t>
  </si>
  <si>
    <t>CHOC TERRAVITA 235G BANANA/TOFFEE</t>
  </si>
  <si>
    <t>CHOC TERRAVITA 235G IOG/CARAM/AVELA</t>
  </si>
  <si>
    <t>CHOC TERRAVITA 235G IOGURTE/CEREJA</t>
  </si>
  <si>
    <t>CHOC TERRAVITA 90G 70% CACAU LARANJA</t>
  </si>
  <si>
    <t>CHOC TOBLERONE 1/2 AMARGO 100G</t>
  </si>
  <si>
    <t>CHOC TOBLERONE 100G AO LEITE</t>
  </si>
  <si>
    <t>CHOC TOBLERONE 100G CRUNCHY ALMONDS</t>
  </si>
  <si>
    <t>CHOC TOBLERONE 100G FRUIT &amp; NUT</t>
  </si>
  <si>
    <t>CHOC TOBLERONE 100G MILK GOLD</t>
  </si>
  <si>
    <t>CHOC TWIX 40G ORIGINAL</t>
  </si>
  <si>
    <t>CHOC TWIX 40G TORTA LIMAO</t>
  </si>
  <si>
    <t>CHOC TWIX 40G TORTA MORANGO</t>
  </si>
  <si>
    <t>CHOC TWIX DARK 40G</t>
  </si>
  <si>
    <t>CHOC TWIX ORIGINAL 80G</t>
  </si>
  <si>
    <t>CHOC TWIX TRIPLO 80G</t>
  </si>
  <si>
    <t>CHOC TWIX TRIPLO CHOCOLATE 40G</t>
  </si>
  <si>
    <t>CHOC VEG LINEA 30G AO LEITE C/ NIBS CACAU</t>
  </si>
  <si>
    <t>CHOC VITAO 22G 39% CACAU</t>
  </si>
  <si>
    <t>CHOC VITAO 22G 55% CACAU</t>
  </si>
  <si>
    <t>CHOC VITAO 22G ZERO LACTOSE</t>
  </si>
  <si>
    <t>CHOC VITAO 70G 60% CACAU</t>
  </si>
  <si>
    <t>CHOC VITAO 70G 70% CACAU</t>
  </si>
  <si>
    <t>CHOC VITAO 70G BCO C/MOR/CRANBERRY</t>
  </si>
  <si>
    <t>CHOCO BISCUIT BAUDUCCO 162G AO LTE</t>
  </si>
  <si>
    <t>CHOCO BISCUIT BAUDUCCO 36G AO LEITE</t>
  </si>
  <si>
    <t>CHOCO BISCUIT BAUDUCCO 80G AO LEITE</t>
  </si>
  <si>
    <t>CHOCO BISCUIT BAUDUCCO 80G M/AMARGO</t>
  </si>
  <si>
    <t>CHOCO BISCUIT CHOCOSOY 30G ZERO TRADICIONAL</t>
  </si>
  <si>
    <t>CHOCO BISCUIT FIORELLA 102G AO LEITE</t>
  </si>
  <si>
    <t>CHOCO BISCUIT GAROTO 78G AO LEITE</t>
  </si>
  <si>
    <t>CHOCO BISCUIT MILKA 150G</t>
  </si>
  <si>
    <t>CHOCO BISCUIT MILKA 300G SWING</t>
  </si>
  <si>
    <t>CHOCO BISCUIT MILKA LU 87G</t>
  </si>
  <si>
    <t>CHOCO BISCUIT NESTLE 78G MILK CHOC</t>
  </si>
  <si>
    <t>CHOCO PIE ORION 180G RICHER</t>
  </si>
  <si>
    <t>CHOCO PIE ORION 180G TRADICIONAL</t>
  </si>
  <si>
    <t>CHOCO TUBE BAUDUCCO 27G</t>
  </si>
  <si>
    <t>CHOCO TUBE BAUDUCCO 80G</t>
  </si>
  <si>
    <t>CHOCOLATE EM PO FLEISCHMANN 200G 32% CACAU</t>
  </si>
  <si>
    <t>CHOCOLATE EM PO FLEISCHMANN 200G 50% CACAU</t>
  </si>
  <si>
    <t>CHOCOLATE GAROTO CROCANTE 80G</t>
  </si>
  <si>
    <t>CHOCOLATE HERSHEYS REESE'S 42G PENUT BUTTER</t>
  </si>
  <si>
    <t>CHOCOLATE QUENTE PO 3 CORACOES 180G</t>
  </si>
  <si>
    <t>CHOCOTTONE BAUDUCCO 107G BITES</t>
  </si>
  <si>
    <t>CHOPP HEINEKEN 5L</t>
  </si>
  <si>
    <t>CHOPP VINHO DRAFT CAMPO LARGO APPLE 500ML</t>
  </si>
  <si>
    <t>CHOPP VINHO DRAFT CAMPO LARGO PEACH 500ML</t>
  </si>
  <si>
    <t>CHOPP VINHO DRAFT CAMPO LARGO RED 500ML</t>
  </si>
  <si>
    <t>CHOPP VINHO DRAFT CAMPO LARGO WHITE 500ML</t>
  </si>
  <si>
    <t>CHUCRUTE BAVIERA HENGSTENBERG 680G</t>
  </si>
  <si>
    <t>CJ DOVE SH 350ML + COND 150ML BOND INTENSE REPAIR</t>
  </si>
  <si>
    <t>CJ DOVE SH 350ML + COND 175ML NUTRICAO</t>
  </si>
  <si>
    <t>CJ DOVE SH 350ML + COND 175ML RECONSTRUCAO</t>
  </si>
  <si>
    <t>CJ DOVE SH 350ML + COND 175ML REPARACAO</t>
  </si>
  <si>
    <t>CJ DOVE SH 400ML + COND 200ML HIDRATACAO</t>
  </si>
  <si>
    <t>CJ DOVE SH 400ML + COND 200ML RIT REP</t>
  </si>
  <si>
    <t>CJ DOVE SHAMP+COND 400ML RECON COMP</t>
  </si>
  <si>
    <t>CJ DOVE TEXT REAIS SH 350ML + COND 175ML CACHEADOS</t>
  </si>
  <si>
    <t>CJ EUDORA SH 250ML + COND 125ML GLOW EXPERT</t>
  </si>
  <si>
    <t>CJ EUDORA SH 250ML + COND 125ML HAIR PLASTIA</t>
  </si>
  <si>
    <t>CJ EUDORA SH 250ML + COND 125ML LISO INTENSO</t>
  </si>
  <si>
    <t>CJ EUDORA SH 250ML + COND 200ML HIDRAT MICELAR</t>
  </si>
  <si>
    <t>CJ EUDORA SH 250ML + MASC 250ML CICA THERAPY</t>
  </si>
  <si>
    <t>CJ EUDORA SH 250ML+COND 125ML+LEAVE 30ML NUTRI ROS</t>
  </si>
  <si>
    <t>CJ OX SH 200ML + COND 170ML COLAGENO</t>
  </si>
  <si>
    <t>CJ OX SH 375ML + COND 170ML LISO DURADOURO</t>
  </si>
  <si>
    <t>CJ OX SH 375ML + COND 170ML LONGOS</t>
  </si>
  <si>
    <t>CJ OX SH 375ML + COND 170ML RESTAURA</t>
  </si>
  <si>
    <t>CJ PALMOLIVE SH+COND 350ML DETOX ENERG</t>
  </si>
  <si>
    <t>CJ SEDA SH 300ML + COND 190ML BABOSA + OLEOS</t>
  </si>
  <si>
    <t>CJ SEDA SH 300ML + COND 190ML CACHO DEFINIDO</t>
  </si>
  <si>
    <t>CJ SEDA SH 300ML + COND 190ML CERAMIDAS</t>
  </si>
  <si>
    <t>CJ SEDA SH 300ML + COND 190ML COLAGENO+VIT C</t>
  </si>
  <si>
    <t>CJ SEDA SH 300ML + COND 190ML LISO PERFEITO</t>
  </si>
  <si>
    <t>CJ SEDA SH 300ML + COND 190ML LUMINOUS UV</t>
  </si>
  <si>
    <t>CJ SEDA SH 300ML + COND 190ML PREB + BIOTINA</t>
  </si>
  <si>
    <t>CJ SEDA SH+COND 325ML CACHO DEFINIDO</t>
  </si>
  <si>
    <t>CJ SEDA SH+COND 325ML CERAMIDAS</t>
  </si>
  <si>
    <t>CJ SEDA SH+COND 325ML COLAGENO+VIT C</t>
  </si>
  <si>
    <t>CJ SEDA SH+COND 325ML LISO PERF</t>
  </si>
  <si>
    <t>CJ SH + COND DARLING 350ML TILIA</t>
  </si>
  <si>
    <t>CJ TRESEMME SH 350ML + COND 175ML BLIND ANTIFRIZZ</t>
  </si>
  <si>
    <t>CJ TRESEMME SH 350ML + COND 175ML BRILHO LAMELAR</t>
  </si>
  <si>
    <t>CJ TRESEMME SH 350ML + COND 175ML HIDRAT PROFUNDA</t>
  </si>
  <si>
    <t>CJ TRESEMME SH 350ML + COND 175ML RECONST/FORCA</t>
  </si>
  <si>
    <t>CLARA OVO INT PAST RES MAXXI OVOS GF 1KG</t>
  </si>
  <si>
    <t>CLORO GEL SUPER CANDIDA 1L LAVANDA</t>
  </si>
  <si>
    <t>CLORO GEL SUPER CANDIDA 1L ORIGINAL</t>
  </si>
  <si>
    <t>CLORO GEL VIM 700ML FLORAL</t>
  </si>
  <si>
    <t>CLORO GEL VIM 700ML LAVANDA</t>
  </si>
  <si>
    <t>CLORO GEL VIM LV 700ML PG 490ML ORIGINAL</t>
  </si>
  <si>
    <t>COBERTURA INGREDIENT 200G CALDA QUENTE CHOC</t>
  </si>
  <si>
    <t>COBERTURA INGREDIENT 240G CARAMELO</t>
  </si>
  <si>
    <t>COBERTURA INGREDIENT 240G CH LIGHT</t>
  </si>
  <si>
    <t>COBERTURA INGREDIENT 240G CHOCOLATE</t>
  </si>
  <si>
    <t>COBERTURA INGREDIENT 240G FR VER</t>
  </si>
  <si>
    <t>COBERTURA INGREDIENT 240G MORANGO</t>
  </si>
  <si>
    <t>COBERTURA KENKO 250G CARAMELO</t>
  </si>
  <si>
    <t>COBERTURA KENKO 250G CHOCOLATE</t>
  </si>
  <si>
    <t>COBERTURA KENKO 250G MORANGO</t>
  </si>
  <si>
    <t>COCADA BRANCA SEGREDOS FAZENDA 280G</t>
  </si>
  <si>
    <t>COCADA BRANCA SEGREDOS FAZENDA 500G</t>
  </si>
  <si>
    <t>COCADA BRANCA SERRA MINEIRA 223G</t>
  </si>
  <si>
    <t>COCADA MORENA SEGREDOS FAZENDA 280G</t>
  </si>
  <si>
    <t>COCADA MORENA SEGREDOS FAZENDA 500G</t>
  </si>
  <si>
    <t>COCADA SERRA MINEIRA 223G AMEIXA</t>
  </si>
  <si>
    <t>COCADA SERRA MINEIRA 223G MARACUJA</t>
  </si>
  <si>
    <t>COCADA SERRA MINEIRA 223G PINGO DE LEITE</t>
  </si>
  <si>
    <t>COCADA VITAO 200G Z/ACUCAR AO LEITE</t>
  </si>
  <si>
    <t>COCO RALADO DR OETKER 100G</t>
  </si>
  <si>
    <t>COCO RALADO FLOCO SOCOCO 100G</t>
  </si>
  <si>
    <t>COCO RALADO SOCOCO 100G</t>
  </si>
  <si>
    <t>COCO RALADO SOCOCO 50G</t>
  </si>
  <si>
    <t>COCO RALADO SOCOCO SWEET 100G</t>
  </si>
  <si>
    <t>COENTRO DESIDRATADO ESP E SAB 15G</t>
  </si>
  <si>
    <t>COENTRO MOIDO ESP E SAB 50G</t>
  </si>
  <si>
    <t>COENTRO PO KITANO 10G</t>
  </si>
  <si>
    <t>COGUMELO CHAMPIGNON INT CASTELO SACHE 80G</t>
  </si>
  <si>
    <t>COLHER FORTE STRAWPLAST CRIST C/20</t>
  </si>
  <si>
    <t>COLHER FORTE STRAWPLAST CRIST C/50</t>
  </si>
  <si>
    <t>COLHER PARA SERVIR TRAMONTINA UTILITA</t>
  </si>
  <si>
    <t>COLOMBA BAUDUCCO 400G FRUTAS</t>
  </si>
  <si>
    <t>COLOMBA BAUDUCCO 400G GOTAS</t>
  </si>
  <si>
    <t>COLOMBA BAUDUCCO 500G MOUSSE</t>
  </si>
  <si>
    <t>COLOMBA BAUDUCCO 500G TRUFA</t>
  </si>
  <si>
    <t>COLOMBA EQUILIBRE 270G S/G FRUTAS</t>
  </si>
  <si>
    <t>COLOMBA EQUILIBRE 270G S/G GOTAS</t>
  </si>
  <si>
    <t>COLONIA JOHNSONS BABY 200ML LAVANDA</t>
  </si>
  <si>
    <t>COLORAU ESP E SAB 50G</t>
  </si>
  <si>
    <t>COLORIFICO KITANO 180G</t>
  </si>
  <si>
    <t>COLORIFICO KITANO 80G</t>
  </si>
  <si>
    <t>COMINHO EM GRAO ESP &amp; SAB 40G</t>
  </si>
  <si>
    <t>COMINHO PO ESP E SAB 50G</t>
  </si>
  <si>
    <t>COMINHO PO KITANO 60G</t>
  </si>
  <si>
    <t>COMINHO PO KITANO 8G</t>
  </si>
  <si>
    <t>COMP LACTEO MOLICO 260G LT FIBRAS</t>
  </si>
  <si>
    <t>COMP LACTEO NESLAC SUPREME 800G</t>
  </si>
  <si>
    <t>COMP LACTEO NINHO 1+ FASES C/PREBIO 800G</t>
  </si>
  <si>
    <t>COMP LACTEO NINHO 380G ZERO LACTOSE</t>
  </si>
  <si>
    <t>COMP LACTEO NINHO CREC 1+ 400G</t>
  </si>
  <si>
    <t>COMP LACTEO NINHO FORTI+ 350G C/FIBRAS</t>
  </si>
  <si>
    <t>COMP LACTEO NUTREN SENIOR 370G</t>
  </si>
  <si>
    <t>COMP LACTEO NUTREN SENIOR 370G CAFE C/LEITE</t>
  </si>
  <si>
    <t>COMP LACTEO PIRACANJUBA 380G Z/LACT</t>
  </si>
  <si>
    <t>COMPOSTO EMAGRECEDOR ESP E SAB 15G</t>
  </si>
  <si>
    <t>CONCHA PARA MOLHO TRAMONTINA UTILITA</t>
  </si>
  <si>
    <t>CONCHA PARA SORVETE TRAMONTINA UTILITA</t>
  </si>
  <si>
    <t>COND DARLING 350ML CERAMIDAS</t>
  </si>
  <si>
    <t>COND DARLING 350ML DETOX</t>
  </si>
  <si>
    <t>COND DARLING 350ML TILIA</t>
  </si>
  <si>
    <t>COND DOG SANOL 500ML</t>
  </si>
  <si>
    <t>COND DOVE 150ML BOND INTENSE REPAIR</t>
  </si>
  <si>
    <t>COND DOVE 200ML HIDRAT INTENSA OXIG</t>
  </si>
  <si>
    <t>COND DOVE 200ML OLEO NUTRICAO</t>
  </si>
  <si>
    <t>COND DOVE 200ML RECON COMPLETA</t>
  </si>
  <si>
    <t>COND DOVE 250ML BOND INTENSE REPAIR</t>
  </si>
  <si>
    <t>COND DOVE 400ML CACHEADOS</t>
  </si>
  <si>
    <t>COND DOVE 400ML DETOX PURIFICANTE</t>
  </si>
  <si>
    <t>COND DOVE 400ML HIDRA LISO</t>
  </si>
  <si>
    <t>COND DOVE 400ML HIDRAT INTENSA</t>
  </si>
  <si>
    <t>COND DOVE 400ML OLEO MICELAR</t>
  </si>
  <si>
    <t>COND DOVE 400ML OLEO NUTRICAO</t>
  </si>
  <si>
    <t>COND DOVE 400ML RECONST COMP</t>
  </si>
  <si>
    <t>COND DOVE 400ML REGENERACAO EXTR</t>
  </si>
  <si>
    <t>COND DOVE 400ML RIT CRESCIMENTO</t>
  </si>
  <si>
    <t>COND DOVE BABY 200ML CAB CACHEADO</t>
  </si>
  <si>
    <t>COND DOVE BABY 200ML CAB CLARO</t>
  </si>
  <si>
    <t>COND DOVE BABY 200ML GLICERINADO</t>
  </si>
  <si>
    <t>COND DOVE BABY 200ML HID ENRIQUECIDA</t>
  </si>
  <si>
    <t>COND DOVE OLEO NUTRI 400ML LV+PG-</t>
  </si>
  <si>
    <t>COND DOVE RITUAL 200ML REPARACAO</t>
  </si>
  <si>
    <t>COND DOVE RITUAL 400ML REPARACAO</t>
  </si>
  <si>
    <t>COND DOVE TEXTURAS REAIS 400ML CRESPOS</t>
  </si>
  <si>
    <t>COND EUDORA SIAGE 200ML ACELERA CRESCIM</t>
  </si>
  <si>
    <t>COND EUDORA SIAGE 200ML CAUTERIZA LISOS</t>
  </si>
  <si>
    <t>COND EUDORA SIAGE 200ML CICA THERAPY</t>
  </si>
  <si>
    <t>COND EUDORA SIAGE 200ML GLOW EXPERT</t>
  </si>
  <si>
    <t>COND EUDORA SIAGE 200ML HAIR PLASTIA</t>
  </si>
  <si>
    <t>COND EUDORA SIAGE 200ML HIDRAT MICELAR</t>
  </si>
  <si>
    <t>COND EUDORA SIAGE 200ML LISO INTENSO</t>
  </si>
  <si>
    <t>COND EUDORA SIAGE 200ML NUTRI ROSE</t>
  </si>
  <si>
    <t>COND EUDORA SIAGE 200ML PRO CRONOLOGY</t>
  </si>
  <si>
    <t>COND EUDORA SIAGE 200ML RECONSTROI FIOS</t>
  </si>
  <si>
    <t>COND EUDORA SIAGE 200ML RESGATE IMEDIAT</t>
  </si>
  <si>
    <t>COND GRANADO 180ML CAST DO BRASIL</t>
  </si>
  <si>
    <t>COND GRANADO 180ML SALVIA CONFREY</t>
  </si>
  <si>
    <t>COND GRANADO 180ML SETE ERVAS</t>
  </si>
  <si>
    <t>COND GRANADO BEBE 250ML RF</t>
  </si>
  <si>
    <t>COND GRANADO BEBE 250ML SEM CORANTE</t>
  </si>
  <si>
    <t>COND INF TDM 200ML CAMOMILA</t>
  </si>
  <si>
    <t>COND INF TDM 200ML SUAVE</t>
  </si>
  <si>
    <t>COND JOHNSONS BABY 200ML CAMOMILA</t>
  </si>
  <si>
    <t>COND JOHNSONS BABY 200ML GLICERINA</t>
  </si>
  <si>
    <t>COND JOHNSONS BABY 400ML GLICERINA</t>
  </si>
  <si>
    <t>COND JOHNSONS KIDS 200ML CACHOS SONHOS</t>
  </si>
  <si>
    <t>COND JOHNSONS KIDS 200ML CHEIRO PROLONG</t>
  </si>
  <si>
    <t>COND JOHNSONS KIDS 200ML GOTAS DE BRILHO</t>
  </si>
  <si>
    <t>COND JOHNSONS KIDS 380ML BLACKINHO</t>
  </si>
  <si>
    <t>COND LOVE BEAUTY PLANET 300ML CRESC SAUDAVEL</t>
  </si>
  <si>
    <t>COND LOVE BEAUTY PLANET 300ML ENERGIZING DTX</t>
  </si>
  <si>
    <t>COND LOVE BEAUTY PLANET 300ML HOPE/REPAIR</t>
  </si>
  <si>
    <t>COND OX 240ML COLAGENO</t>
  </si>
  <si>
    <t>COND OX 240ML MICELAR</t>
  </si>
  <si>
    <t>COND OX MARI MARIA 240ML VITA GLOW</t>
  </si>
  <si>
    <t>COND PALMOLIVE 350ML BOOM HIDRAT</t>
  </si>
  <si>
    <t>COND PALMOLIVE 350ML CERAM FOR</t>
  </si>
  <si>
    <t>COND PALMOLIVE 350ML DETOX ENERG</t>
  </si>
  <si>
    <t>COND PALMOLIVE 350ML FORT/PROT</t>
  </si>
  <si>
    <t>COND PALMOLIVE 350ML ILUM PRET</t>
  </si>
  <si>
    <t>COND PALMOLIVE 350ML LIMP BAL</t>
  </si>
  <si>
    <t>COND PALMOLIVE 350ML LISOS RAD</t>
  </si>
  <si>
    <t>COND PALMOLIVE 350ML NUTRE/HID</t>
  </si>
  <si>
    <t>COND PALMOLIVE 350ML NUTRI EXT</t>
  </si>
  <si>
    <t>COND PALMOLIVE KIDS 350ML CABELOS CACHOS</t>
  </si>
  <si>
    <t>COND PALMOLIVE KIDS 350ML FRUT TROPICAIS</t>
  </si>
  <si>
    <t>COND PALMOLIVE KIDS 350ML TRADICIONAL</t>
  </si>
  <si>
    <t>COND PALMOLIVE KIDS 350ML TROLLS 3</t>
  </si>
  <si>
    <t>COND PALMOLIVE SOS 350ML FORCE</t>
  </si>
  <si>
    <t>COND PALMOLIVE SOS 350ML HYDRATE</t>
  </si>
  <si>
    <t>COND PAMPERS 200ML GLICERINA</t>
  </si>
  <si>
    <t>COND SEDA 300ML LUMINOUS UV</t>
  </si>
  <si>
    <t>COND SEDA 325ML BABOSA OLEOS</t>
  </si>
  <si>
    <t>COND SEDA 325ML BAMBU+BIOTINA</t>
  </si>
  <si>
    <t>COND SEDA 325ML BOMBA COCO</t>
  </si>
  <si>
    <t>COND SEDA 325ML CACHO DEFINIDO</t>
  </si>
  <si>
    <t>COND SEDA 325ML CERAMIDAS</t>
  </si>
  <si>
    <t>COND SEDA 325ML COLAGENO+VIT C</t>
  </si>
  <si>
    <t>COND SEDA 325ML KERAFORCE</t>
  </si>
  <si>
    <t>COND SEDA 325ML LISO EXTREMO</t>
  </si>
  <si>
    <t>COND SEDA 325ML LISO PERFEITO</t>
  </si>
  <si>
    <t>COND SEDA 325ML MEL ANTIQUEBR</t>
  </si>
  <si>
    <t>COND SEDA 325ML OLEO HIDRATACAO</t>
  </si>
  <si>
    <t>COND SEDA 325ML PREB + BIOTINA</t>
  </si>
  <si>
    <t>COND SEDA 325ML PRETO LUMINOSO</t>
  </si>
  <si>
    <t>COND SEDA BOOM 250ML HIDRA DURADOURA</t>
  </si>
  <si>
    <t>COND SEDA BOOM 250ML NUTRI INTENSA</t>
  </si>
  <si>
    <t>COND SEDA BOOM 300ML ULTRADESEMB</t>
  </si>
  <si>
    <t>COND SEDA FROZEN 300ML BRILHO ENCAN</t>
  </si>
  <si>
    <t>COND SEDA MOANA 300ML CACHOS</t>
  </si>
  <si>
    <t>COND SEDA TIANA 300ML CRESPOS JUNTINHOS</t>
  </si>
  <si>
    <t>COND TRESEMME 400ML BLIND ANTIFRIZZ</t>
  </si>
  <si>
    <t>COND TRESEMME 400ML BRILHO LAMELAR</t>
  </si>
  <si>
    <t>COND TRESEMME 400ML CACHOS PERFEITO</t>
  </si>
  <si>
    <t>COND TRESEMME 400ML HID PROF</t>
  </si>
  <si>
    <t>COND TRESEMME 400ML MATIZADOR</t>
  </si>
  <si>
    <t>COND TRESEMME 400ML RECON FORCA</t>
  </si>
  <si>
    <t>COND TRESEMME 400ML TRESPLEX QUERATINA</t>
  </si>
  <si>
    <t>COND TRESEMME 650ML BLIND ANTIFRIZZ</t>
  </si>
  <si>
    <t>COND TRESEMME 650ML BLIND ANTIUMIDADE</t>
  </si>
  <si>
    <t>COND TRESEMME 650ML BRILHO LAMELAR</t>
  </si>
  <si>
    <t>COND TRESEMME 650ML DETOX CAPILAR</t>
  </si>
  <si>
    <t>COND TRESEMME 650ML HIDRAT PROFUNDA</t>
  </si>
  <si>
    <t>COND TRESEMME 650ML RECONST E FORCA</t>
  </si>
  <si>
    <t>COND TRESEMME 650ML TRESPLEX REGENERACAO</t>
  </si>
  <si>
    <t>COND VULT CABELOS 325ML CACHOS</t>
  </si>
  <si>
    <t>COND VULT CABELOS 325ML CHOQUE RECONST</t>
  </si>
  <si>
    <t>COND VULT CABELOS 325ML LISO PROFUNDO</t>
  </si>
  <si>
    <t>COND VULT CABELOS 325ML RECARGA HIDRAT</t>
  </si>
  <si>
    <t>CONDIMENTO AZEITE OLIVA COLLITALI 125ML TRUFADO</t>
  </si>
  <si>
    <t>CONDIMENTO INDIA 57G</t>
  </si>
  <si>
    <t>CONJ DESOD ROLLON DOVE 50ML C/2 ORIGINAL</t>
  </si>
  <si>
    <t>CONJ DESOD ROLLON DOVE MEN 50ML C/2 INVISIBLE DRY</t>
  </si>
  <si>
    <t>CONJ DESOD ROLLON REXONA 50ML C/2 POWDER DRY</t>
  </si>
  <si>
    <t>COPO DESC BRANCO COPOBRAS 200ML C/100</t>
  </si>
  <si>
    <t>COPO DESC BRANCO COPOBRAS 300ML C/100</t>
  </si>
  <si>
    <t>COPO DESC BRANCO COPOBRAS 50ML C/100</t>
  </si>
  <si>
    <t>COPO DESC BRANCO COPOBRAS180ML C/100</t>
  </si>
  <si>
    <t>COPO DESC TRANSP COPOBRAS 200ML C/100</t>
  </si>
  <si>
    <t>COPO DESC TRANSP COPOBRAS 700ML C/25</t>
  </si>
  <si>
    <t>COQUETEL SCHWEPPES LT 269ML</t>
  </si>
  <si>
    <t>CORDA P/VARAL ESFREBOM 10M</t>
  </si>
  <si>
    <t>CORN FLAKES SCHAR 250G S/LACT TRAD</t>
  </si>
  <si>
    <t>CORTADOR PARA PIZZA TRAMONTINA UTILITA</t>
  </si>
  <si>
    <t>COUSCOUS BARILLA 500G</t>
  </si>
  <si>
    <t>COUSCOUS FRAN TIPIAK 500G</t>
  </si>
  <si>
    <t>COUSCOUS LA PASTINA 500G</t>
  </si>
  <si>
    <t>COUSCUS MARROQUINO COLAVITA 500G</t>
  </si>
  <si>
    <t>CR ASSADURAS HIPOGLOS 120G ORIGINAL</t>
  </si>
  <si>
    <t>CR ASSADURAS HIPOGLOS 30G TRANSPARENTE</t>
  </si>
  <si>
    <t>CR ASSADURAS HIPOGLOS 40G AMENDOAS</t>
  </si>
  <si>
    <t>CR ASSADURAS HIPOGLOS 40G ORIGINAL</t>
  </si>
  <si>
    <t>CR ASSADURAS HIPOGLOS 80G AMENDOAS</t>
  </si>
  <si>
    <t>CR BARBEAR NIVEA 65G SENST 2 EM 1</t>
  </si>
  <si>
    <t>CR DENT COLGATE LUM WHIT 70G LOVERS CAFE</t>
  </si>
  <si>
    <t>CR DENT COLGATE LUM WHIT 70G LOVERS VINHO</t>
  </si>
  <si>
    <t>CR DENTAL CLOSEUP 130G DENT+BRANCOS MENTA</t>
  </si>
  <si>
    <t>CR DENTAL CLOSEUP 130G RED HOT</t>
  </si>
  <si>
    <t>CR DENTAL CLOSEUP 150G PROT BIO MENTA</t>
  </si>
  <si>
    <t>CR DENTAL CLOSEUP 150G TRIPLE MENTA</t>
  </si>
  <si>
    <t>CR DENTAL CLOSEUP 70G PROTECAO BIO ANTI CARIES</t>
  </si>
  <si>
    <t>CR DENTAL CLOSEUP 70G PROTECAO BIOATIVA MENTA</t>
  </si>
  <si>
    <t>CR DENTAL CLOSEUP 70G TRIP MENTA AMER</t>
  </si>
  <si>
    <t>CR DENTAL CLOSEUP 70G TRIP MENTA VRD</t>
  </si>
  <si>
    <t>CR DENTAL CLOSEUP 85G CARVAO ATIVADO</t>
  </si>
  <si>
    <t>CR DENTAL CLOSEUP 85G MULTIVIT BRANQUEADORA</t>
  </si>
  <si>
    <t>CR DENTAL CLOSEUP 85G MULTIVIT FRESH</t>
  </si>
  <si>
    <t>CR DENTAL CLOSEUP 90G EUCALIP FREEZE</t>
  </si>
  <si>
    <t>CR DENTAL CLOSEUP 90G MENTHOL PARADIS</t>
  </si>
  <si>
    <t>CR DENTAL CLOSEUP 90G RED HOT</t>
  </si>
  <si>
    <t>CR DENTAL COLGATE 110G SENS PRO ALI ORIGINAL</t>
  </si>
  <si>
    <t>CR DENTAL COLGATE 120G MAXIMA PROT</t>
  </si>
  <si>
    <t>CR DENTAL COLGATE 120G TRIP ACAO XTRA WHITE</t>
  </si>
  <si>
    <t>CR DENTAL COLGATE 140G ALIVIO IMED GENGIVAS</t>
  </si>
  <si>
    <t>CR DENTAL COLGATE 140G ALIVIO IMED ORIGINAL</t>
  </si>
  <si>
    <t>CR DENTAL COLGATE 140G LUMINO WHITE CARVAO ATIVADO</t>
  </si>
  <si>
    <t>CR DENTAL COLGATE 140G SENS XTREME</t>
  </si>
  <si>
    <t>CR DENTAL COLGATE 180G MPA</t>
  </si>
  <si>
    <t>CR DENTAL COLGATE 180G OFERTA ESP TRIP ACAO</t>
  </si>
  <si>
    <t>CR DENTAL COLGATE 180G TOTAL ANTITARTARO</t>
  </si>
  <si>
    <t>CR DENTAL COLGATE 180G TOTAL CARVAO ATIVADO</t>
  </si>
  <si>
    <t>CR DENTAL COLGATE 180G TOTAL CLEAN MINT</t>
  </si>
  <si>
    <t>CR DENTAL COLGATE 180G TOTAL GENGIVA REFORCA</t>
  </si>
  <si>
    <t>CR DENTAL COLGATE 180G TOTAL WHITENING</t>
  </si>
  <si>
    <t>CR DENTAL COLGATE 180G TRIP ACAO</t>
  </si>
  <si>
    <t>CR DENTAL COLGATE 70G 3UN L+P- TRIP ACAO XTRA WHIT</t>
  </si>
  <si>
    <t>CR DENTAL COLGATE 70G LUM WHITEC/3 CARVAO ATIVADO</t>
  </si>
  <si>
    <t>CR DENTAL COLGATE 70G LUMI WHITE GLOW MINT</t>
  </si>
  <si>
    <t>CR DENTAL COLGATE 70G LUMINO WHITE BRILLIANT</t>
  </si>
  <si>
    <t>CR DENTAL COLGATE 70G LUMINO WHITE CARVAO ATIVADO</t>
  </si>
  <si>
    <t>CR DENTAL COLGATE 70G MPA NEUTRACUCAR 70G</t>
  </si>
  <si>
    <t>CR DENTAL COLGATE 70G NEUTRACUCAR L3P2</t>
  </si>
  <si>
    <t>CR DENTAL COLGATE 70G XTRA WHITE</t>
  </si>
  <si>
    <t>CR DENTAL COLGATE 90 TRIP ACAO C/6</t>
  </si>
  <si>
    <t>CR DENTAL COLGATE 90G ANTITART C/3</t>
  </si>
  <si>
    <t>CR DENTAL COLGATE 90G ANTITARTARO</t>
  </si>
  <si>
    <t>CR DENTAL COLGATE 90G C/3 CLEAN MINT</t>
  </si>
  <si>
    <t>CR DENTAL COLGATE 90G C/3 GENG REFORCADA</t>
  </si>
  <si>
    <t>CR DENTAL COLGATE 90G MPA</t>
  </si>
  <si>
    <t>CR DENTAL COLGATE 90G SENS IMEDIATO BRANQUEADOR</t>
  </si>
  <si>
    <t>CR DENTAL COLGATE 90G SENS IMEDIATO GENGIVAS</t>
  </si>
  <si>
    <t>CR DENTAL COLGATE 90G SENS IMEDIATO ORIGINAL</t>
  </si>
  <si>
    <t>CR DENTAL COLGATE 90G SENS XTREME</t>
  </si>
  <si>
    <t>CR DENTAL COLGATE 90G TOTAL ADV FRESH</t>
  </si>
  <si>
    <t>CR DENTAL COLGATE 90G TOTAL CARV ATIVADO</t>
  </si>
  <si>
    <t>CR DENTAL COLGATE 90G TOTAL CLEAN MINT</t>
  </si>
  <si>
    <t>CR DENTAL COLGATE 90G TOTAL GENGIVA SAUDAV</t>
  </si>
  <si>
    <t>CR DENTAL COLGATE 90G TOTAL WHITENING</t>
  </si>
  <si>
    <t>CR DENTAL COLGATE 90G TRIP ACAO HORTELA</t>
  </si>
  <si>
    <t>CR DENTAL COLGATE 90G TRIPLA ACAO</t>
  </si>
  <si>
    <t>CR DENTAL COLGATE KIDS 50G S/FLUOR</t>
  </si>
  <si>
    <t>CR DENTAL COLGATE NAT EXTRACTS 140G CARVAO/MENTA</t>
  </si>
  <si>
    <t>CR DENTAL SORRISO 120G 2 EM 1</t>
  </si>
  <si>
    <t>CR DENTAL SORRISO 120G DENTES BRANCOS</t>
  </si>
  <si>
    <t>CR DENTAL SORRISO 120G HERBAL SALVIA/EUCALIP</t>
  </si>
  <si>
    <t>CR DENTAL SORRISO 120G TRIPLA LIMP COM</t>
  </si>
  <si>
    <t>CR DENTAL SORRISO 120G XTREME FRESH</t>
  </si>
  <si>
    <t>CR DENTAL SORRISO 180G DENTE BRANCO</t>
  </si>
  <si>
    <t>CR DENTAL SORRISO 70G TRIPLA LIMP C</t>
  </si>
  <si>
    <t>CR DENTAL SORRISO 90G DENTE BRANCO</t>
  </si>
  <si>
    <t>CR PENTEAR DOVE 200ML RECONSTRUCAO</t>
  </si>
  <si>
    <t>CR PENTEAR DOVE 355ML TEXT REAIS CACHEADOS</t>
  </si>
  <si>
    <t>CR PENTEAR DOVE 355ML TEXT REAIS CRESPOS</t>
  </si>
  <si>
    <t>CR PENTEAR JOHNSONS KIDS 200ML CACHOS SONHOS</t>
  </si>
  <si>
    <t>CR PENTEAR SEDA 300ML BABOSA OLEOS</t>
  </si>
  <si>
    <t>CR PENTEAR SEDA 300ML CERAMIDAS</t>
  </si>
  <si>
    <t>CR PENTEAR SEDA 300ML COLAGENO+VIT C</t>
  </si>
  <si>
    <t>CR PENTEAR SEDA 300ML COMPORT</t>
  </si>
  <si>
    <t>CR PENTEAR SEDA 300ML CR PENTEAR SEDA 300ML LUMINO</t>
  </si>
  <si>
    <t>CR PENTEAR SEDA 300ML HIDRA ANTINOS</t>
  </si>
  <si>
    <t>CR PENTEAR SEDA 300ML LISO PERFEITO</t>
  </si>
  <si>
    <t>CR PENTEAR SEDA 300ML PREB + BIOTINA</t>
  </si>
  <si>
    <t>CR PENTEAR SEDA 300ML PRETO LUMINOSO</t>
  </si>
  <si>
    <t>CR PENTEAR SEDA 700ML JOIAS NAT ABACATE/KARITE</t>
  </si>
  <si>
    <t>CR PENTEAR SEDA 700ML JOIAS NAT ARGAN/MURUMURU</t>
  </si>
  <si>
    <t>CR PENTEAR SEDA 700ML JOIAS NAT COCO/RICINO</t>
  </si>
  <si>
    <t xml:space="preserve">CR PENTEAR SEDA BOOM 1KG CR PENTEAR SEDA BOOM 1KG </t>
  </si>
  <si>
    <t>CR PENTEAR SEDA BOOM 1KG DEFINICAO FLEX</t>
  </si>
  <si>
    <t>CR PENTEAR SEDA BOOM 1KG DEFINICAO INTEN</t>
  </si>
  <si>
    <t>CR PENTEAR SEDA BOOM 1KG VOLUMAO POWER</t>
  </si>
  <si>
    <t>CR PENTEAR SEDA BOOM 350ML DEFINICAO FLEX</t>
  </si>
  <si>
    <t>CR PENTEAR SEDA BOOM 350ML DEFINICAO INTEN</t>
  </si>
  <si>
    <t>CR PENTEAR SEDA BOOM 350ML MODELADOR ANTIF</t>
  </si>
  <si>
    <t>CR PENTEAR SEDA BOOM 350ML VOLUMAO POWER</t>
  </si>
  <si>
    <t>CR PENTEAR SEDA BOOM 350ML VOLUME MAXIMO</t>
  </si>
  <si>
    <t>CR PENTEAR SEDA FROZEN 300ML BRILHO</t>
  </si>
  <si>
    <t>CR PENTEAR SEDA MOANA 300ML CACHOS ENCANTA</t>
  </si>
  <si>
    <t>CR PENTEAR TRESEMME 200ML ANTI FRIZZ</t>
  </si>
  <si>
    <t>CR PENTEAR TRESEMME 200ML HIDRATA</t>
  </si>
  <si>
    <t>CR PENTEAR TRESEMME 200ML RECONST E FORCA</t>
  </si>
  <si>
    <t>CR PENTEAR VULT CABELOS 300ML CACHOS</t>
  </si>
  <si>
    <t>CR PENTEAR VULT CABELOS 300ML CHOQUE RECONST</t>
  </si>
  <si>
    <t>CR PENTEAR VULT CABELOS 300ML RECARGA HIDRAT</t>
  </si>
  <si>
    <t>CR TRAT DOVE 250G BOND INTENSE REPAIR</t>
  </si>
  <si>
    <t>CR TRAT DOVE 270G BRILHO</t>
  </si>
  <si>
    <t>CR TRAT DOVE 270G HIDRATACAO</t>
  </si>
  <si>
    <t>CR TRAT DOVE 270G NUTRICAO</t>
  </si>
  <si>
    <t>CR TRAT DOVE 270G RECONSTRUCAO</t>
  </si>
  <si>
    <t>CR TRAT DOVE 500G HIDRATACAO</t>
  </si>
  <si>
    <t>CR TRAT DOVE 500G NUTRICAO</t>
  </si>
  <si>
    <t>CR TRAT DOVE 500G RECONSTRUCAO</t>
  </si>
  <si>
    <t>CR TRAT DOVE 500G TEXTURAS REAIS OND/CRESP/CACHE</t>
  </si>
  <si>
    <t>CR TRAT EUDORA SIAGE 250G ACELERA CRESCIM</t>
  </si>
  <si>
    <t>CR TRAT EUDORA SIAGE 250G CAUTERIZA LISOS</t>
  </si>
  <si>
    <t>CR TRAT EUDORA SIAGE 250G CICA THERAPY</t>
  </si>
  <si>
    <t>CR TRAT EUDORA SIAGE 250G GLOW EXPERT</t>
  </si>
  <si>
    <t>CR TRAT EUDORA SIAGE 250G HAIR PLASTIA</t>
  </si>
  <si>
    <t>CR TRAT EUDORA SIAGE 250G HIDRAT MICELAR</t>
  </si>
  <si>
    <t>CR TRAT EUDORA SIAGE 250G LISO INTENSO</t>
  </si>
  <si>
    <t>CR TRAT EUDORA SIAGE 250G NUTRI ROSE</t>
  </si>
  <si>
    <t>CR TRAT EUDORA SIAGE 250G PRO CRONOLOGY</t>
  </si>
  <si>
    <t>CR TRAT EUDORA SIAGE 250G RECONSTROI FIOS</t>
  </si>
  <si>
    <t>CR TRAT EUDORA SIAGE 250G RESGATE IMEDIAT</t>
  </si>
  <si>
    <t>CR TRAT SEDA 300G COLAGENO+VIT C</t>
  </si>
  <si>
    <t>CR TRAT SEDA 300G LUMINOUS UV</t>
  </si>
  <si>
    <t>CR TRAT SEDA BOOM 500G HIDRA DURADOURA</t>
  </si>
  <si>
    <t>CR TRAT TRESEMME 400G BLIND ANTIUMIDADE</t>
  </si>
  <si>
    <t>CR TRAT TRESEMME 400G BLINDAGEM ANTIFRIZZ</t>
  </si>
  <si>
    <t>CR TRAT TRESEMME 400G DETOX</t>
  </si>
  <si>
    <t>CR TRAT TRESEMME 400G LAMELAR</t>
  </si>
  <si>
    <t>CR TRAT TRESEMME 400G RECON E FORCA</t>
  </si>
  <si>
    <t>CR TRAT TRESEMME BLIND PLATINUM 400G</t>
  </si>
  <si>
    <t>CR TRAT VULT CABELOS 250G CHOQUE RECONST</t>
  </si>
  <si>
    <t>CR TRAT VULT CABELOS 250G RECARGA HIDRAT</t>
  </si>
  <si>
    <t>CRAVO DA INDIA ESP E SAB 10G</t>
  </si>
  <si>
    <t>CRAVO DA INDIA KITANO 8G</t>
  </si>
  <si>
    <t>CREME AMENDOA A TAL DA CASTANHA 200G</t>
  </si>
  <si>
    <t>CREME BALSAMICO CASA MADEIRA 100ML C/GEL MOR/PIM</t>
  </si>
  <si>
    <t>CREME BALSAMICO CASA MADEIRA 100ML MEL/LARANJA</t>
  </si>
  <si>
    <t>CREME CEBOLA MAGGI 61G C/BACON</t>
  </si>
  <si>
    <t>CREME CEBOLA MAGGI 61G C/QUEIJO</t>
  </si>
  <si>
    <t>CREME CEBOLA MAGGI 68G</t>
  </si>
  <si>
    <t>CREME CEBOLA MAGGI EQUILIBRIUM 61G</t>
  </si>
  <si>
    <t>CREME CHANT FLEISCHMANN 1L GRAN FINALE</t>
  </si>
  <si>
    <t>CREME CHANT FLEISCHMANN 200ML GRAN FINALE</t>
  </si>
  <si>
    <t>CREME CROCANTE OVOMALTINE 260G</t>
  </si>
  <si>
    <t>CREME DE AMENDOA ALMOND BREEZE 200G</t>
  </si>
  <si>
    <t>CREME DE AVELA BONNE MAMAN 360G</t>
  </si>
  <si>
    <t>CREME DE AVELA HAOMA 220G C/CACAU</t>
  </si>
  <si>
    <t>CREME DE AVELA LINEA 150G CACAU</t>
  </si>
  <si>
    <t>CREME DE AVELA NUTELLA 140G C/CACAU</t>
  </si>
  <si>
    <t>CREME DE AVELA NUTELLA 350G C/CACAU</t>
  </si>
  <si>
    <t>CREME DE AVELA NUTELLA 650G C/CACAU</t>
  </si>
  <si>
    <t>CREME DE AVELA VEG VITAO 200G Z/ACUCAR</t>
  </si>
  <si>
    <t>CREME DE LEITE NESTLE 200G LEVISSIMO</t>
  </si>
  <si>
    <t>CREME DE LEITE NESTLE 200G Z/LACT HOMOGENEIZADO</t>
  </si>
  <si>
    <t>CREME DE LEITE NESTLE 280G EXTRA CREMOSO</t>
  </si>
  <si>
    <t>CREME DE LEITE NESTLE 300G</t>
  </si>
  <si>
    <t>CREME DE LEITE NESTLE UHT TP 200G</t>
  </si>
  <si>
    <t>CREME DE LEITE PAULISTA 200G</t>
  </si>
  <si>
    <t>CREME DE LEITE PIRACANJUBA 200G</t>
  </si>
  <si>
    <t>CREME DE LEITE PIRACANJUBA 200G Z/LACTOSE</t>
  </si>
  <si>
    <t>CREME DE PISTACHE HAOMA 220G C/CHOC BRANCO</t>
  </si>
  <si>
    <t>CREME FUNGHI LA PASTINA 180G TRUF</t>
  </si>
  <si>
    <t>CREMOGEMA S/GLUTEN 180G CHOCOLATE</t>
  </si>
  <si>
    <t>CREMOGEMA S/GLUTEN 180G MORANGO</t>
  </si>
  <si>
    <t>CREMOGEMA S/GLUTEN 180G TRADICIONAL</t>
  </si>
  <si>
    <t>CUP NOODLES 64G LEGUMES</t>
  </si>
  <si>
    <t>CUP NOODLES 69G CARNE</t>
  </si>
  <si>
    <t>CUP NOODLES 69G GALINHA CAIPIRA</t>
  </si>
  <si>
    <t>CUP NOODLES 69G GALINHA CAIPIRA PICANTE</t>
  </si>
  <si>
    <t>CURATIVO BAND AID 10UN</t>
  </si>
  <si>
    <t>CURATIVO BAND AID 40UN</t>
  </si>
  <si>
    <t>CURATIVO BAND AID PEQUENOS 16UN</t>
  </si>
  <si>
    <t>CURAU DE MILHO YOKI 200G</t>
  </si>
  <si>
    <t>CURCUMA EM PO BR SPICES ESSENCIAL 60G</t>
  </si>
  <si>
    <t>CURCUMA PO BOMBAY 75G</t>
  </si>
  <si>
    <t>CURRY BOMBAY 50G</t>
  </si>
  <si>
    <t>CURRY ESP E SAB 50G</t>
  </si>
  <si>
    <t>CURRY KITANO 50GR</t>
  </si>
  <si>
    <t>CUTELO TRAMONTINA PLENUS 5''</t>
  </si>
  <si>
    <t>DESCASCADOR DE BATATAS TRAMONTINA UTILITA</t>
  </si>
  <si>
    <t>DESENTUPIDOR PIA E RALO ESFREBOM</t>
  </si>
  <si>
    <t>DESINF AJAX 500ML BANHEIRO</t>
  </si>
  <si>
    <t>DESINF AJAX 500ML PROMO BANHEIRO</t>
  </si>
  <si>
    <t>DESINF BUFALO 2L EUCALIPTO</t>
  </si>
  <si>
    <t>DESINF BUFALO 2L FLORAL</t>
  </si>
  <si>
    <t>DESINF BUFALO 2L HERBAL</t>
  </si>
  <si>
    <t>DESINF BUFALO 2L JASMIM</t>
  </si>
  <si>
    <t>DESINF BUFALO 2L LAVANDA</t>
  </si>
  <si>
    <t>DESINF BUFALO 2L OCEAN</t>
  </si>
  <si>
    <t>DESINF BUFALO 2L PINHO TRADICION</t>
  </si>
  <si>
    <t>DESINF HARPIC 200ML SQZ POWER PLUS</t>
  </si>
  <si>
    <t>DESINF KALIPTO 120ML CAPIM LIMAO</t>
  </si>
  <si>
    <t>DESINF KALIPTO 120ML OLEO DE EUCALIP</t>
  </si>
  <si>
    <t>DESINF KALIPTO 120ML OLEO DE LAVANDA</t>
  </si>
  <si>
    <t>DESINF KALIPTO 120ML OLEO DE PINHO</t>
  </si>
  <si>
    <t>DESINF KALIPTO 2L EUCALIPTO</t>
  </si>
  <si>
    <t>DESINF KALIPTO 2L HERBAL</t>
  </si>
  <si>
    <t>DESINF KALIPTO 2L LAVANDA</t>
  </si>
  <si>
    <t>DESINF KALIPTO 2L MARINE</t>
  </si>
  <si>
    <t>DESINF LYSOCLIN 1L BRUTO BACTERICID</t>
  </si>
  <si>
    <t>DESINF LYSOCLIN 1L BRUTO LAVANDA</t>
  </si>
  <si>
    <t>DESINF LYSOCLIN 400ML SPRAY BACTERI</t>
  </si>
  <si>
    <t>DESINF LYSOCLIN 500ML BRUTO BACTERICIDA</t>
  </si>
  <si>
    <t>DESINF LYSOCLIN 500ML BRUTO LAVANDA</t>
  </si>
  <si>
    <t>DESINF LYSOL 360ML SPRAY BRISA DA MANHA</t>
  </si>
  <si>
    <t>DESINF PINHO BRIL 500ML BRISA MAR</t>
  </si>
  <si>
    <t>DESINF PINHO BRIL 500ML LAVANDA</t>
  </si>
  <si>
    <t>DESINF PINHO BRIL 500ML SILVESTRE</t>
  </si>
  <si>
    <t>DESINF PINHO SOL 1,75L LAVANDA</t>
  </si>
  <si>
    <t>DESINF PINHO SOL 1,75L LEMON</t>
  </si>
  <si>
    <t>DESINF PINHO SOL 1,75L ORIGINAL</t>
  </si>
  <si>
    <t>DESINF PINHO SOL 1L 2X PODER</t>
  </si>
  <si>
    <t>DESINF PINHO SOL 1L FLOR MANDACARU</t>
  </si>
  <si>
    <t>DESINF PINHO SOL 1L LAVAN/MELALEUCA</t>
  </si>
  <si>
    <t>DESINF PINHO SOL 1L LAVANDA</t>
  </si>
  <si>
    <t>DESINF PINHO SOL 1L LIMAO</t>
  </si>
  <si>
    <t>DESINF PINHO SOL 1L LIMP PESADA EUCALIPTO</t>
  </si>
  <si>
    <t>DESINF PINHO SOL 1L LIMP PESADA ORIGINAL</t>
  </si>
  <si>
    <t>DESINF PINHO SOL 1L ORIGINAL PROMO</t>
  </si>
  <si>
    <t>DESINF PINHO SOL 1L PINHO</t>
  </si>
  <si>
    <t>DESINF PINHO SOL 500ML FLORAL</t>
  </si>
  <si>
    <t>DESINF PINHO SOL 500ML LAVANDA</t>
  </si>
  <si>
    <t>DESINF PINHO SOL 500ML LIMAO</t>
  </si>
  <si>
    <t>DESINF PINHO SOL 500ML ORIGINAL</t>
  </si>
  <si>
    <t>DESINF PINHO YPE 500ML LAVANDA</t>
  </si>
  <si>
    <t>DESINF PINHO YPE 500ML TRADICAO</t>
  </si>
  <si>
    <t>DESINF SANOL 2L EUCALIPTO</t>
  </si>
  <si>
    <t>DESINF SANOL 2L FLORAL</t>
  </si>
  <si>
    <t>DESINF SANOL 2L LAVANDA</t>
  </si>
  <si>
    <t>DESINF SANOL 2L OCEAN</t>
  </si>
  <si>
    <t>DESINF UTILIS P/HORTIFRUTI 300ML</t>
  </si>
  <si>
    <t>DESINF VEJA 1L POWER ACTION LAVANDA</t>
  </si>
  <si>
    <t>DESINF VEJA 1L POWER ACTION PINHO</t>
  </si>
  <si>
    <t>DESINF VEJA 500ML POWER ACTION LAVANDA</t>
  </si>
  <si>
    <t>DESINF VEJA 500ML POWER ACTION SQZ LAVANDA</t>
  </si>
  <si>
    <t>DESINF VEJA X-14 400ML RF BANHEIRO</t>
  </si>
  <si>
    <t>DESINF YPE BAK 2L EUCALIPTO</t>
  </si>
  <si>
    <t>DESINF YPE BAK 2L FLORAL</t>
  </si>
  <si>
    <t>DESINF YPE BAK 2L LAVANDA</t>
  </si>
  <si>
    <t>DESINF YPE BAK 500ML EUCALIPTO</t>
  </si>
  <si>
    <t>DESINF YPE BAK 500ML FLORAL</t>
  </si>
  <si>
    <t>DESINF YPE BAK 500ML LAVANDA</t>
  </si>
  <si>
    <t>DESOD AER AP REXONA 150ML COTTON COTTON</t>
  </si>
  <si>
    <t>DESOD AER AXE 150ML BLACK</t>
  </si>
  <si>
    <t>DESOD AER AXE 150ML DARK TEMPTATION</t>
  </si>
  <si>
    <t>DESOD AER AXE 152ML MARINE</t>
  </si>
  <si>
    <t>DESOD AER AXE 152ML MUSK</t>
  </si>
  <si>
    <t>DESOD AER AXE MEN 150ML APOLLO</t>
  </si>
  <si>
    <t>DESOD AER DOVE CLINICAL 150ML MEN CUIDADO TOTAL</t>
  </si>
  <si>
    <t>DESOD AER DOVE CLINICAL 150ML ORIGINAL CLEAN</t>
  </si>
  <si>
    <t>DESOD AER DOVE FEM 150ML INV DRY</t>
  </si>
  <si>
    <t>DESOD AER DOVE MEN 150ML ANTIBAC ANTIBAC</t>
  </si>
  <si>
    <t>DESOD AER DOVE MEN 150ML INVISIBLE DRY</t>
  </si>
  <si>
    <t>DESOD AER DOVE MEN 150ML INVISIBLE FRESH</t>
  </si>
  <si>
    <t>DESOD AER DOVE MEN 150ML S/PERFUME</t>
  </si>
  <si>
    <t>DESOD AER DOVE MEN 250ML LV + PG - CUIDADO TOTAL</t>
  </si>
  <si>
    <t>DESOD AER DOVE MEN 250ML LV + PG - INVISIBLE DRY</t>
  </si>
  <si>
    <t>DESOD AER DOVE MEN CARE 150ML CUID TOTAL</t>
  </si>
  <si>
    <t>DESOD AER DOVE MEN CARE 150ML EUCALIP/MENTA</t>
  </si>
  <si>
    <t>DESOD AER DOVE MEN CARE 150ML LIMAO/SALVIA</t>
  </si>
  <si>
    <t>DESOD AER DOVE WOM 150ML FRESH PEPINO</t>
  </si>
  <si>
    <t>DESOD AER DOVE WOM 150ML ORIGINAL</t>
  </si>
  <si>
    <t>DESOD AER DOVE WOMEN 250ML LV+ PG- INVISIBLE DRY</t>
  </si>
  <si>
    <t>DESOD AER DOVE WOMEN 250ML LV+ PG- ORIGINAL</t>
  </si>
  <si>
    <t>DESOD AER NIVEA 150ML DEEP MEN AMADEIRADO</t>
  </si>
  <si>
    <t>DESOD AER NIVEA 150ML DEEP MEN CARV ATIV BEAT</t>
  </si>
  <si>
    <t>DESOD AER NIVEA 150ML DEEP MEN ORIGINAL</t>
  </si>
  <si>
    <t>DESOD AER NIVEA 150ML DERMA PROTECT CLINICAL</t>
  </si>
  <si>
    <t>DESOD AER NIVEA 150ML MEN DERMA PROT CLINICAL</t>
  </si>
  <si>
    <t>DESOD AER NIVEA 200ML BLACK WHI CLEAR</t>
  </si>
  <si>
    <t>DESOD AER NIVEA 200ML COMFORT</t>
  </si>
  <si>
    <t>DESOD AER NIVEA 200ML MEN BLACK WHITE</t>
  </si>
  <si>
    <t>DESOD AER NIVEA 200ML MEN DRY IMPACT</t>
  </si>
  <si>
    <t>DESOD AER NIVEA 200ML PROTECT CARE</t>
  </si>
  <si>
    <t>DESOD AER REXONA 150ML POWDER</t>
  </si>
  <si>
    <t>DESOD AER REXONA 150ML V8</t>
  </si>
  <si>
    <t>DESOD AER REXONA 150ML XTRACOOL</t>
  </si>
  <si>
    <t>DESOD AER REXONA 150ML. ACTIVE</t>
  </si>
  <si>
    <t>DESOD AER REXONA 150ML. INVISIBLE</t>
  </si>
  <si>
    <t>DESOD AER REXONA 150ML. MEN ANTIBAC</t>
  </si>
  <si>
    <t>DESOD AER REXONA 150ML. WOM ANTIBAC</t>
  </si>
  <si>
    <t>DESOD AER REXONA 150ML. WON INVISIBLE</t>
  </si>
  <si>
    <t>DESOD AER REXONA 250ML LV+ PG- COTTON DRY</t>
  </si>
  <si>
    <t>DESOD AER REXONA 250ML LV+ PG- POWDER DRY</t>
  </si>
  <si>
    <t>DESOD AER REXONA 250ML LV+PG- INVISIB ANTIBAC</t>
  </si>
  <si>
    <t>DESOD AER REXONA 250ML LV+PG- INVISIBLE</t>
  </si>
  <si>
    <t>DESOD AER REXONA CLINICAL 150ML CLASSIC</t>
  </si>
  <si>
    <t>DESOD AER REXONA CLINICAL 150ML EXT DRY</t>
  </si>
  <si>
    <t>DESOD AER REXONA CLINICAL 150ML INTENSE FRESH</t>
  </si>
  <si>
    <t>DESOD AER REXONA CLINICAL 150ML MEN</t>
  </si>
  <si>
    <t>DESOD AER REXONA CLINICAL 150ML REFRESH</t>
  </si>
  <si>
    <t>DESOD AER REXONA CLINICAL 150ML S/PERFUME</t>
  </si>
  <si>
    <t>DESOD AER REXONA CLINICAL 150ML SPORTS</t>
  </si>
  <si>
    <t>DESOD AER REXONA MEN 150ML IMPACTO</t>
  </si>
  <si>
    <t>DESOD AER REXONA MEN 250ML LV+ PG- ACTIVE DRY</t>
  </si>
  <si>
    <t>DESOD AER REXONA MEN 250ML LV+ PG- INV ANTIBACT</t>
  </si>
  <si>
    <t>DESOD AER REXONA MEN 250ML LV+ PG- INVISIBLE</t>
  </si>
  <si>
    <t>DESOD AER REXONA MEN 250ML LV+ PG- V8</t>
  </si>
  <si>
    <t>DESOD AER REXONA PES 153ML ANTIBAC SPORT</t>
  </si>
  <si>
    <t>DESOD AER REXONA PES 153ML ANTIBAC WOMAN</t>
  </si>
  <si>
    <t>DESOD AER REXONA WOM 150ML ACT EMOT</t>
  </si>
  <si>
    <t>DESOD AER REXONA WOM 150ML BAMBOO</t>
  </si>
  <si>
    <t>DESOD AER REXONA WOM 150ML S/PERF</t>
  </si>
  <si>
    <t>DESOD AER SUAVE MEN 200ML LEV+ PG- INVISIVEL</t>
  </si>
  <si>
    <t>DESOD AER SUAVE MEN 200ML TAM ECONO SPORT</t>
  </si>
  <si>
    <t>DESOD AER SUAVE WOM 200ML LEV+ PG- INVISIVEL</t>
  </si>
  <si>
    <t>DESOD AER SUAVE WOM 200ML LEV+ PG- JASMIN/COCO</t>
  </si>
  <si>
    <t>DESOD AER WOM DOVE 150ML GO FRESH</t>
  </si>
  <si>
    <t>DESOD AER WOM DOVE 150ML SENSITIVE</t>
  </si>
  <si>
    <t>DESOD AERO NIVEA 150ML BLC&amp;WHT CLEAR</t>
  </si>
  <si>
    <t>DESOD AERO NIVEA 150ML BLC&amp;WHT FRH MEN</t>
  </si>
  <si>
    <t>DESOD AERO NIVEA 150ML BLC&amp;WHT INVISIB</t>
  </si>
  <si>
    <t>DESOD AERO NIVEA 150ML DRY COMFORT</t>
  </si>
  <si>
    <t>DESOD AERO NIVEA 150ML DRY IMPACT</t>
  </si>
  <si>
    <t>DESOD AERO NIVEA 150ML FRAG PREMIUM</t>
  </si>
  <si>
    <t>DESOD AERO NIVEA 150ML ORIG PROT MEN</t>
  </si>
  <si>
    <t>DESOD AERO NIVEA 150ML PEARL&amp;BEAUTY</t>
  </si>
  <si>
    <t>DESOD AERO NIVEA 150ML PROT&amp;CARE FEM</t>
  </si>
  <si>
    <t>DESOD AERO NIVEA 150ML SENS PROT MEN</t>
  </si>
  <si>
    <t>DESOD AXE AP URBAN 48H PROT ANTI MARKS 152ML</t>
  </si>
  <si>
    <t>DESOD BARRA DOVE 45G FRESH</t>
  </si>
  <si>
    <t>DESOD BARRA DOVE 45G INVISIBLE DRY</t>
  </si>
  <si>
    <t>DESOD BARRA DOVE 45G MEN+CARE COMFORT PROTECT</t>
  </si>
  <si>
    <t>DESOD BARRA DOVE 45G MEN+CARE INVISIBLE DRY</t>
  </si>
  <si>
    <t>DESOD BARRA DOVE 45G MEN+CARE SPORT FRESH</t>
  </si>
  <si>
    <t>DESOD BARRA DOVE 45G ORIGINAL</t>
  </si>
  <si>
    <t>DESOD BARRA DOVE 45G POWDER</t>
  </si>
  <si>
    <t>DESOD CREME SERUM DOVE 50G PREV IRRITACAO</t>
  </si>
  <si>
    <t>DESOD CREME SERUM DOVE 50G PREVINE ESCUREC</t>
  </si>
  <si>
    <t>DESOD CREME SERUM DOVE 50G REPARAC DIARIA</t>
  </si>
  <si>
    <t>DESOD REXONA CLINICAL MEN 58G CLEAN</t>
  </si>
  <si>
    <t>DESOD REXONA CLINICAL WOMEM 58G CLASSIC</t>
  </si>
  <si>
    <t>DESOD REXONA CLINICAL WOMEM 58G EXTRA DRY</t>
  </si>
  <si>
    <t>DESOD REXONA DEO AP 150ML S/PERFUME</t>
  </si>
  <si>
    <t>DESOD REXONA ROLL ON WOM 50ML ANTIBAC INV</t>
  </si>
  <si>
    <t>DESOD ROLLON DOVE MEN 50ML CUIDADO TOTAL</t>
  </si>
  <si>
    <t>DESOD ROLLON DOVE MEN 50ML INVISIBLE</t>
  </si>
  <si>
    <t>DESOD ROLLON DOVE MEN 50ML S/PERFUM</t>
  </si>
  <si>
    <t>DESOD ROLLON DOVE WOM 50ML ORIGINAL</t>
  </si>
  <si>
    <t>DESOD ROLLON NIVEA 50ML BLC&amp;WHT PWR MEN</t>
  </si>
  <si>
    <t>DESOD ROLLON NIVEA 50ML DRY COMFORT</t>
  </si>
  <si>
    <t>DESOD ROLLON NIVEA 50ML DRY IMPACT MEN</t>
  </si>
  <si>
    <t>DESOD ROLLON NIVEA 50ML INV BLC WHT CLR</t>
  </si>
  <si>
    <t>DESOD ROLLON NIVEA 50ML ORG PROT MEN</t>
  </si>
  <si>
    <t>DESOD ROLLON NIVEA 50ML PEARLS&amp;BEAUTY</t>
  </si>
  <si>
    <t>DESOD ROLLON NIVEA 50ML PROT&amp;CARE FEM</t>
  </si>
  <si>
    <t>DESOD ROLLON REXONA MEN 50ML INVISIBLE</t>
  </si>
  <si>
    <t>DESOD ROLLON REXONA MEN 50ML S/PERFUME</t>
  </si>
  <si>
    <t>DESOD ROLLON REXONA MEN 50ML V8</t>
  </si>
  <si>
    <t>DESOD ROLLON REXONA WOM 50ML POWDER</t>
  </si>
  <si>
    <t>DESOD ROLLON REXONA WOM 50ML S/PERFUME</t>
  </si>
  <si>
    <t>DESTAC DIL 500ML BRISA/LAV PROMO</t>
  </si>
  <si>
    <t>DESTAC USO DIRETO LAM 750ML PROMO</t>
  </si>
  <si>
    <t>DET FINISH ALL IN 1 MAX 208G</t>
  </si>
  <si>
    <t>DET FINISH POWERBALL QUANTUM 104G</t>
  </si>
  <si>
    <t>DET LIQ 500ML + GF 3L BRILHANTE</t>
  </si>
  <si>
    <t>DET LIQ LIMPOL 500ML C/6 CRISTAL</t>
  </si>
  <si>
    <t>DET LIQ LIMPOL 500ML C/6 NEUTRO</t>
  </si>
  <si>
    <t>DET LIQ LIMPOL 500ML COCO</t>
  </si>
  <si>
    <t>DET LIQ LIMPOL 500ML CRISTAL</t>
  </si>
  <si>
    <t>DET LIQ LIMPOL 500ML LIMAO</t>
  </si>
  <si>
    <t>DET LIQ LIMPOL 500ML MACA</t>
  </si>
  <si>
    <t>DET LIQ LIMPOL 500ML NEUTRO</t>
  </si>
  <si>
    <t>DET LIQ MINUANO 500ML CLEAR</t>
  </si>
  <si>
    <t>DET LIQ MINUANO 500ML COCO</t>
  </si>
  <si>
    <t>DET LIQ MINUANO 500ML LIMAO</t>
  </si>
  <si>
    <t>DET LIQ MINUANO 500ML MACA</t>
  </si>
  <si>
    <t>DET LIQ MINUANO 500ML MARINE</t>
  </si>
  <si>
    <t>DET LIQ MINUANO 500ML NEUTRO</t>
  </si>
  <si>
    <t>DET LIQ OMO 1,8L ULTRA POWER</t>
  </si>
  <si>
    <t>DET LIQ OMO 3L +PURO CUIDADO</t>
  </si>
  <si>
    <t>DET LIQ OMO 3L LAVAG PERFEITA</t>
  </si>
  <si>
    <t>DET LIQ OMO 3L LAVANDA</t>
  </si>
  <si>
    <t>DET LIQ OMO 450ML ROUP DELICAD COCO</t>
  </si>
  <si>
    <t>DET LIQ OMO 450ML ROUPAS DELICADAS HIPOALERGENICO</t>
  </si>
  <si>
    <t>DET LIQ OMO 500ML PURO CUIDADO</t>
  </si>
  <si>
    <t>DET LIQ OMO 900ML FINAS E DELICADAS COCO</t>
  </si>
  <si>
    <t>DET LIQ OMO 900ML FINAS E DELICADAS ORIGINAL</t>
  </si>
  <si>
    <t>DET LIQ OMO 900ML RF LAVAG PERFEITA</t>
  </si>
  <si>
    <t>DET LIQ OMO 900ML RF LAVANDA</t>
  </si>
  <si>
    <t>DET LIQ OMO 900ML RF PURO CUIDADO</t>
  </si>
  <si>
    <t>DET LIQ OMO 900ML ROUPAS DELIC BEBE</t>
  </si>
  <si>
    <t>DET LIQ OMO CONC RF 500ML P/DILUIR</t>
  </si>
  <si>
    <t>DET LIQ OMO CONCENTRADO 500ML+GF 3L</t>
  </si>
  <si>
    <t>DET LIQ OMO ORIG 450ML DELICADAS</t>
  </si>
  <si>
    <t>DET LIQ SURF 3L COCO</t>
  </si>
  <si>
    <t>DET LIQ SURF 3L LAVANDA</t>
  </si>
  <si>
    <t>DET LIQ SURF 900ML RF CUIDADO COCO</t>
  </si>
  <si>
    <t>DET LIQ SURF 900ML RF LAVANDA</t>
  </si>
  <si>
    <t>DET LIQ TIXAN YPE 1L PRIMAVERA</t>
  </si>
  <si>
    <t>DET LIQ TIXAN YPE 3L PRIM</t>
  </si>
  <si>
    <t>DET LIQ TIXAN YPE 3L PROMO PRIM FR</t>
  </si>
  <si>
    <t>DET LIQ TIXAN YPÊ 1L MACIEZ</t>
  </si>
  <si>
    <t>DET LIQ WOOLITE 450ML PRETAS ESCURAS</t>
  </si>
  <si>
    <t>DET LIQ YPE 1L POWER ACT</t>
  </si>
  <si>
    <t>DET LIQ YPE 500ML C/6 CLEAR</t>
  </si>
  <si>
    <t>DET LIQ YPE 500ML C/6 NEUTRO</t>
  </si>
  <si>
    <t>DET LIQ YPE 500ML CAPIM LIMAO</t>
  </si>
  <si>
    <t>DET LIQ YPE 500ML CLEAR</t>
  </si>
  <si>
    <t>DET LIQ YPE 500ML CLEAR CARE</t>
  </si>
  <si>
    <t>DET LIQ YPE 500ML COCO</t>
  </si>
  <si>
    <t>DET LIQ YPE 500ML LIMAO</t>
  </si>
  <si>
    <t>DET LIQ YPE 500ML MACA</t>
  </si>
  <si>
    <t>DET LIQ YPE 500ML NEUTRO</t>
  </si>
  <si>
    <t>DET LIQ YPE 5L CLEAR</t>
  </si>
  <si>
    <t>DET LIQ YPE 5L NEUTRO</t>
  </si>
  <si>
    <t>DET PO BRILHANTE 1,6KG CX CUIDADO TOTAL</t>
  </si>
  <si>
    <t>DET PO BRILHANTE 1,6KG CX DELICAD TOTAL</t>
  </si>
  <si>
    <t>DET PO BRILHANTE 1,6KG CX LIMPEZA TOTAL</t>
  </si>
  <si>
    <t>DET PO BRILHANTE 1,6KG HIG TOTAL</t>
  </si>
  <si>
    <t>DET PO BRILHANTE 4KG LIMPEZA TOTAL</t>
  </si>
  <si>
    <t>DET PO BRILHANTE 800G CX HIGIENE TOTAL</t>
  </si>
  <si>
    <t>DET PO FINISH POWER 1KG</t>
  </si>
  <si>
    <t>DET PO FINISH POWER 450G</t>
  </si>
  <si>
    <t>DET PO FINISH POWER POWDER ADVANCED REF 700G</t>
  </si>
  <si>
    <t>DET PO OMO 1,6KG GTS 150G LAVAGEM PERFEITA</t>
  </si>
  <si>
    <t>DET PO OMO 1,6KG GTS 320G LAV PERFEITA</t>
  </si>
  <si>
    <t>DET PO OMO 1,6KG LAV PERFEITA</t>
  </si>
  <si>
    <t>DET PO OMO 1,6KG LAVANDA</t>
  </si>
  <si>
    <t>DET PO OMO 1,6KG PURO CUIDADO</t>
  </si>
  <si>
    <t>DET PO OMO 1,6KG SANITIZA/HIGIENIZA</t>
  </si>
  <si>
    <t>DET PO OMO 2,2KG TAM FAMILIA LAVAGEM PERF</t>
  </si>
  <si>
    <t>DET PO OMO 2,2KG TAM FAMILIA PURO CUIDADO</t>
  </si>
  <si>
    <t>DET PO OMO 2,2KG TAM FAMILIA SANIT E HIG</t>
  </si>
  <si>
    <t>DET PO OMO 720G EXPERT</t>
  </si>
  <si>
    <t>DET PO OMO 800G GTS 200G LAV PERFEITA</t>
  </si>
  <si>
    <t>DET PO OMO 800G LAV PERFEITA</t>
  </si>
  <si>
    <t>DET PO OMO 800G LAVANDA</t>
  </si>
  <si>
    <t>DET PO OMO 800G SANITIZA/HIGIENIZA</t>
  </si>
  <si>
    <t>DET PO OMO LAVAGEM PERFEITA 4KG</t>
  </si>
  <si>
    <t>DET PO SURF 1,6KG 5 EM 1 CUID COCO</t>
  </si>
  <si>
    <t>DET PO TIXAN YPE 1,6KG CX ANTIBAC</t>
  </si>
  <si>
    <t>DET PO TIXAN YPE 2,2KG CX GTS 10% PRIMAVERA</t>
  </si>
  <si>
    <t>DET PO TIXAN YPE 2,2KG CX PRIMAVERA</t>
  </si>
  <si>
    <t>DET PO TIXAN YPE 400G MACIEZ</t>
  </si>
  <si>
    <t>DET PO TIXAN YPE 400G PRIMAVERA</t>
  </si>
  <si>
    <t>DET PO TIXAN YPE 4KG MACIEZ</t>
  </si>
  <si>
    <t>DET PO TIXAN YPE 4KG PRIMAVERA</t>
  </si>
  <si>
    <t>DET PO TIXAN YPE CX 1,6KG MACIEZ</t>
  </si>
  <si>
    <t>DET PO TIXAN YPE CX 1,6KG PRIMAVERA</t>
  </si>
  <si>
    <t>DET PO TIXAN YPE LV1,6KG PG1,520KG CX MACIEZ</t>
  </si>
  <si>
    <t>DET PO TIXAN YPE LV1,6KG PG1,520KG CX PRIMAVERA</t>
  </si>
  <si>
    <t>DET PO TIXAN YPE SAQ 2,4KG MACIEZ</t>
  </si>
  <si>
    <t>DET PO TIXAN YPE SAQ 2,4KG PRIM</t>
  </si>
  <si>
    <t>DET PO UFE 500G COCO</t>
  </si>
  <si>
    <t>DET PO URCA 500G COCO</t>
  </si>
  <si>
    <t>DET PO YPE 800G POWER ACT</t>
  </si>
  <si>
    <t>DET SANILUX LIMPA BOX 300ML</t>
  </si>
  <si>
    <t>DET TABLETE FINISH ALL IN 1 MAX 480G</t>
  </si>
  <si>
    <t>DIABO VERDE 1L DESENTUPIDOR LIQUIDO</t>
  </si>
  <si>
    <t>DIABO VERDE 250G LIMPA FORNO TRAD</t>
  </si>
  <si>
    <t>DIABO VERDE 300G GRANULADO</t>
  </si>
  <si>
    <t>DIABO VERDE 440ML LIMPA FORNO AER</t>
  </si>
  <si>
    <t>DIFUSOR AMBIENTE GIORNO 150ML ALECRIM</t>
  </si>
  <si>
    <t>DIFUSOR AMBIENTE GIORNO 150ML BAMBU/HORTELA</t>
  </si>
  <si>
    <t>DIFUSOR AMBIENTE GIORNO 150ML FLOR BAUNILHA</t>
  </si>
  <si>
    <t>DIFUSOR AMBIENTE GIORNO 150ML LAVANDA</t>
  </si>
  <si>
    <t>DOCE ABOBORA RALSTON 300G</t>
  </si>
  <si>
    <t>DOCE ABOBORA SEGREDOS FAZENDA 280G C/COCO</t>
  </si>
  <si>
    <t>DOCE ABOBORA SEGREDOS FAZENDA 500G C/COCO</t>
  </si>
  <si>
    <t>DOCE ABOBORA SERRA MINEIRA 223G COCO</t>
  </si>
  <si>
    <t>DOCE ABOBORA TESOURO REAL 400G ZERO C/COCO</t>
  </si>
  <si>
    <t>DOCE BANANADA SERRA MINEIRA 223G</t>
  </si>
  <si>
    <t>DOCE CASADINHO SERRA MINEIRA 223G</t>
  </si>
  <si>
    <t>DOCE DE LEITE AVIACAO 400G</t>
  </si>
  <si>
    <t>DOCE DE LEITE AVIACAO 600G VD</t>
  </si>
  <si>
    <t>DOCE DE LEITE CASA DA OVELHA 150G 6% LACTOSE</t>
  </si>
  <si>
    <t>DOCE DE LEITE GRAN MESTRI 440G</t>
  </si>
  <si>
    <t>DOCE DE LEITE HAVANNA 170G</t>
  </si>
  <si>
    <t>DOCE DE LEITE LASERENISSIMA 400G</t>
  </si>
  <si>
    <t>DOCE DE LEITE LOS NIETITOS 400G C/AVELA</t>
  </si>
  <si>
    <t>DOCE DE LEITE LOS NIETITOS 400G TRADICIONAL</t>
  </si>
  <si>
    <t>DOCE DE LEITE SEGREDOS FAZENDA 280G</t>
  </si>
  <si>
    <t>DOCE DE LEITE SEGREDOS FAZENDA 500G</t>
  </si>
  <si>
    <t>DOCE DE LEITE SEGREDOS FAZENDA 500G C/COCO</t>
  </si>
  <si>
    <t>DOCE DE LEITE SOJA SOYMILKE S/LACTO 340G</t>
  </si>
  <si>
    <t>DOCE DE LEITE TESOURO REAL 400G</t>
  </si>
  <si>
    <t>DOCE DE LEITE VITAO Z/ACUCAR 200G C COCO</t>
  </si>
  <si>
    <t>DOCE DE LEITE VITAO ZERO ACUCAR 200G</t>
  </si>
  <si>
    <t>DOCE FONDANT SERRA MINEIRA 223G</t>
  </si>
  <si>
    <t>DOCE FONDANT SERRA MINEIRA 223G AMEIXA</t>
  </si>
  <si>
    <t>DOCE FONDANT SERRA MINEIRA 223G COCO</t>
  </si>
  <si>
    <t>DOCE FONDANT SERRA MINEIRA 223G MORANGO</t>
  </si>
  <si>
    <t>DOCE GOIABA HUE CREMOSO DIET 210G</t>
  </si>
  <si>
    <t>DOCE GOIABADA SEGREDOS FAZENDA 270G</t>
  </si>
  <si>
    <t>DOCE GOIABADA SEGREDOS FAZENDA 500G</t>
  </si>
  <si>
    <t>DOCE NATA SERRA MINEIRA 223G CAFE</t>
  </si>
  <si>
    <t>DOGUITOS RODIZIO 65G CARNE</t>
  </si>
  <si>
    <t>DOGUITOS RODIZIO 65G FRANGO</t>
  </si>
  <si>
    <t>DOGUITOS RODIZIO LINGUICINHA 45G</t>
  </si>
  <si>
    <t>DORAYAKI AZUKI CASTELLA 280G</t>
  </si>
  <si>
    <t>DORAYAKI CREME CASTELLA 280G</t>
  </si>
  <si>
    <t>DUETO KNORR 170G</t>
  </si>
  <si>
    <t>ELIMINADOR ODOR DOG SANOL 2L CITRON</t>
  </si>
  <si>
    <t>ELIMINADOR ODOR DOG SANOL 2L HERBAL</t>
  </si>
  <si>
    <t>ELIMINADOR ODOR DOG SANOL 2L TRAD</t>
  </si>
  <si>
    <t>EMULSAO DAY AFTER SEDA BOOM 350ML DEFINICAO INTEN</t>
  </si>
  <si>
    <t>ENERGETICO MONSTER 473ML ABSOLUTELY ZERO</t>
  </si>
  <si>
    <t>ENERGETICO MONSTER 473ML DRAGON ICE TEA</t>
  </si>
  <si>
    <t>ENERGETICO MONSTER 473ML DRAGON PESSEGO</t>
  </si>
  <si>
    <t>ENERGETICO MONSTER 473ML ENERGY</t>
  </si>
  <si>
    <t>ENERGETICO MONSTER 473ML FIESTA MANGO</t>
  </si>
  <si>
    <t>ENERGETICO MONSTER 473ML KHAOTIC ORANGE</t>
  </si>
  <si>
    <t>ENERGETICO MONSTER 473ML MANGO LOCO</t>
  </si>
  <si>
    <t>ENERGETICO MONSTER 473ML PARADISE</t>
  </si>
  <si>
    <t>ENERGETICO MONSTER 473ML PIPELINE PUNCH</t>
  </si>
  <si>
    <t>ENERGETICO MONSTER 473ML PUNCH</t>
  </si>
  <si>
    <t>ENERGETICO MONSTER 473ML ULTR WATERMELON</t>
  </si>
  <si>
    <t>ENERGETICO MONSTER 473ML ULTRA</t>
  </si>
  <si>
    <t>ENERGETICO MONSTER 473ML ULTRA PEACHY</t>
  </si>
  <si>
    <t>ENERGETICO MONSTER 473ML ULTRA VIOLET</t>
  </si>
  <si>
    <t>ENERGETICO MONSTER 473ML ZERO ACUCAR</t>
  </si>
  <si>
    <t>ENERGETICO ORGANICO WEWI 269ML LT ORIGINAL</t>
  </si>
  <si>
    <t>ENERGETICO RED BULL 250ML CEREJA/FRUT SIL</t>
  </si>
  <si>
    <t>ENERGETICO RED BULL 250ML MARACUJA/MELAO</t>
  </si>
  <si>
    <t>ENERGETICO RED BULL 250ML MELANCIA</t>
  </si>
  <si>
    <t>ENERGETICO RED BULL 250ML PESSEGO/MORANGO</t>
  </si>
  <si>
    <t>ENERGETICO RED BULL 250ML REGULAR</t>
  </si>
  <si>
    <t>ENERGETICO RED BULL 250ML SUGARFREE</t>
  </si>
  <si>
    <t>ENERGETICO RED BULL 250ML SUGARFREE FRUT VERMELHAS</t>
  </si>
  <si>
    <t>ENERGETICO RED BULL 250ML SUGARFREE POMELO</t>
  </si>
  <si>
    <t>ENERGETICO RED BULL 250ML TROPICAL</t>
  </si>
  <si>
    <t>ENERGETICO RED BULL 355ML REGULAR</t>
  </si>
  <si>
    <t>ENERGETICO RED BULL 473ML</t>
  </si>
  <si>
    <t>ENERGETICO TNT 473ML LT ORIGINAL</t>
  </si>
  <si>
    <t>ENERGETICO TNT 473ML MANGO SUMMER</t>
  </si>
  <si>
    <t>ENERGETICO TNT FOCUS 473ML Z/ACUCAR PINK LEMONADE</t>
  </si>
  <si>
    <t>ENERGETICO TNT FOCUS 473ML Z/ACUCAR TRADICIONAL</t>
  </si>
  <si>
    <t>ENSACA TUDO 2KG C/100</t>
  </si>
  <si>
    <t>ENSACA TUDO 3KG C/100</t>
  </si>
  <si>
    <t>ENSACA TUDO 5KG C/100</t>
  </si>
  <si>
    <t>ENX BUCAL CLOSEUP 250ML FRESH RED HOT</t>
  </si>
  <si>
    <t>ENX BUCAL CLOSEUP 250ML PROT 360 FRESH ICE</t>
  </si>
  <si>
    <t>ENX BUCAL CLOSEUP L500ML P350ML ICE</t>
  </si>
  <si>
    <t>ENX BUCAL CLOSEUP L500ML P350ML S/A ICE</t>
  </si>
  <si>
    <t>ENX BUCAL CLOSEUP L500ML P350ML S/A RED HOT</t>
  </si>
  <si>
    <t>ENX BUCAL COLGATE 500ML CLASSIC</t>
  </si>
  <si>
    <t>ENX BUCAL COLGATE 500ML FRESH MINT</t>
  </si>
  <si>
    <t>ENX BUCAL COLGATE 500ML ICE</t>
  </si>
  <si>
    <t>ENX BUCAL COLGATE 500ML ICE INFINITY</t>
  </si>
  <si>
    <t>ENX BUCAL COLGATE CM 500ML+CR DENT T12 90G</t>
  </si>
  <si>
    <t>ENX BUCAL COLGATE L750ML P500ML FRESH MINT</t>
  </si>
  <si>
    <t>ENX BUCAL COLGATE L750ML P500ML ODOR CONTROL</t>
  </si>
  <si>
    <t>ENX BUCAL COLGATE LUM WHIT 500ML CARVAO</t>
  </si>
  <si>
    <t>ENX BUCAL COLGATE NATURAL EXTRACT 500ML CITRUS</t>
  </si>
  <si>
    <t>ENX BUCAL COLGATE PLAX 250ML COLD MINT</t>
  </si>
  <si>
    <t>ENX BUCAL COLGATE PLAX 250ML FRESH MINT</t>
  </si>
  <si>
    <t>ENX BUCAL COLGATE PLAX 250ML Z/A ODOR CONTROL</t>
  </si>
  <si>
    <t>ENX BUCAL COLGATE PLAX 500ML Z/A ODOR CONTROL</t>
  </si>
  <si>
    <t>ENX BUCAL COLGATE PLAX KIDS 250ML AZUL</t>
  </si>
  <si>
    <t>ENX BUCAL COLGATE PLAX KIDS 250ML ROSA</t>
  </si>
  <si>
    <t>ENX BUCAL COLGATE PLAX L500 P350 ICE FUSION</t>
  </si>
  <si>
    <t>ENX BUCAL COLGATE PLAX LV1L PG700ML FRESH MINT</t>
  </si>
  <si>
    <t>ENX BUCAL COLGATE PLAX LV1L PG700ML ICE INFINITY</t>
  </si>
  <si>
    <t>ENX BUCAL COLGATE T12 250ML ANTI TARTARO</t>
  </si>
  <si>
    <t>ENX BUCAL COLGATE T12 250ML CLEAN MINT</t>
  </si>
  <si>
    <t>ENX BUCAL COLGATE T12 500ML CARVAO</t>
  </si>
  <si>
    <t>ENX BUCAL COLGATE T12 500ML CLEAN MINT</t>
  </si>
  <si>
    <t>ENX BUCAL COLGATE T12 500ML GENGIVA REFORCA</t>
  </si>
  <si>
    <t>ENX BUCAL COLGATE T12 60ML SPRAY EXTRA MINT</t>
  </si>
  <si>
    <t>ENX BUCAL LISTERINE 1L COOL MINT</t>
  </si>
  <si>
    <t>ENX BUCAL LISTERINE 1L Z/ALCOOL COOL MINT</t>
  </si>
  <si>
    <t>ENX BUCAL LISTERINE 236ML WHITENING</t>
  </si>
  <si>
    <t>ENX BUCAL LISTERINE 250ML COOL MINT</t>
  </si>
  <si>
    <t>ENX BUCAL LISTERINE 250ML COOL MINT Z/ALCOOL</t>
  </si>
  <si>
    <t>ENX BUCAL LISTERINE 250ML CUIDADO TOTAL</t>
  </si>
  <si>
    <t>ENX BUCAL LISTERINE 250ML MELAN/HOR Z/ALCOOL</t>
  </si>
  <si>
    <t>ENX BUCAL LISTERINE 250ML TARTAR CONTROL</t>
  </si>
  <si>
    <t>ENX BUCAL LISTERINE 250ML Z/ALCOOL ANTICARIES</t>
  </si>
  <si>
    <t>ENX BUCAL LISTERINE 250ML Z/ALCOOL CUIDADO TOTAL</t>
  </si>
  <si>
    <t>ENX BUCAL LISTERINE 250ML Z/ALCOOL TARTAR CONTROL</t>
  </si>
  <si>
    <t>ENX BUCAL LISTERINE 500ML COOL MINT LV + PG -</t>
  </si>
  <si>
    <t>ENX BUCAL LISTERINE 500ML CUIDADO TOTAL</t>
  </si>
  <si>
    <t>ENX BUCAL LISTERINE 500ML TARTAR CONTROL</t>
  </si>
  <si>
    <t>ENX BUCAL LISTERINE 500ML Z/ALCOOL ANTICARIES</t>
  </si>
  <si>
    <t>ENX BUCAL LISTERINE 500ML Z/ALCOOL COOL MINT</t>
  </si>
  <si>
    <t>ENX BUCAL LISTERINE 500ML Z/ALCOOL CUIDADO TOTAL</t>
  </si>
  <si>
    <t>ENX BUCAL LISTERINE 500ML Z/ALCOOL MELANCIA/HORTEL</t>
  </si>
  <si>
    <t>ENX BUCAL LISTERINE 500ML Z/ALCOOL TARTAR CONTROL</t>
  </si>
  <si>
    <t>ERVA CIDREIRA ESP E SAB 15G</t>
  </si>
  <si>
    <t>ERVA DOCE ESP E SAB 25G</t>
  </si>
  <si>
    <t>ERVA DOCE KITANO 40G</t>
  </si>
  <si>
    <t>ERVA MATE CHIMARRAO GAUCHO 500G TERERE</t>
  </si>
  <si>
    <t>ERVA MATE CHIMARRAO GAUCHO 500G TRADICIONAL</t>
  </si>
  <si>
    <t>ERVAS FINA ESP E SAB 15G</t>
  </si>
  <si>
    <t>ERVILHA BONDUELLE 170G TRAD</t>
  </si>
  <si>
    <t>ERVILHA BONDUELLE AO NATURAL 200G</t>
  </si>
  <si>
    <t>ERVILHA CAMIL 500G</t>
  </si>
  <si>
    <t>ERVILHA E CENOURA BONDUELLE 265G</t>
  </si>
  <si>
    <t>ERVILHA E CENOURA OLE 200G</t>
  </si>
  <si>
    <t>ERVILHA E MILHO QUERO 170G LT</t>
  </si>
  <si>
    <t>ERVILHA FINAS FRANCESA BONDUE 280G</t>
  </si>
  <si>
    <t>ERVILHA KNORR 170G</t>
  </si>
  <si>
    <t>ERVILHA LIGHT BONDUELLE 200G</t>
  </si>
  <si>
    <t>ERVILHA PARTIDA YOKI 400G</t>
  </si>
  <si>
    <t>ERVILHA QUERO 170G LT</t>
  </si>
  <si>
    <t>ERVILHA QUERO 170G SACHE</t>
  </si>
  <si>
    <t>ESC CONDOR LAVA CANTO</t>
  </si>
  <si>
    <t>ESC CONDOR P/ CABELO RAQUEL 1UN</t>
  </si>
  <si>
    <t>ESC CONDOR P/CABELO CURTO/FINO 1UN ECO</t>
  </si>
  <si>
    <t>ESC CONDOR P/CABELO ESSEN DESEMB MOLHADOS 1UN</t>
  </si>
  <si>
    <t>ESC CONDOR P/CABELO ESSEN MOD CURTO LISO 1UN</t>
  </si>
  <si>
    <t>ESC CONDOR P/CABELO FIOS MEDIOS 1UN ECO</t>
  </si>
  <si>
    <t>ESC CONDOR P/CABELO FRAGILIZADO 1UN</t>
  </si>
  <si>
    <t>ESC CONDOR P/CABELO MED/GROSSO 1UN ECO</t>
  </si>
  <si>
    <t>ESC CONDOR P/CABELO MOLHADO DESEMBA 1UN</t>
  </si>
  <si>
    <t>ESC DENT CLOSEUP DEEP CLEAN MEDIA C/3UN</t>
  </si>
  <si>
    <t>ESC DENT COLGATE 360 MACIA BLACK 2X1</t>
  </si>
  <si>
    <t>ESC DENT COLGATE 360 MACIA LIMP COM 2X1</t>
  </si>
  <si>
    <t>ESC DENT COLGATE 360 MACIA LUM WHIT L2P1</t>
  </si>
  <si>
    <t>ESC DENT COLGATE CLASSIC CLEAN MACIA C/3UN</t>
  </si>
  <si>
    <t>ESC DENT COLGATE CLASSIC MEDIA CLEAN</t>
  </si>
  <si>
    <t>ESC DENT COLGATE COLORS 5PACK</t>
  </si>
  <si>
    <t>ESC DENT COLGATE ELETRICA PHILIPS SONICPRO 10</t>
  </si>
  <si>
    <t>ESC DENT COLGATE ESSENCIAL CLEAN MACIA</t>
  </si>
  <si>
    <t>ESC DENT COLGATE EXTRA CLEAN MEDIA PRECO ESPECIAL</t>
  </si>
  <si>
    <t>ESC DENT COLGATE KIDS 2-5 ANOS 2 PACK</t>
  </si>
  <si>
    <t>ESC DENT COLGATE KIDS 6 ANOS 2 PACK</t>
  </si>
  <si>
    <t>ESC DENT COLGATE KIDS MACIA C/2UN</t>
  </si>
  <si>
    <t>ESC DENT COLGATE LIMPEZA ESPUMOSA SUAVE 2UN</t>
  </si>
  <si>
    <t>ESC DENT COLGATE MACIA GENG THERAPY</t>
  </si>
  <si>
    <t>ESC DENT COLGATE MACIA SORRISO FRESH C/5UN</t>
  </si>
  <si>
    <t>ESC DENT COLGATE PREMIER CLEAN MED</t>
  </si>
  <si>
    <t>ESC DENT COLGATE SENSITIVE</t>
  </si>
  <si>
    <t>ESC DENT COLGATE SLIM SOFT BLACK 2U</t>
  </si>
  <si>
    <t>ESC DENT COLGATE SLIMSOFT BLACK 4 PACK</t>
  </si>
  <si>
    <t>ESC DENT COLGATE SMILES MINIONS 2-5 ANOS</t>
  </si>
  <si>
    <t>ESC DENT COLGATE SMILES TITANS GO 6+ ANOS</t>
  </si>
  <si>
    <t>ESC DENT COLGATE TANDY 2P</t>
  </si>
  <si>
    <t>ESC DENT COLGATE TRIPLA ACAO MEDIA L2P1</t>
  </si>
  <si>
    <t>ESC DENT COLGATE TWISTER SUAVE 2X1</t>
  </si>
  <si>
    <t>ESC DENT COLGATE WHITENING SUAVE 2UN</t>
  </si>
  <si>
    <t>ESC DENT COLGATE ZIG ZAG C/2UN</t>
  </si>
  <si>
    <t>ESC DENT COLGATE ZIG ZAG C/4UN</t>
  </si>
  <si>
    <t>ESC DENT COLGATE ZIG ZAG CARVAO</t>
  </si>
  <si>
    <t>ESC DENT CONDOR/INF 2UN ADULTO</t>
  </si>
  <si>
    <t>ESC DENT CURAPROX BABY SUPER SOFT</t>
  </si>
  <si>
    <t>ESC DENT CURAPROX DUO ULTRA SOFT</t>
  </si>
  <si>
    <t>ESC DENT CURAPROX DUO ULTRA SOFT 5460</t>
  </si>
  <si>
    <t>ESC DENT CURAPROX SMART ULTRA SOFT</t>
  </si>
  <si>
    <t>ESC DENT CURAPROX TRIO ULTRA SOFT</t>
  </si>
  <si>
    <t>ESC DENT CURAPROX ULTRA SOFT</t>
  </si>
  <si>
    <t>ESC DENT JOHNSONS MACIA 40</t>
  </si>
  <si>
    <t>ESC DENT JOHNSONS MEDIA 40</t>
  </si>
  <si>
    <t>ESC DENT SORRISO MACIA TRIPLA L3P2</t>
  </si>
  <si>
    <t>ESC DENT SORRISO/KOLYNOS ORIGINAL MEDIA</t>
  </si>
  <si>
    <t>ESC DENTAL COL SMILES LIGA JUSTICA</t>
  </si>
  <si>
    <t>ESC DENTAL COLGATE MACIA GENGIVA THERAPY 1UN</t>
  </si>
  <si>
    <t>ESC DENTAL SORRISO MACIA INFUSAO CARVAO C/2UN</t>
  </si>
  <si>
    <t>ESC DENTAL SORRISO MACIA TRIPLA C/2UN</t>
  </si>
  <si>
    <t>ESC NOVICA ANATOMICA JEANS</t>
  </si>
  <si>
    <t>ESC NOVICA CANTOS</t>
  </si>
  <si>
    <t>ESC NOVICA LIMPEZA DELICADA</t>
  </si>
  <si>
    <t>ESC NOVICA LONGO ALCANCE</t>
  </si>
  <si>
    <t>ESC P/BANHO BETTABANHO RELAX</t>
  </si>
  <si>
    <t>ESC SANITARIA SANILUX C/ POTE</t>
  </si>
  <si>
    <t>ESFOLIANTE FACIAL NEUTROGENA 100G DEEP CLEAN</t>
  </si>
  <si>
    <t>ESFOLIANTE FACIAL NEUTROGENA 100G PURIFIED SKIN</t>
  </si>
  <si>
    <t>ESFOLIANTE FACIAL NIVEA 75ML ACNE CONTROL</t>
  </si>
  <si>
    <t>ESPATULA PARA PIZZA TRAMONTINA UTILITA</t>
  </si>
  <si>
    <t>ESPETO BAMBU P/CHURRASCO FIAT LUX C/50</t>
  </si>
  <si>
    <t>ESPETO BAMBU P/CHURRASCO JUNCO C/50</t>
  </si>
  <si>
    <t>ESPINHEIRA SANTA ESP E SAB 10G</t>
  </si>
  <si>
    <t>ESPONJA BANHO BETTABANHO BETA</t>
  </si>
  <si>
    <t>ESPONJA BANHO BETTABANHO BETA C/3</t>
  </si>
  <si>
    <t>ESPONJA BANHO BETTABANHO ESFOLIANTE</t>
  </si>
  <si>
    <t>ESPONJA BANHO CONDOR BASICA</t>
  </si>
  <si>
    <t>ESPONJA BANHO CONDOR INFAN BEBE</t>
  </si>
  <si>
    <t>ESPONJA BANHO CONDOR INFANT HOTWEELS</t>
  </si>
  <si>
    <t>ESPONJA BOMBRIL ANTIADERENTE C/1</t>
  </si>
  <si>
    <t>ESPONJA BOMBRIL ANTIADERENTE C/3</t>
  </si>
  <si>
    <t>ESPONJA BOMBRIL MULTIUSO C/1</t>
  </si>
  <si>
    <t>ESPONJA BOMBRIL MULTIUSO LV4 PG3</t>
  </si>
  <si>
    <t>ESPONJA BRILHUS MULTIUSO LV4 PG3</t>
  </si>
  <si>
    <t>ESPONJA CONDOR LIMPEZA PESADA C/1 GRELHA/ESPETO</t>
  </si>
  <si>
    <t>ESPONJA CONDOR LIMPEZA PESADA C/3</t>
  </si>
  <si>
    <t>ESPONJA CONDOR MULTIUSO UN</t>
  </si>
  <si>
    <t>ESPONJA ESFREBOM ANATOMICA MAGICA C/2</t>
  </si>
  <si>
    <t>ESPONJA ESFREBOM INOX</t>
  </si>
  <si>
    <t>ESPONJA ESFREBOM MULTIUSO DURA MAIS</t>
  </si>
  <si>
    <t>ESPONJA ESFREBOM MULTIUSO LIMPEZA PESADA</t>
  </si>
  <si>
    <t>ESPONJA ESFREBOM MULTIUSO LV4 PG3</t>
  </si>
  <si>
    <t>ESPONJA ESFREBOM MULTIUSO PROTEGE UNHAS</t>
  </si>
  <si>
    <t>ESPONJA ESFREBOM NAO RISCA</t>
  </si>
  <si>
    <t>ESPONJA ESFREBOM NAO RISCA C/3</t>
  </si>
  <si>
    <t>ESPONJA ESFREBOM SFREG C/2</t>
  </si>
  <si>
    <t>ESPONJA INOX BRILLO 16G</t>
  </si>
  <si>
    <t>ESPONJA YPE MULTIUSO ANATOMICA C/1</t>
  </si>
  <si>
    <t>ESPONJA YPE MULTIUSO ANATOMICA C/3</t>
  </si>
  <si>
    <t>ESPUMA BARBEAR NIVEA MEN 200ML DEEP</t>
  </si>
  <si>
    <t>ESPUMA NOVICA REFIL P/MOP SEKITO</t>
  </si>
  <si>
    <t>ESPUMADEIRA TRAMONTINA UTILITA</t>
  </si>
  <si>
    <t>EVITA MOFO SANOL SEC 100G CARINHO</t>
  </si>
  <si>
    <t>EVITA MOFO SANOL SEC 100G LAVANDA</t>
  </si>
  <si>
    <t>EVITA MOFO SANOL SEC 100G NEUTRO</t>
  </si>
  <si>
    <t>EXTRATO BAUNILHA BOMBAY 30ML</t>
  </si>
  <si>
    <t>EXTRATO DE PROPOLIS KORIN 30ML</t>
  </si>
  <si>
    <t>EXTRATO PROPOLIS EMPORIO DO MEL 30ML</t>
  </si>
  <si>
    <t>EXTRATO TOMATE ELEFANTE 130G</t>
  </si>
  <si>
    <t>EXTRATO TOMATE ELEFANTE 300G</t>
  </si>
  <si>
    <t>EXTRATO TOMATE QUERO 190G</t>
  </si>
  <si>
    <t>EXTRATO TOMATE QUERO SACHE 300G</t>
  </si>
  <si>
    <t>EXTRATO TOMATE SALSARETTI 300G</t>
  </si>
  <si>
    <t>EXTRATO TOMATE SALSARETTI 300G POTE</t>
  </si>
  <si>
    <t>FACA FORTE STRAWPLAST CRIST C/20</t>
  </si>
  <si>
    <t>FACA PARA PAO TRAMONTINA PLENUS 8''</t>
  </si>
  <si>
    <t>FACA PARA QUEIJO TRAMONTINA PLENUS 6''</t>
  </si>
  <si>
    <t>FANCY FEAST 85G CASS ATUM/SALM</t>
  </si>
  <si>
    <t>FANCY FEAST 85G CASS FGO/PERU</t>
  </si>
  <si>
    <t>FANCY FEAST 85G DEM GLACE CARNE</t>
  </si>
  <si>
    <t>FANCY FEAST 85G GOULASH ATUM</t>
  </si>
  <si>
    <t>FANCY FEAST 85G GOULASH PERU</t>
  </si>
  <si>
    <t>FANCY FEAST 85G PETIT CARNE</t>
  </si>
  <si>
    <t>FANCY FEAST 85G PETIT SALMAO</t>
  </si>
  <si>
    <t>FAQUEIRO TRAMONTINA 24 PC MALIBU</t>
  </si>
  <si>
    <t>FARELO DE AVEIA JASMINE 200G</t>
  </si>
  <si>
    <t>FARELO DE AVEIA NESTLE 170G OAT BRAN</t>
  </si>
  <si>
    <t>FARELO DE AVEIA YOKI 170G OAT BRAN</t>
  </si>
  <si>
    <t>FARINHA COLAVITA DI GRAN TENERO 1KG</t>
  </si>
  <si>
    <t>FARINHA DE ARROZ INT URBANO 1KG</t>
  </si>
  <si>
    <t>FARINHA DE ARROZ TIO JOAO S/GLUTEN 1KG</t>
  </si>
  <si>
    <t>FARINHA DE ARROZ URBANO 1KG TRAD</t>
  </si>
  <si>
    <t>FARINHA DE AVEIA INT VITAO 170G</t>
  </si>
  <si>
    <t>FARINHA DE AVEIA NESTLE 170G</t>
  </si>
  <si>
    <t>FARINHA DE AVEIA QUAKER 165G</t>
  </si>
  <si>
    <t>FARINHA DE AVEIA YOKI 170G</t>
  </si>
  <si>
    <t>FARINHA DE BANANA CAMPO VERDE 300G</t>
  </si>
  <si>
    <t>FARINHA DE LINHACA CAMPO VERDE 200G</t>
  </si>
  <si>
    <t>FARINHA DE LINHACA DOU JASMINE 200G</t>
  </si>
  <si>
    <t>FARINHA DE LINHACA VITAO 150G</t>
  </si>
  <si>
    <t>FARINHA DE MARACUJA CAMPO VERDE 100G</t>
  </si>
  <si>
    <t>FARINHA LACTEA NESTLE 360G ORIGINAL</t>
  </si>
  <si>
    <t>FARINHA LACTEA NESTLE SACHE 210G</t>
  </si>
  <si>
    <t>FARINHA MAND FLOCADA BIJU YOKI 500G</t>
  </si>
  <si>
    <t>FARINHA MAND PANTERA 1 KG</t>
  </si>
  <si>
    <t>FARINHA MAND PANTERA 1KG GROSSA</t>
  </si>
  <si>
    <t>FARINHA MAND PANTERA 1KG NORTE</t>
  </si>
  <si>
    <t>FARINHA MAND PANTERA 500G</t>
  </si>
  <si>
    <t>FARINHA MAND PANTERA 500G TORRADA</t>
  </si>
  <si>
    <t>FARINHA MAND YOKI 1KG</t>
  </si>
  <si>
    <t>FARINHA MAND YOKI TORRADA 500G</t>
  </si>
  <si>
    <t>FARINHA MANDI YOKI 500G</t>
  </si>
  <si>
    <t>FARINHA MILHO YOKI 500G AMARELA</t>
  </si>
  <si>
    <t>FARINHA ORGANOVITA 100G CASCA UVA</t>
  </si>
  <si>
    <t>FARINHA ORGANOVITA 100G MACA</t>
  </si>
  <si>
    <t>FARINHA PANKO KENKO 200G</t>
  </si>
  <si>
    <t>FARINHA PANKO SAKURA 200G</t>
  </si>
  <si>
    <t>FARINHA PREMIUM SCHAR 500G</t>
  </si>
  <si>
    <t>FARINHA ROSCA PULLMAN 500G</t>
  </si>
  <si>
    <t>FARINHA ROSCA YOKI 500G</t>
  </si>
  <si>
    <t>FARINHA SEMOLA GRANO DURO 1KG</t>
  </si>
  <si>
    <t>FARINHA TEMPURA MR HUNG 500G</t>
  </si>
  <si>
    <t>FARINHA TRIGO DONA BENTA 1KG C/FERMENTO</t>
  </si>
  <si>
    <t>FARINHA TRIGO DONA BENTA BIOVITA 1KG</t>
  </si>
  <si>
    <t>FARINHA TRIGO DONA BENTA ESPECIAL 1KG</t>
  </si>
  <si>
    <t>FARINHA TRIGO DONA BENTA RESERV ESP 1KG</t>
  </si>
  <si>
    <t>FARINHA TRIGO RENATA ESPECIAL 1KG</t>
  </si>
  <si>
    <t>FARINHA TRIGO RENATA INTEGRAL 1KG</t>
  </si>
  <si>
    <t>FARINHA TRIGO RENATA SEMOLINA 1KG</t>
  </si>
  <si>
    <t>FARINHA TRIGO SOL ESPECIAL 1KG</t>
  </si>
  <si>
    <t>FAROFA CROCK 190G MIX CAST/CAJU</t>
  </si>
  <si>
    <t>FAROFA DE MILHO DGOIAS 250G TRADICIONAL</t>
  </si>
  <si>
    <t>FAROFA MANDIOCA DGOIAS 250G C/SOJA</t>
  </si>
  <si>
    <t>FAROFA MANDIOCA DGOIAS 250G PICANTE</t>
  </si>
  <si>
    <t>FAROFA MANDIOCA DGOIAS 250G TRADICIONAL</t>
  </si>
  <si>
    <t>FAROFA MANDIOCA DGOIAS 300G C/ALHO</t>
  </si>
  <si>
    <t>FAROFA MANDIOCA DGOIAS 300G C/TORRESMO</t>
  </si>
  <si>
    <t>FAROFA MANDIOCA DGOIAS 300G EXT CEBOLA</t>
  </si>
  <si>
    <t>FAROFA MANDIOCA YOKI 200G TEMP SUAVE</t>
  </si>
  <si>
    <t>FAROFA MANDIOCA YOKI 400G TEMP</t>
  </si>
  <si>
    <t>FAROFA MANDIOCA YOKI CASEIRISSIMA 200G BANANA</t>
  </si>
  <si>
    <t>FAROFA MANDIOCA YOKI CASEIRISSIMA 200G CEBOLA</t>
  </si>
  <si>
    <t>FAROFA MANDIOCA YOKI CASEIRISSIMA 200G COSTELINHA</t>
  </si>
  <si>
    <t>FAROFA MILHO YOKI TEMPERADA 400G</t>
  </si>
  <si>
    <t>FAVA DE BAUNILHA BR SPICES 2G</t>
  </si>
  <si>
    <t>FECULA DE BATATA VITAO 300G</t>
  </si>
  <si>
    <t>FEIJAO BRANCO BONDUELLE 250G</t>
  </si>
  <si>
    <t>FEIJAO BRANCO CAMIL 500G TIPO 1</t>
  </si>
  <si>
    <t>FEIJAO BRANCO CONS CAMIL 380G</t>
  </si>
  <si>
    <t>FEIJAO BROTO LEGAL 500G BOLINHA</t>
  </si>
  <si>
    <t>FEIJAO BROTO LEGAL 500G JALO</t>
  </si>
  <si>
    <t>FEIJAO BROTO LEGAL 500G RAJADO</t>
  </si>
  <si>
    <t>FEIJAO BROTO LEGAL 500G ROSINHA</t>
  </si>
  <si>
    <t>FEIJAO CAMIL 500G BOLINHA</t>
  </si>
  <si>
    <t>FEIJAO CAMIL FRADINHO 500G</t>
  </si>
  <si>
    <t>FEIJAO CAMIL JALO 500G</t>
  </si>
  <si>
    <t>FEIJAO CAMIL ROSINHA 500G</t>
  </si>
  <si>
    <t>FEIJAO CARIOCA BROTO LEGAL TIPO 1 1KG</t>
  </si>
  <si>
    <t>FEIJAO CARIOCA CAMIL 1KG TIPO 1</t>
  </si>
  <si>
    <t>FEIJAO CARIOCA COZIDO CAMIL 490G</t>
  </si>
  <si>
    <t>FEIJAO CARIOCA ORG KORIN 500G</t>
  </si>
  <si>
    <t>FEIJAO CARIOCA PANTERA 1KG</t>
  </si>
  <si>
    <t>FEIJAO CARIOCA TEMP E COZ CAMIL 380G</t>
  </si>
  <si>
    <t>FEIJAO CARIOCA VAPZA 500G</t>
  </si>
  <si>
    <t>FEIJAO PRETO BROTO LEGAL 1KG TIPO 1</t>
  </si>
  <si>
    <t>FEIJAO PRETO CAMIL 1KG</t>
  </si>
  <si>
    <t>FEIJAO PRETO CONSERVA CAMIL 380G</t>
  </si>
  <si>
    <t>FEIJAO PRETO ORG KORIN 500G</t>
  </si>
  <si>
    <t>FEIJAO PRETO ORGANICO VAPZA 250G</t>
  </si>
  <si>
    <t>FEIJAO PRETO PANTERA 1KG</t>
  </si>
  <si>
    <t>FEIJAO PRETO T1 CAMIL 500G</t>
  </si>
  <si>
    <t>FEIJAO PRETO VAPZA 500G</t>
  </si>
  <si>
    <t>FEIJAO URBANO 500G FRADINHO</t>
  </si>
  <si>
    <t>FEIJOADA VAPZA 500G</t>
  </si>
  <si>
    <t>FERMENTO BIOLOGICO DR OETKER 10G</t>
  </si>
  <si>
    <t>FERMENTO FERMIX DONA BENTA 125G</t>
  </si>
  <si>
    <t>FERMENTO FLEISCHMANN 10G INSTANT</t>
  </si>
  <si>
    <t>FERMENTO FLEISCHMANN 125G INSTANT</t>
  </si>
  <si>
    <t>FERMENTO PO DONA BENTA 100G</t>
  </si>
  <si>
    <t>FERMENTO PO FERMIX DONA BENTA 10G</t>
  </si>
  <si>
    <t>FERMENTO PO QUI FLEISCHMANN 100G</t>
  </si>
  <si>
    <t>FERMENTO PO ROYAL 100G</t>
  </si>
  <si>
    <t>FERMENTO PO ROYAL 250G</t>
  </si>
  <si>
    <t>FIGO CALDA OLE 400G</t>
  </si>
  <si>
    <t>FIGO CALDA SEGREDOS FAZENDA 200G</t>
  </si>
  <si>
    <t>FIGO CALDA TESOURO REAL 410G</t>
  </si>
  <si>
    <t>FILE ATUM AS DO MAR 150G C/AZEITE OLIVA</t>
  </si>
  <si>
    <t>FILE ATUM GOMES COSTA 125G AZEITE VIRGEM</t>
  </si>
  <si>
    <t>FILE ATUM GOMES COSTA 125G AZEITE VIRGEM/ALHO</t>
  </si>
  <si>
    <t>FILE ATUM GOMES COSTA 125G C/PESTO MANJERICAO</t>
  </si>
  <si>
    <t>FILE DE ANCHOVA LA PASTINA 90G</t>
  </si>
  <si>
    <t>FILE DE ANCHOVA REALMAR 60G</t>
  </si>
  <si>
    <t>FILE SARD GOMES DA COSTA 125G MOLHO TOMATE</t>
  </si>
  <si>
    <t>FILE SARD GOMES DA COSTA 125G OLEO</t>
  </si>
  <si>
    <t>FILE SARD GOMES DA COSTA 125G OLEO C/LIMAO</t>
  </si>
  <si>
    <t>FILE SARD GOMES DA COSTA 125G PIMENTA</t>
  </si>
  <si>
    <t>FILME DE PVC WYDA 28CM/15M</t>
  </si>
  <si>
    <t>FILME PVC WYDA RED ROSE 28CM/30M</t>
  </si>
  <si>
    <t>FILTRO COADOR MELITTA ORIGINAL 100G</t>
  </si>
  <si>
    <t>FILTRO MELITTA CAF ELETRICA N°2</t>
  </si>
  <si>
    <t>FILTRO MELITTA CAF ELETRICA N°4</t>
  </si>
  <si>
    <t>FILTRO PAPEL 3 CORACOES 102</t>
  </si>
  <si>
    <t>FILTRO PAPEL 3 CORACOES 103</t>
  </si>
  <si>
    <t>FILTRO PAPEL MELITTA AROMA MAX 102</t>
  </si>
  <si>
    <t>FILTRO PAPEL MELITTA AROMA MAX 103</t>
  </si>
  <si>
    <t>FIO DENTAL COLGATE 50M</t>
  </si>
  <si>
    <t>FIO DENTAL COLGATE MENTA 50M</t>
  </si>
  <si>
    <t>FIO DENTAL COLGATE NATURAL 25M CARVAO</t>
  </si>
  <si>
    <t>FIO DENTAL COLGATE NATURAL 25M CITRUS/GENGIBRE</t>
  </si>
  <si>
    <t>FIO DENTAL COLGATE TOTAL 25M</t>
  </si>
  <si>
    <t>FIO DENTAL JOHNSON REACH ESSENCIAL MENTA 100M</t>
  </si>
  <si>
    <t>FIO DENTAL JOHNSON REACH EXPANSION PLUS 50M</t>
  </si>
  <si>
    <t>FLAN DR OETKER 30G COCO</t>
  </si>
  <si>
    <t>FLAN DR OETKER 30G S/CALDA BAUN</t>
  </si>
  <si>
    <t>FLANELA OURO JRV</t>
  </si>
  <si>
    <t>FLOCOS DE ARROZ CHOCO SOY 40G TRADICIONAL</t>
  </si>
  <si>
    <t>FOLHA ALUMINIO WYDA 5,0X0,60</t>
  </si>
  <si>
    <t>FOLHA ALUMINIO WYDA 7,5X30</t>
  </si>
  <si>
    <t>FOLHA ALUMINIO WYDA 7,5X45</t>
  </si>
  <si>
    <t>FOLHA DE UVA CHTOURA GARDEN 350G</t>
  </si>
  <si>
    <t>FOLHA LOURO KITANO 4G</t>
  </si>
  <si>
    <t>FORM NESTLE NAN COMFOR 1 800G</t>
  </si>
  <si>
    <t>FORM NESTLE NAN COMFOR 2 800G</t>
  </si>
  <si>
    <t>FORM NESTLE NAN COMFORT 3 800G</t>
  </si>
  <si>
    <t>FORM NESTLE NAN N1 400G</t>
  </si>
  <si>
    <t>FORM NESTLE NAN SUPREME 2 800G</t>
  </si>
  <si>
    <t>FORM NESTOGENO 1 NESTLE 400G</t>
  </si>
  <si>
    <t>FORM NESTOGENO 1 NESTLE 800G</t>
  </si>
  <si>
    <t>FORM NESTOGENO 2 NESTLE 800G</t>
  </si>
  <si>
    <t>FORM NESTOGENO NESTLE N2 400G</t>
  </si>
  <si>
    <t>FORMULA INF NESTONUTRI 800G</t>
  </si>
  <si>
    <t>FORMULA INFANTIL APTAMIL 2 800G</t>
  </si>
  <si>
    <t>FORMULA INFANTIL APTAMIL PROFUTURA 1 800G</t>
  </si>
  <si>
    <t>FORMULA INFANTIL APTAMIL PROFUTURA2 800G</t>
  </si>
  <si>
    <t>FORMULA INFANTIL APTANUTRI 3 PROFUTURA 800G</t>
  </si>
  <si>
    <t>FORMULA INFANTIL APTANUTRI PREMIUM 3 800G</t>
  </si>
  <si>
    <t>FORRO DE PAPEL ANTIADERENTE 16CM P/AIR FRYER</t>
  </si>
  <si>
    <t>FORRO DE PAPEL ANTIADERENTE 20CM P/AIR FRYER</t>
  </si>
  <si>
    <t>FOSFORO EXTRA LONGO FIAT LUX C/50</t>
  </si>
  <si>
    <t>FOSFORO FIAT LUX COZINHA FORTE C/200</t>
  </si>
  <si>
    <t>FOSFORO FIAT LUX PINHEIRO C/10</t>
  </si>
  <si>
    <t>FOSFORO LONGO FIAT LUX C/6</t>
  </si>
  <si>
    <t>FR DESC BABYSEC PREMIUM G C/26</t>
  </si>
  <si>
    <t>FR DESC BABYSEC PREMIUM M C/32</t>
  </si>
  <si>
    <t>FR DESC BABYSEC PREMIUM P C/34</t>
  </si>
  <si>
    <t>FR DESC BABYSEC PREMIUM XG C/24</t>
  </si>
  <si>
    <t>FR DESC BABYSEC PREMIUM XXG C/24</t>
  </si>
  <si>
    <t>FR DESC BABYSEC ULTRA SEC G C/32</t>
  </si>
  <si>
    <t>FR DESC BABYSEC ULTRA SEC M C/38</t>
  </si>
  <si>
    <t>FR DESC BABYSEC ULTRA SEC P C/42</t>
  </si>
  <si>
    <t>FR DESC BABYSEC ULTRA SEC XG C/30</t>
  </si>
  <si>
    <t>FR DESC BABYSEC ULTRA SEC XXG C/28</t>
  </si>
  <si>
    <t>FR DESC HUGGIES NATURAL CARE RN C/34</t>
  </si>
  <si>
    <t>FR DESC HUGGIES TRIPLA PROT M C/42</t>
  </si>
  <si>
    <t>FR DESC PERSONAL BABY G C/30</t>
  </si>
  <si>
    <t>FR DESC PERSONAL BABY M C/34</t>
  </si>
  <si>
    <t>FR DESC PERSONAL BABY P C/40</t>
  </si>
  <si>
    <t>FR DESC PERSONAL BABY XG C/26</t>
  </si>
  <si>
    <t>FR VD MOEDOR 100ML</t>
  </si>
  <si>
    <t>FRANGO DESFIADO VAPZA 400G</t>
  </si>
  <si>
    <t>FRIGIDEIRA TRAMONTINA TURIM 24CM VE VERMELHO</t>
  </si>
  <si>
    <t>FUBA MIMOSO YOKI 1KG</t>
  </si>
  <si>
    <t>FUBA MIMOSO YOKI 500G</t>
  </si>
  <si>
    <t>FUBA PRE COZIDO YOKI 500G</t>
  </si>
  <si>
    <t>FUKASHI BRANCO CASTELLA 300G</t>
  </si>
  <si>
    <t>FUKUJIN ZUKE 250G</t>
  </si>
  <si>
    <t>FUMACA EM PO ESP &amp; SAB 30G</t>
  </si>
  <si>
    <t>FUMACA LIQUIDA BOMBAY 30ML</t>
  </si>
  <si>
    <t>FUNDO DE ALCACHOFRA LA PASTINA 400G</t>
  </si>
  <si>
    <t>FUNGHI SECO LA PASTINA 10G</t>
  </si>
  <si>
    <t>FUNGUI SECO ESP E SAB 40G</t>
  </si>
  <si>
    <t>FURIKAKI P/ARROZ KATSUO MIRIN 30G</t>
  </si>
  <si>
    <t>FURIKAKI P/ARROZ KENKO YASAI 30G</t>
  </si>
  <si>
    <t>FURIKAKI P/ARROZ KOSAKANA URASHIMA 30G</t>
  </si>
  <si>
    <t>FURIKAKI P/ARROZ NORI KATSUO 33G</t>
  </si>
  <si>
    <t>FURIKAKI P/ARROZ NORI TAMAGO 33G</t>
  </si>
  <si>
    <t>FURIKAKI P/ARROZ SHAKE SALMAO 30G</t>
  </si>
  <si>
    <t>GARAM MASALA BOMBAY 50G</t>
  </si>
  <si>
    <t>GARFO FESTA STRAWPLAST CRIST C/50</t>
  </si>
  <si>
    <t>GARFO FORTE STRAWPAST CRIST C/50</t>
  </si>
  <si>
    <t>GARFO FORTE STRAWPLAST CRIST C/20</t>
  </si>
  <si>
    <t>GARFO LEVE STRAWPLAST CRIST C/50</t>
  </si>
  <si>
    <t>GARFO/FACA EX FORTE CHUR STRAWPLAST BRANCO C/20</t>
  </si>
  <si>
    <t>GARI SHOGA 250G</t>
  </si>
  <si>
    <t>GARI SHOGA POTE 250G</t>
  </si>
  <si>
    <t>GEL BANHO PROTEX PRO 230ML TATTOO</t>
  </si>
  <si>
    <t>GEL DENTAL CLOSEUP 100G LIQUIFRESH RED HOT</t>
  </si>
  <si>
    <t>GEL DENTAL CLOSEUP 85G ANTIBAC MENTA</t>
  </si>
  <si>
    <t>GEL DENTAL CLOSEUP LIQUIFRESH 100G ICE</t>
  </si>
  <si>
    <t>GEL DENTAL COLGATE 100G SMILES</t>
  </si>
  <si>
    <t>GEL DENTAL COLGATE 140G ACAI/FRUTAS VERMELHAS</t>
  </si>
  <si>
    <t>GEL DENTAL COLGATE 90G CARVAO C/3</t>
  </si>
  <si>
    <t>GEL DENTAL COLGATE 90G NATURAL EXTR DETOX</t>
  </si>
  <si>
    <t>GEL DENTAL COLGATE 90G NATURAL EXTR PURIFICANTE</t>
  </si>
  <si>
    <t>GEL DENTAL COLGATE 90G NATURAL EXTR REINFORCED DEF</t>
  </si>
  <si>
    <t>GEL DENTAL COLGATE KIDS 60G MELANCIA</t>
  </si>
  <si>
    <t>GEL DENTAL COLGATE KIDS TITANS 60G</t>
  </si>
  <si>
    <t>GEL DENTAL COLGATE SMILES 100G MINIONS</t>
  </si>
  <si>
    <t>GEL DENTAL SORRISO 90G C/2 CARVAO ATIVADO PROMO</t>
  </si>
  <si>
    <t>GEL DENTAL SORRISO 90G CARVAO ATIVADO</t>
  </si>
  <si>
    <t>GEL DENTAL SORRISO 90G FRESH EXP HORT</t>
  </si>
  <si>
    <t>GEL DENTAL SORRISO FRESH EXT MINT 90G</t>
  </si>
  <si>
    <t>GEL DENTAL TANDY 50G C/2UN MORANGOSTOSO</t>
  </si>
  <si>
    <t>GEL DENTAL TANDY 50G MORANGO</t>
  </si>
  <si>
    <t>GEL DENTAL TANDY 50G TUTTI FRUTTI</t>
  </si>
  <si>
    <t>GEL DENTAL TANDY 50G UVA</t>
  </si>
  <si>
    <t>GEL FIX BOZZANO 300G ACAO PROLONGADA</t>
  </si>
  <si>
    <t>GEL FIX BOZZANO 300G BRILHO MOLHADO</t>
  </si>
  <si>
    <t>GEL FIXADOR CLEAR MEN 300G CONTR DE CASPA</t>
  </si>
  <si>
    <t>GEL NYLOOKS FORTE FIXACAO 240G AZUL</t>
  </si>
  <si>
    <t>GELATINA DR OETKER 10G S/SABOR EM FOLHA</t>
  </si>
  <si>
    <t>GELATINA DR OETKER 20G ABACAXI</t>
  </si>
  <si>
    <t>GELATINA DR OETKER 20G ALGODAO DOCE</t>
  </si>
  <si>
    <t>GELATINA DR OETKER 20G AMORA</t>
  </si>
  <si>
    <t>GELATINA DR OETKER 20G CEREJA</t>
  </si>
  <si>
    <t>GELATINA DR OETKER 20G FRAMBOESA</t>
  </si>
  <si>
    <t>GELATINA DR OETKER 20G LIMAO</t>
  </si>
  <si>
    <t>GELATINA DR OETKER 20G MARACUJA</t>
  </si>
  <si>
    <t>GELATINA DR OETKER 20G MORANGO</t>
  </si>
  <si>
    <t>GELATINA DR OETKER 20G TUTTI FRUTTI</t>
  </si>
  <si>
    <t>GELATINA DR OETKER 20G UVA</t>
  </si>
  <si>
    <t>GELATINA DR OETKER 24G S/SABOR</t>
  </si>
  <si>
    <t>GELATINA DR OETKER DIET 12G ABACAXI</t>
  </si>
  <si>
    <t>GELATINA DR OETKER DIET 12G MORANGO</t>
  </si>
  <si>
    <t>GELATINA DR OETKER DIET 12G UVA</t>
  </si>
  <si>
    <t>GELATINA DR OETKER FINI 20G BANANAS</t>
  </si>
  <si>
    <t>GELATINA DR OETKER FINI 20G BEIJOS</t>
  </si>
  <si>
    <t>GELATINA DR OETKER FINI 20G DENTADURAS</t>
  </si>
  <si>
    <t>GELATINA DR OETKER VEG 20G ABACAXI</t>
  </si>
  <si>
    <t>GELATINA DR OETKER VEG 20G MORANGO</t>
  </si>
  <si>
    <t>GELATINA DR OETKER VEG 20G UVA</t>
  </si>
  <si>
    <t>GELATINA DR OETKER ZERO 12G ABACAXI</t>
  </si>
  <si>
    <t>GELATINA DR OETKER ZERO 12G CEREJA</t>
  </si>
  <si>
    <t>GELATINA DR OETKER ZERO 12G FRAMBOESA</t>
  </si>
  <si>
    <t>GELATINA DR OETKER ZERO 12G LIMAO</t>
  </si>
  <si>
    <t>GELATINA DR OETKER ZERO 12G MORANGO</t>
  </si>
  <si>
    <t>GELATINA DR OETKER ZERO 12G UVA</t>
  </si>
  <si>
    <t>GELATINA FLEISCHMANN S/SABOR 24G</t>
  </si>
  <si>
    <t>GELATINA LINEA SUCRALOSE 10G TANGERINA</t>
  </si>
  <si>
    <t>GELATINA LOWCUCAR 10G ABACAXI</t>
  </si>
  <si>
    <t>GELATINA LOWCUCAR 10G FRUT VERMELHAS</t>
  </si>
  <si>
    <t>GELATINA LOWCUCAR 10G LIMAO SICILIANO</t>
  </si>
  <si>
    <t>GELATINA LOWCUCAR 10G MORANGO</t>
  </si>
  <si>
    <t>GELATINA LOWCUCAR 10G UVA</t>
  </si>
  <si>
    <t>GELATINA ROYAL 24G S/SABOR</t>
  </si>
  <si>
    <t>GELATINA ROYAL 25G ABACAXI</t>
  </si>
  <si>
    <t>GELATINA ROYAL 25G CEREJA</t>
  </si>
  <si>
    <t>GELATINA ROYAL 25G FRAMBOESA</t>
  </si>
  <si>
    <t>GELATINA ROYAL 25G LIMAO</t>
  </si>
  <si>
    <t>GELATINA ROYAL 25G MARACUJA</t>
  </si>
  <si>
    <t>GELATINA ROYAL 25G MORANGO</t>
  </si>
  <si>
    <t>GELATINA ROYAL 25G UVA</t>
  </si>
  <si>
    <t>GELEIA CASA MADEIRA ORG 240G MORAN C/ PEDACO</t>
  </si>
  <si>
    <t>GELEIA CASA MADEIRA ORG 240G UVA</t>
  </si>
  <si>
    <t>GELEIA CASA MADEIRA ZERO 220G AMORA</t>
  </si>
  <si>
    <t>GELEIA CASA MADEIRA ZERO 220G BLUEBERRY</t>
  </si>
  <si>
    <t>GELEIA CASA MADEIRA ZERO 220G DAMASCO</t>
  </si>
  <si>
    <t>GELEIA CASA MADEIRA ZERO 220G FRUT VERMELHAS</t>
  </si>
  <si>
    <t>GELEIA CASA MADEIRA ZERO 220G MORANGO</t>
  </si>
  <si>
    <t>GELEIA FYNBO 100% FRUIT 250G FRUT VERMELHAS</t>
  </si>
  <si>
    <t>GELEIA FYNBO 100% FRUIT 250G MORANGO</t>
  </si>
  <si>
    <t>GELEIA FYNBO PREMIUM 285G AMORA</t>
  </si>
  <si>
    <t>GELEIA FYNBO PREMIUM 285G CEREJA</t>
  </si>
  <si>
    <t>GELEIA FYNBO PREMIUM 285G DAMASCO</t>
  </si>
  <si>
    <t>GELEIA FYNBO PREMIUM 285G FRAMBOESA</t>
  </si>
  <si>
    <t>GELEIA FYNBO PREMIUM 285G FRUT VERMELHAS</t>
  </si>
  <si>
    <t>GELEIA FYNBO PREMIUM 285G GENGIBRE</t>
  </si>
  <si>
    <t>GELEIA FYNBO PREMIUM 285G GROSELHA PRETA</t>
  </si>
  <si>
    <t>GELEIA FYNBO PREMIUM 285G MIRTILO</t>
  </si>
  <si>
    <t>GELEIA FYNBO PREMIUM 285G MORANGO</t>
  </si>
  <si>
    <t>GELEIA FYNBO PREMIUM 300G HORTELA MENTA</t>
  </si>
  <si>
    <t>GELEIA FYNBO PREMIUM 300G PIMENTA</t>
  </si>
  <si>
    <t>GELEIA GOUR CASA MADEIRA 220G CAFE</t>
  </si>
  <si>
    <t>GELEIA GOUR CASA MADEIRA 220G PIMEN</t>
  </si>
  <si>
    <t>GELEIA GOUR CASA MADEIRA 240G ABACA C/ PIMENTA</t>
  </si>
  <si>
    <t>GELEIA GOUR CASA MADEIRA 240G CAB SUAV</t>
  </si>
  <si>
    <t>GELEIA GOUR CASA MADEIRA 240G MOR C/PIMENTA</t>
  </si>
  <si>
    <t>GELEIA LINEA 230G CEBOLA CARAMEL</t>
  </si>
  <si>
    <t>GELEIA LINEA 230G DAMASCO</t>
  </si>
  <si>
    <t>GELEIA LINEA 230G FRAMBOESA</t>
  </si>
  <si>
    <t>GELEIA LINEA 230G GOIABA</t>
  </si>
  <si>
    <t>GELEIA LINEA 230G MIRTILO</t>
  </si>
  <si>
    <t>GELEIA LINEA 230G UVA</t>
  </si>
  <si>
    <t>GELEIA LINEA SUCRALOSE 230G PIMENTA VERM</t>
  </si>
  <si>
    <t>GELEIA MOCOTO OLE 180G NATURAL</t>
  </si>
  <si>
    <t>GELEIA QUEENSBERRY CLASSIC 320G AMO</t>
  </si>
  <si>
    <t>GELEIA QUEENSBERRY CLASSIC 320G DAM</t>
  </si>
  <si>
    <t>GELEIA QUEENSBERRY CLASSIC 320G FRAMBOESA</t>
  </si>
  <si>
    <t>GELEIA QUEENSBERRY CLASSIC 320G FRUTAS VERMELHA</t>
  </si>
  <si>
    <t>GELEIA QUEENSBERRY CLASSIC 320G GOI</t>
  </si>
  <si>
    <t>GELEIA QUEENSBERRY CLASSIC 320G LAR</t>
  </si>
  <si>
    <t>GELEIA QUEENSBERRY CLASSIC 320G MIR</t>
  </si>
  <si>
    <t>GELEIA QUEENSBERRY CLASSIC 320G MORANGO</t>
  </si>
  <si>
    <t>GELEIA QUEENSBERRY DIET 280G AMORA</t>
  </si>
  <si>
    <t>GELEIA QUEENSBERRY DIET 280G DAMASCO</t>
  </si>
  <si>
    <t>GELEIA QUEENSBERRY DIET 280G FRAMBOESA</t>
  </si>
  <si>
    <t>GELEIA QUEENSBERRY DIET 280G FRUTAS VERMELHA</t>
  </si>
  <si>
    <t>GELEIA QUEENSBERRY DIET 280G GOIABA</t>
  </si>
  <si>
    <t>GELEIA QUEENSBERRY DIET 280G MORANGO</t>
  </si>
  <si>
    <t>GELEIA QUEENSBERRY GOURMET 320G MEN HORTELA</t>
  </si>
  <si>
    <t>GELEIA QUEENSBERRY GOURMET 320G PIM VERDE</t>
  </si>
  <si>
    <t>GELEIA QUEENSBERRY GOURMET 320G PIMENTA VERM</t>
  </si>
  <si>
    <t>GELEIA SAINT DALFOUR 284G 4 FRUTAS</t>
  </si>
  <si>
    <t>GELEIA SAINT DALFOUR 284G AMORA SILVESTRE</t>
  </si>
  <si>
    <t>GELEIA SAINT DALFOUR 284G CASSIS</t>
  </si>
  <si>
    <t>GELEIA SAINT DALFOUR 284G CEREJA PRETA</t>
  </si>
  <si>
    <t>GELEIA SAINT DALFOUR 284G CRAMBERRY/MIRT</t>
  </si>
  <si>
    <t>GELEIA SAINT DALFOUR 284G DAMASCO</t>
  </si>
  <si>
    <t>GELEIA SAINT DALFOUR 284G FIGO</t>
  </si>
  <si>
    <t>GELEIA SAINT DALFOUR 284G FRAMBOESA</t>
  </si>
  <si>
    <t>GELEIA SAINT DALFOUR 284G LARANJA</t>
  </si>
  <si>
    <t>GELEIA SAINT DALFOUR 284G MIRTILOS SILV</t>
  </si>
  <si>
    <t>GELEIA SAINT DALFOUR 284G MORANGO</t>
  </si>
  <si>
    <t>GELEIA SEDA BOOM 500G DEFINICAO INTEN</t>
  </si>
  <si>
    <t>GELEIA SEDA BOOM 500G VOLUME MAXIMO</t>
  </si>
  <si>
    <t>GELEIA TRAD CASA MADEIRA 240G AMORA C/PEDACO</t>
  </si>
  <si>
    <t>GELEIA TRAD CASA MADEIRA 240G BLUEBERRY</t>
  </si>
  <si>
    <t>GELEIA TRAD CASA MADEIRA 240G DAMAS</t>
  </si>
  <si>
    <t>GELEIA TRAD CASA MADEIRA 240G FRUT VERM C/PEDACO</t>
  </si>
  <si>
    <t>GELEIA TRAD CASA MADEIRA 240G MOR C/PEDACO</t>
  </si>
  <si>
    <t>GELEIA VERMONT 230G ABACAXI/PIMENTA</t>
  </si>
  <si>
    <t>GELEIA VERMONT 230G AMORA</t>
  </si>
  <si>
    <t>GELEIA VERMONT 230G CEBOLA</t>
  </si>
  <si>
    <t>GELEIA VERMONT 230G FRUT VERMELHAS</t>
  </si>
  <si>
    <t>GENGIBRE EM CONSERVA KENKO 110G</t>
  </si>
  <si>
    <t>GENGIBRE PO ESP E SAB 20G</t>
  </si>
  <si>
    <t>GERGELIM BRANCO CAMPO VERDE 100G</t>
  </si>
  <si>
    <t>GERGELIM PRETO CAMPO VERDE 100G</t>
  </si>
  <si>
    <t>GERGELIM TORRADO CAMPO VERDE 100G</t>
  </si>
  <si>
    <t>GIN TONIC SCHWEPPES 269ML LT PINK</t>
  </si>
  <si>
    <t>GIN TONIC SCHWEPPES LT 269ML</t>
  </si>
  <si>
    <t>GLICOSE YOKI BISNAGA 350G</t>
  </si>
  <si>
    <t>GNOCCHI COLAVITA 500G</t>
  </si>
  <si>
    <t>GOIABADA CASCAO RALSTON 250G</t>
  </si>
  <si>
    <t>GOIABADA CASCAO RALSTON 400G</t>
  </si>
  <si>
    <t>GOIABADA CASCAO SERRA MINEIRA 223G</t>
  </si>
  <si>
    <t>GOIABADA CASCAO TESOURO REAL 500G</t>
  </si>
  <si>
    <t>GOIABADA CASCAO ZELIA 250G</t>
  </si>
  <si>
    <t>GOIABADA CASCAO ZELIA 500G</t>
  </si>
  <si>
    <t>GOIABADA CASCAO ZELIA LT 400G</t>
  </si>
  <si>
    <t>GOIABADA CASCAO ZELIA LT 400G LIGHT</t>
  </si>
  <si>
    <t>GOIABADA CREM CASCAO RALSTON 300G</t>
  </si>
  <si>
    <t>GOIABADA CREM CASCAO RALSTON 300G ZERO</t>
  </si>
  <si>
    <t>GOIABADA CREM RALSTON 300G</t>
  </si>
  <si>
    <t>GOIABADA CREM RALSTON 300G ZERO</t>
  </si>
  <si>
    <t>GOIABADA CREM TESOURO REAL 400G ZERO</t>
  </si>
  <si>
    <t>GOIABADA PREDILECTA 300G</t>
  </si>
  <si>
    <t>GOIABADA RALSTON 250G</t>
  </si>
  <si>
    <t>GOIABADA RALSTON 400G</t>
  </si>
  <si>
    <t>GOTAS CHOC DR OETKER 80G</t>
  </si>
  <si>
    <t>GOTAS CHOC DR OETKER 80G DISCO</t>
  </si>
  <si>
    <t>GOTAS CHOC DR OETKER 80G PEPITA</t>
  </si>
  <si>
    <t>GRANOLA JASMINE 1KG TRADICIONAL</t>
  </si>
  <si>
    <t>GRANOLA JASMINE 250G BANANA/CANELA</t>
  </si>
  <si>
    <t>GRANOLA JASMINE 250G CER MALTADOS</t>
  </si>
  <si>
    <t>GRANOLA JASMINE 250G MACA/CANELA</t>
  </si>
  <si>
    <t>GRANOLA JASMINE 250G SEM GLUTEN CASTANHAS CACAU</t>
  </si>
  <si>
    <t>GRANOLA JASMINE 250G TRADICIONAL</t>
  </si>
  <si>
    <t>GRANOLA JASMINE 250G Z/ACUCAR CRANBERRY/GOJIB</t>
  </si>
  <si>
    <t>GRANOLA JASMINE 250G Z/ACUCAR FRUT TROPICAIS</t>
  </si>
  <si>
    <t>GRANOLA JASMINE 250G Z/ACUCAR TRADICIONAL</t>
  </si>
  <si>
    <t>GRANOLA JASMINE 850G CEREAIS MALTADOS</t>
  </si>
  <si>
    <t>GRANOLA JASMINE 850G ZERO ACUCAR TRADICIONAL</t>
  </si>
  <si>
    <t>GRANOLA JASMINE INT 1KG CAST CAJU</t>
  </si>
  <si>
    <t>GRANOLA JASMINE INT 1KG MACA/CANELA</t>
  </si>
  <si>
    <t>GRANOLA JASMINE INT 250G CAST CAJU</t>
  </si>
  <si>
    <t>GRANOLA MAE TERRA 250G BAN/CACAU</t>
  </si>
  <si>
    <t>GRANOLA MAE TERRA 250G TRADICIONAL</t>
  </si>
  <si>
    <t>GRANOLA MAE TERRA 250G Z/ACUCAR</t>
  </si>
  <si>
    <t>GRANOLA MAE TERRA 400G CAST CAJU</t>
  </si>
  <si>
    <t>GRANOLA MAE TERRA 800G TRADICIONAL BAN/CACAU</t>
  </si>
  <si>
    <t>GRANOLA MAE TERRA 800G TRADICIONAL C/ CASTANHA</t>
  </si>
  <si>
    <t>GRANOLA MAE TERRA 800G TRADICIONAL CACAU NIBS</t>
  </si>
  <si>
    <t>GRANOLA MAE TERRA 800G Z/ACUCAR</t>
  </si>
  <si>
    <t>GRANOLA ORG MAE TERRA 180G FRUT VERMELHAS</t>
  </si>
  <si>
    <t>GRANOLA ORG MAE TERRA 180G FRUTAS</t>
  </si>
  <si>
    <t>GRANOLA ORG MAE TERRA 180G LASCA COCO</t>
  </si>
  <si>
    <t>GRANOLA ORG MAE TERRA 180G PAÇOCA</t>
  </si>
  <si>
    <t>GRANOLA VEG MAE TERRA 250G S/ACUCAR FRUTAS/MEL</t>
  </si>
  <si>
    <t>GRANOLA VEG MAE TERRA 800G FRUTAS E MEL</t>
  </si>
  <si>
    <t>GRANOLA VEG REGALLE 300G BAUNILHA</t>
  </si>
  <si>
    <t>GRANOLA VEG REGALLE 300G CACAU</t>
  </si>
  <si>
    <t>GRANOLA VEG REGALLE 300G DOCE</t>
  </si>
  <si>
    <t>GRANOLA VEG REGALLE 300G LOW CARB DOCE</t>
  </si>
  <si>
    <t>GRANOLA VEG REGALLE 300G LOW CARB SALGADA</t>
  </si>
  <si>
    <t>GRANOLA VITAO TRAD 250G ORIGINAL</t>
  </si>
  <si>
    <t>GRANOLA VITAO TRAD 250G ZERO</t>
  </si>
  <si>
    <t>GRANULADO DORI 120G</t>
  </si>
  <si>
    <t>GRANULADO DR OETKER 130G MACIO</t>
  </si>
  <si>
    <t>GRANULADO DR OETKER 130G MESCLADO</t>
  </si>
  <si>
    <t>GRAO DE BICO BONDUELLE 265G</t>
  </si>
  <si>
    <t>GRAO DE BICO BONDUELLE GARBANZO 200G</t>
  </si>
  <si>
    <t>GRAO DE BICO CAMIL 500G</t>
  </si>
  <si>
    <t>GRAO DE BICO CAMIL CONSERV 380G</t>
  </si>
  <si>
    <t>GRAO DE BICO KNORR 170G</t>
  </si>
  <si>
    <t>GRAO DE BICO QUERO 170G</t>
  </si>
  <si>
    <t>GRAO DE BICO VAPZA 500G</t>
  </si>
  <si>
    <t>GRAO DE BICO YOKI 400G</t>
  </si>
  <si>
    <t>GRISSINI INTEGRAL 70G</t>
  </si>
  <si>
    <t>GROSELHA MILANI 900ML</t>
  </si>
  <si>
    <t>GUARANA LEAO 450ML ACAI</t>
  </si>
  <si>
    <t>GUARDANAPO MASCOT FOLHA SIMP C/50 GD</t>
  </si>
  <si>
    <t>GUARDANAPO MASCOT FOLHA SIMP C/50 PQ</t>
  </si>
  <si>
    <t>GUARDANAPO SCOTT DIA DIA C/50</t>
  </si>
  <si>
    <t>GUARDANAPO SCOTT DIA DIA GD C/50</t>
  </si>
  <si>
    <t>GUARDANAPO SCOTT GRAND HOTEL CQ WL C/50</t>
  </si>
  <si>
    <t>GUARDANAPO SNOB F DUPLA 23,5X23,5 50UN</t>
  </si>
  <si>
    <t>GUARDANAPO SNOB F DUPLA 32,5X32,5 50UN</t>
  </si>
  <si>
    <t>GUARDANAPO SNOB F SIMPLES 24CMX22CM 50UN</t>
  </si>
  <si>
    <t>GUARDANAPO SNOB F SIMPLES 33CMX30CM 50UN</t>
  </si>
  <si>
    <t>GUIOZA CARNE BOVINA FUKUMOTO 360G</t>
  </si>
  <si>
    <t>GUIOZA LONG WAY 240G BOVINO</t>
  </si>
  <si>
    <t>GUIOZA LONG WAY 240G LEGUMES</t>
  </si>
  <si>
    <t>GUIOZA LONG WAY 240G SUINO</t>
  </si>
  <si>
    <t>GUIOZA TSURU 360G BOVINO</t>
  </si>
  <si>
    <t>GUIOZA TSURU 360G FRANGO</t>
  </si>
  <si>
    <t>GUIOZA TSURU 360G LEGUMES</t>
  </si>
  <si>
    <t>GUIOZA TSURU 360G PALMITO</t>
  </si>
  <si>
    <t>GUIOZA TSURU 360G SHIMEJI</t>
  </si>
  <si>
    <t>GUIOZA TSURU 360G SUINA</t>
  </si>
  <si>
    <t>H2OH 1,5L CITRUS</t>
  </si>
  <si>
    <t>H2OH 1,5L LIMAO</t>
  </si>
  <si>
    <t>H2OH 1,5L LIMONETO</t>
  </si>
  <si>
    <t>H2OH 500ML LIMAO</t>
  </si>
  <si>
    <t>H2OH 500ML LIMONETO</t>
  </si>
  <si>
    <t>HALAWI ISTAMBUL TRADICIONAL 250G</t>
  </si>
  <si>
    <t>HARPIC 26G HIG LAVANDA</t>
  </si>
  <si>
    <t>HARPIC 26G HIG PINHO</t>
  </si>
  <si>
    <t>HARPIC 500ML LIQ CLOROFORTE</t>
  </si>
  <si>
    <t>HARPIC 500ML LIQ POWER PLUS</t>
  </si>
  <si>
    <t>HARPIC LIQ ACTIVE FRESH LAVANDA 500ML</t>
  </si>
  <si>
    <t>HARPIC PASTILHA ADV 2 EM 1 LV5 PG4 9G LAVANDA</t>
  </si>
  <si>
    <t>HARPIC PASTILHA ADV 2 EM 1 LV5 PG4 9G PINHO</t>
  </si>
  <si>
    <t>HARPIC PASTILHA ADV 2/1 3UN CLORO</t>
  </si>
  <si>
    <t>HARPIC PASTILHA ADV 2/1 3UN LAVANDA</t>
  </si>
  <si>
    <t>HARPIC PASTILHA ADV 2/1 3UN MARINE</t>
  </si>
  <si>
    <t>HARPIC PASTILHA ADV 2/1 3UN PINHO</t>
  </si>
  <si>
    <t>HASTES FLEX COTONETES C/75 UN</t>
  </si>
  <si>
    <t>HASTES FLEXIVEIS COTONETE C/300 UN</t>
  </si>
  <si>
    <t>HASTES FLEXIVEIS COTONETES C/150</t>
  </si>
  <si>
    <t>HASTES FLEXIVEIS COTONETES POTE C/150</t>
  </si>
  <si>
    <t>HERBES DE PROVENCE BOMBAY 20G</t>
  </si>
  <si>
    <t>HIBISCUS FLOR ESP E SAB 10G</t>
  </si>
  <si>
    <t>HIDAKA KONBU 50G</t>
  </si>
  <si>
    <t>HIDRATANTE FACIAL NEUTROGENA 100G FPS 22</t>
  </si>
  <si>
    <t>HIDRATANTE FACIAL NEUTROGENA 100G MATTE</t>
  </si>
  <si>
    <t>HIDRATANTE FACIAL NEUTROGENA 100G REPARADOR</t>
  </si>
  <si>
    <t>HIDRATANTE FACIAL NIVEA 100G ANTISSINAIS</t>
  </si>
  <si>
    <t>HIDRATANTE FACIAL NIVEA 100G GEL</t>
  </si>
  <si>
    <t>HIDRATANTE FACIAL NIVEA 100G NOTURNO</t>
  </si>
  <si>
    <t>HIDRATANTE FACIAL NIVEA 100G NUTRITIVO</t>
  </si>
  <si>
    <t>HIDRATANTE FACIAL NIVEA 50ML ACNE CONTROL</t>
  </si>
  <si>
    <t>HIDRATANTE FACIAL NIVEA 7 EM 1 100G UNIFORMIZADOR</t>
  </si>
  <si>
    <t>HIDROSTERIL 50ML</t>
  </si>
  <si>
    <t>HOMUS CHTOURA GARDEN 420G C/MANJERICAO</t>
  </si>
  <si>
    <t>INSET AER DETEFON 300ML ACAO TOTAL</t>
  </si>
  <si>
    <t>INSET AER MORTEIN 360ML ACAO TOTAL</t>
  </si>
  <si>
    <t>INSET AER MORTEIN 360ML EUCALIPTO</t>
  </si>
  <si>
    <t>INSET AER MORTEIN 360ML PROT PROLON</t>
  </si>
  <si>
    <t>INSET AER SBP 360ML ACAO MAGNETICA</t>
  </si>
  <si>
    <t>INSET AER SBP 360ML ULTRA BARREIRA</t>
  </si>
  <si>
    <t>INSET AER SBP S/CHEIRO 360ML ANTI AEDES AEGYPTI</t>
  </si>
  <si>
    <t>INSET ELETR RF SBP 45NT 35ML</t>
  </si>
  <si>
    <t>INSET ELETR RF SBP 45NT 35ML C/2 50%OFF 2UN</t>
  </si>
  <si>
    <t>INSET ELETR SBP 45NT 32,9ML AP+RF LIQ</t>
  </si>
  <si>
    <t>INSET ELETR SBP 45NT 32,9ML CHEIRO +REFIL SUAVE</t>
  </si>
  <si>
    <t>INSET ELETR SBP 45NT 35ML PROMO</t>
  </si>
  <si>
    <t>INSETICIDA REPELEX 280ML GTL A BASE DE AGUA</t>
  </si>
  <si>
    <t>ISCA MORTEIN MATA BARATA C/2 ISCAS</t>
  </si>
  <si>
    <t>ISCA MORTEIN MATA BARATA C/6 ISCAS</t>
  </si>
  <si>
    <t>ISOT GATORADE 350ML ZERO CALORIA FRUT SILVESTRES</t>
  </si>
  <si>
    <t>ISOT GATORADE 350ML ZERO CALORIA LARANJA LIMA</t>
  </si>
  <si>
    <t>ISOT GATORADE 500ML FRUTAS CITRICAS</t>
  </si>
  <si>
    <t>ISOT GATORADE 500ML LARANJA</t>
  </si>
  <si>
    <t>ISOT GATORADE 500ML LIMAO</t>
  </si>
  <si>
    <t>ISOT GATORADE 500ML MARACUJA</t>
  </si>
  <si>
    <t>ISOT GATORADE 500ML TANGERINA</t>
  </si>
  <si>
    <t>ISOT GATORADE 500ML UVA</t>
  </si>
  <si>
    <t>ISOT ORG JUNGLE PLANT POWER 500ML TANGERINA</t>
  </si>
  <si>
    <t>ISOT POWERADE 500ML FRUT TROCIPAIS</t>
  </si>
  <si>
    <t>ISOT POWERADE 500ML LARANJA</t>
  </si>
  <si>
    <t>ISOT POWERADE 500ML LIMAO</t>
  </si>
  <si>
    <t>ISOT POWERADE 500ML MIX DE FRUTAS</t>
  </si>
  <si>
    <t>ISOT POWERADE 500ML MIX UVAS</t>
  </si>
  <si>
    <t>ISOT POWERADE 500ML TANGERINA</t>
  </si>
  <si>
    <t>JILO BABY LADO MATO 350G</t>
  </si>
  <si>
    <t>JOGO PARA CHURRASCO TRAMONTINA 3PCS LAMINA ACO INO</t>
  </si>
  <si>
    <t>JOGO PARA QUEIJOS TRAMONTINA 3PCS HARMONIZA</t>
  </si>
  <si>
    <t>JOGO UTENSILIOS TRAMONTINA 4 PECAS</t>
  </si>
  <si>
    <t>KARO NATURAL 350G</t>
  </si>
  <si>
    <t>KETCHUP ARISCO 370G TRADICIONAL</t>
  </si>
  <si>
    <t>KETCHUP BUDWEISER 340G LUPULADO</t>
  </si>
  <si>
    <t>KETCHUP CIRIO 340G RUBRA</t>
  </si>
  <si>
    <t>KETCHUP HEINZ 397G BAC/CEB CARAMEL</t>
  </si>
  <si>
    <t>KETCHUP HEINZ 397G PICANTE</t>
  </si>
  <si>
    <t>KETCHUP HEINZ 397G PICLES</t>
  </si>
  <si>
    <t>KETCHUP HEINZ 397G TRADICIONAL</t>
  </si>
  <si>
    <t>KETCHUP HELLMANNS 178G TRADICIONAL</t>
  </si>
  <si>
    <t>KETCHUP HELLMANNS 380G PICANTE</t>
  </si>
  <si>
    <t>KETCHUP HELLMANNS 380G TRAD</t>
  </si>
  <si>
    <t>KETCHUP HELLMANNS SUPREME 390G SQZ</t>
  </si>
  <si>
    <t>KETCHUP HEMMER 310G ZERO</t>
  </si>
  <si>
    <t>KETCHUP HEMMER 320G TRAD</t>
  </si>
  <si>
    <t>KETCHUP HEMMER 750G TRAD</t>
  </si>
  <si>
    <t>KETCHUP STRUMPF 210G DEFUMADO</t>
  </si>
  <si>
    <t>KETCHUP STRUMPF 210G RUSTICO</t>
  </si>
  <si>
    <t>KETCHUP STRUMPF 470G RUSTICO</t>
  </si>
  <si>
    <t>KIMILHO FLOCAO YOKI 500G</t>
  </si>
  <si>
    <t>KIMILHO YOKI 500G</t>
  </si>
  <si>
    <t>KIT 10 PRATO/GARFO/FACA STRAWPLAST BRANCO</t>
  </si>
  <si>
    <t>KIT 2 AMAC CONC YPE INSP+LIBERD 500ML 50% DESC</t>
  </si>
  <si>
    <t>KIT 2 DET LIQ YPE 500ML CLEAR + 50% DESC ESPONJA</t>
  </si>
  <si>
    <t>KIT 2 DET PO TIXAN YPE 800G GTS AMAC YPE 500ML</t>
  </si>
  <si>
    <t>KIT AME TABASCO 2 SABORES 60ML</t>
  </si>
  <si>
    <t>KIT AP ELETR + REFIL REPELENTE REPELEX 40ML</t>
  </si>
  <si>
    <t>KIT BANHO PET SANOL</t>
  </si>
  <si>
    <t>KIT BR SPICES 40G TEMP P/GIN TONICA</t>
  </si>
  <si>
    <t>KIT CACILDIS COPO AMERICANO</t>
  </si>
  <si>
    <t>KIT CAP STARBUCKS NESPRESSOS C/40</t>
  </si>
  <si>
    <t>KIT CERVEJA DAMA C/5 GF 355ML</t>
  </si>
  <si>
    <t>KIT CERVEJA ERDINGER 1+COPO 500ML</t>
  </si>
  <si>
    <t>KIT CERVEJA ERDINGER WEISSBIER 2GF +COPO</t>
  </si>
  <si>
    <t>KIT CERVEJA PAULANER 2GF+1COPO</t>
  </si>
  <si>
    <t>KIT CERVEJA PAULISTANA 2GF + COPO</t>
  </si>
  <si>
    <t>KIT COCA COLA+FANTA GUARANA 2L</t>
  </si>
  <si>
    <t>KIT COCA COLA+FANTA LARANJA 2L</t>
  </si>
  <si>
    <t>KIT CR DENT SENSITIVE 110G+CR DENT CLEAN MINT 90G</t>
  </si>
  <si>
    <t>KIT EVITA MOFO SANOL 100G LV 4 PG 3 LAVANDA</t>
  </si>
  <si>
    <t>KIT GUARANA ANTARCTICA 1L</t>
  </si>
  <si>
    <t>KIT HEINZ KETCHUP/MAIONESE</t>
  </si>
  <si>
    <t>KIT KETCHUP HELLMANNS 380G C/2UN</t>
  </si>
  <si>
    <t>KIT LAVA ROUPA PO OMO 1,6KG + AMAC COMFORT 500ML</t>
  </si>
  <si>
    <t>KIT LIMP DESENG COZ VEJA 400ML 30%DESC 2ªUN RF</t>
  </si>
  <si>
    <t>KIT LIMP MULTIUSO CIF 500ML 50% 3UN +ANTIBAC</t>
  </si>
  <si>
    <t>KIT LIMP POWER LIMAO+LIMP PES VEJA ORIGINAL 500ML</t>
  </si>
  <si>
    <t>KIT LIMP VEJA 500ML MUL+BAN+COZ</t>
  </si>
  <si>
    <t>KIT MAIONESE HELLMANNS 500G C/2 TRAD</t>
  </si>
  <si>
    <t>KIT PROT SOLAR 200G + FACIAL 50G AUSTRALIAN GOLD</t>
  </si>
  <si>
    <t>KIT PROTETOR SOLAR NIVEA 200ML FPS 30+100ML FPS30</t>
  </si>
  <si>
    <t>KIT ROLO ADESIVO NOVICA C/REFIL</t>
  </si>
  <si>
    <t>KIT SH+COND PALMOLIVE KIDS 350ML SUAVE</t>
  </si>
  <si>
    <t>KIT SH+COND PALMOLIVE SOS 350ML FORCE</t>
  </si>
  <si>
    <t>KIT SH+COND PALMOLIVE SOS 350ML HYDRATE</t>
  </si>
  <si>
    <t>KIT SHA+COND PALMOLIVE NAT 350ML BOOM HIDRAT</t>
  </si>
  <si>
    <t>KIT SHA+COND PALMOLIVE NAT 350ML LISOS RADIANTES</t>
  </si>
  <si>
    <t>KIT VANISH MULT 1,5L+WHITE 1,5L DESC ESPECIAL</t>
  </si>
  <si>
    <t>KONBU DASHI 48G KANESHICHI</t>
  </si>
  <si>
    <t>LA ACO ASSOLAN 45G</t>
  </si>
  <si>
    <t>LA ACO ASSOLAN 45G C/8 PROMO</t>
  </si>
  <si>
    <t>LA ACO BOMBRIL 60G</t>
  </si>
  <si>
    <t>LAMPADA LED FIAT LUX 09C</t>
  </si>
  <si>
    <t>LASAGNA GRANO DURO PAGANINI 200G VERDE</t>
  </si>
  <si>
    <t>LASCAS CROCANTES ARBOLE 55G ALHO PORO</t>
  </si>
  <si>
    <t>LASCAS CROCANTES ARBOLE 55G GERGELIM</t>
  </si>
  <si>
    <t>LASCAS CROCANTES ARBOLE 55G LEMON PEPPER</t>
  </si>
  <si>
    <t>LASCAS CROCANTES ARBOLE 55G MANJERICAO</t>
  </si>
  <si>
    <t>LASCAS CROCANTES ARBOLE 55G PAPRICA PICANTE</t>
  </si>
  <si>
    <t>LAVA LOUCA PO YPE 1KG</t>
  </si>
  <si>
    <t>LAVA LOUCA PO YPE 450G</t>
  </si>
  <si>
    <t>LAVA LOUCAS CONC CIF 420ML 100 LIMOES</t>
  </si>
  <si>
    <t>LAVA LOUCAS CONC CIF 420ML ERVA-DOCE</t>
  </si>
  <si>
    <t>LAVA LOUCAS CONC CIF 420ML NEUTRO CAMOMILA</t>
  </si>
  <si>
    <t>LAVA LOUCAS GEL CONC LIMPOL 400G CEREJA/HIBISCO</t>
  </si>
  <si>
    <t>LAVA LOUCAS GEL CONC LIMPOL 400G CRISTAL</t>
  </si>
  <si>
    <t>LAVA LOUCAS GEL CONC LIMPOL 400G LIMAO/VERBENA</t>
  </si>
  <si>
    <t>LAVA LOUCAS GEL CONC LIMPOL 400G NEUTRO</t>
  </si>
  <si>
    <t>LAVA LOUCAS GEL CONC LIMPOL 400G UVA/ORQUIDEA</t>
  </si>
  <si>
    <t>LAVA LOUCAS GEL CONC YPE 416G ANTIBAC</t>
  </si>
  <si>
    <t>LAVA LOUCAS GEL CONC YPE 416G ENERGY</t>
  </si>
  <si>
    <t>LAVA LOUCAS GEL CONC YPE 416G SENSES</t>
  </si>
  <si>
    <t>LAVA LOUCAS LIMPOL 315G TABLETE</t>
  </si>
  <si>
    <t>LAVA LOUCAS PO LIMPOL 1KG</t>
  </si>
  <si>
    <t>LAVA ROUPAS LIQ BRILHANTE 3L DELICAD TOTAL</t>
  </si>
  <si>
    <t>LAVA ROUPAS LIQ BRILHANTE 3L HIG TOTAL</t>
  </si>
  <si>
    <t>LAVA ROUPAS LIQ BRILHANTE 3L LIMPEZA TOTAL</t>
  </si>
  <si>
    <t>LAVA ROUPAS LIQ BRILHANTE 500ML</t>
  </si>
  <si>
    <t>LAVA ROUPAS LIQ BRILHANTE 900ML RF HIGIENE TOTAL</t>
  </si>
  <si>
    <t>LAVA ROUPAS LIQ BRILHANTE 900ML RF LIMPEZA TOTAL</t>
  </si>
  <si>
    <t>LAVA ROUPAS LIQ MON BIJOU 500ML COCO</t>
  </si>
  <si>
    <t xml:space="preserve">LAVA ROUPAS LIQ OLA 1,75L ORIGINAL </t>
  </si>
  <si>
    <t>LAVA ROUPAS LIQ OLA 1L 20% OFF BEBE</t>
  </si>
  <si>
    <t>LAVA ROUPAS LIQ OLA 1L 20% OFF ORIGINAL</t>
  </si>
  <si>
    <t>LAVA ROUPAS LIQ OLA 1L BEBE</t>
  </si>
  <si>
    <t>LAVA ROUPAS LIQ OLA 1L COCO</t>
  </si>
  <si>
    <t>LAVA ROUPAS LIQ OLA 1L LAVANDA</t>
  </si>
  <si>
    <t>LAVA ROUPAS LIQ OLA 1L NAT ESSEN AGUA DE ROSAS</t>
  </si>
  <si>
    <t>LAVA ROUPAS LIQ OLA 1L ORIGINAL</t>
  </si>
  <si>
    <t>LAVA ROUPAS LIQ OLA 500ML BEBE</t>
  </si>
  <si>
    <t>LAVA ROUPAS LIQ OLA 500ML COCO</t>
  </si>
  <si>
    <t>LAVA ROUPAS LIQ OLA 500ML TRADICIONAL</t>
  </si>
  <si>
    <t>LAVA ROUPAS LIQ OMO 300ML ROUPAS INT/BIQ</t>
  </si>
  <si>
    <t>LAVA ROUPAS LIQ OMO 900ML PRETO/ESC</t>
  </si>
  <si>
    <t>LAVA ROUPAS LIQ OMO 900ML PROMO ORIGINAL</t>
  </si>
  <si>
    <t>LAVA ROUPAS LIQ RUTH BABY 1L XODOZINHO</t>
  </si>
  <si>
    <t>LAVA ROUPAS LIQ SETIMA GERACAO 1L CITRUS</t>
  </si>
  <si>
    <t>LAVA ROUPAS LIQ TIXAN YPE 3L ANTIBAC</t>
  </si>
  <si>
    <t>LAVA ROUPAS LIQ TIXAN YPE 900ML RF PRIMAVERA</t>
  </si>
  <si>
    <t>LAVA ROUPAS LIQ URCA 500ML COCO</t>
  </si>
  <si>
    <t>LAVA ROUPAS LIQ YPE 900ML RF POWER ACT</t>
  </si>
  <si>
    <t>LAVA ROUPAS MON BIJOU 1L ESC/PRETAS</t>
  </si>
  <si>
    <t>LAVA ROUPAS MON BIJOU 300ML ROUPAS INTIMAS</t>
  </si>
  <si>
    <t>LEAVE-IN DOVE 175ML SPRAY RECONSTRUCAO</t>
  </si>
  <si>
    <t>LEAVE-IN DOVE 50ML BOND INTENSE REPAIR</t>
  </si>
  <si>
    <t>LEAVE-IN FINALIZADOR TRESEMME 110ML DETOX</t>
  </si>
  <si>
    <t>LEAVE-IN SEDA 110ML LUMINOUS UV</t>
  </si>
  <si>
    <t>LEAVE-IN TRESEMME 380ML CACHOS DEFINIDOS</t>
  </si>
  <si>
    <t>LEAVE-IN VULT CABELOS 100ML SPRAY CHOQUE RECONST</t>
  </si>
  <si>
    <t>LEAVE-IN VULT CABELOS 100ML SPRAY RECARGA HIDRAT</t>
  </si>
  <si>
    <t>LEGUMES BONDUELLE SELETA SUAVE 200G</t>
  </si>
  <si>
    <t>LEITE COCO DUCOCO 200ML</t>
  </si>
  <si>
    <t>LEITE COCO SOCOCO 200ML VD</t>
  </si>
  <si>
    <t>LEITE COCO SOCOCO 500ML</t>
  </si>
  <si>
    <t>LEITE COCO SOCOCO LIGHT 200ML VD</t>
  </si>
  <si>
    <t>LEITE COCO SOCOCO LIGHT 500ML VD</t>
  </si>
  <si>
    <t>LEITE COCO SOCOCO REDUCAO CALORICA 200ML</t>
  </si>
  <si>
    <t>LEITE COND DE SOJA SOYMILKE Z/LACTO 330G</t>
  </si>
  <si>
    <t>LEITE COND LINEA 210G</t>
  </si>
  <si>
    <t>LEITE COND MOCA 395G LTA</t>
  </si>
  <si>
    <t>LEITE COND MOCA 395G SEMIDES Z/LACT</t>
  </si>
  <si>
    <t>LEITE COND MOCA 395G SEMIDESNATADO</t>
  </si>
  <si>
    <t>LEITE COND MOCA LIGHT 410G</t>
  </si>
  <si>
    <t>LEITE COND PIRAC 395G ZERO LACTOSE</t>
  </si>
  <si>
    <t>LEITE COND VITAO 200G ZERO ACUCAR</t>
  </si>
  <si>
    <t>LEITE CONDENSADO PIRACANJUBA 395G</t>
  </si>
  <si>
    <t>LEITE DE COCO PO VEG MONAMA 180G</t>
  </si>
  <si>
    <t>LEITE EM PO LASERENISSIMA INT 400G</t>
  </si>
  <si>
    <t>LEITE PIRACANJUBA 1L ZERO LACTOSE</t>
  </si>
  <si>
    <t>LEITE PO INST LASERENISSIMA 300G DESNATADO</t>
  </si>
  <si>
    <t>LEITE PO INST LASERENISSIMA 400G INTEGRAL</t>
  </si>
  <si>
    <t>LEITE PO INST NINHO 350G INTEGRAL</t>
  </si>
  <si>
    <t>LEITE PO INST NINHO 380G INTEGRAL</t>
  </si>
  <si>
    <t>LEITE PO INST NINHO 575G INTEGRAL</t>
  </si>
  <si>
    <t>LEITE PO INST PIRACANJUBA 380G INT A2</t>
  </si>
  <si>
    <t>LEITE PO LA SERENISSIMA 300G ZERO LACTOSE</t>
  </si>
  <si>
    <t>LEITE PO MOLICO 280G DESNAT 10% GTS</t>
  </si>
  <si>
    <t>LEITE PO MOLICO DESNATADO 280G</t>
  </si>
  <si>
    <t>LEITE PO MOLICO ZERO LACTOSE 260G</t>
  </si>
  <si>
    <t>LEITE PO NINHO 350G ADULTO LT SEMI DESNATADO</t>
  </si>
  <si>
    <t>LEITE PO NINHO 350G INTEGRAL</t>
  </si>
  <si>
    <t>LEITE PO NINHO 350G PRO TEEN</t>
  </si>
  <si>
    <t>LEITE PO NINHO 380G LT INTEGRAL</t>
  </si>
  <si>
    <t>LEITE PO NINHO 500G ADULTO SEMI DESNATADO</t>
  </si>
  <si>
    <t>LEITE PO NINHO 575G INTEGRAL</t>
  </si>
  <si>
    <t>LEITE PO NINHO LEPO 0 LACT 700G</t>
  </si>
  <si>
    <t>LEITE SILK 1L AMEND ORIGINAL</t>
  </si>
  <si>
    <t>LEITE SILK 1L AMEND/CACAU</t>
  </si>
  <si>
    <t>LEITE SILK 1L CASTANHA</t>
  </si>
  <si>
    <t>LEITE SILK 1L COCO</t>
  </si>
  <si>
    <t>LEITE SILK 1L ORIG S/ACUCAR</t>
  </si>
  <si>
    <t>LEITE UHT LEVINHO NESTLE 1L SEMIDESNATADO</t>
  </si>
  <si>
    <t>LEITE UHT MOLICO 1L DESNAT S/ESTAB</t>
  </si>
  <si>
    <t>LEITE UHT MOLICO 1L DESNATADO</t>
  </si>
  <si>
    <t>LEITE UHT MOLICO ZERO LACTOSE 1L DESNATADO</t>
  </si>
  <si>
    <t>LEITE UHT NINHO 1L INTEGRAL</t>
  </si>
  <si>
    <t>LEITE UHT NINHO 1L ZERO LACTOSE</t>
  </si>
  <si>
    <t>LEITE UHT NINHO LEVINHO A2A2 1L SEMIDESNATADO</t>
  </si>
  <si>
    <t>LEITE UHT NINHO LEVINHO ZER/LACT 1L SEMIDESNATADO</t>
  </si>
  <si>
    <t>LEITE UHT PARMALAT 1L DESNATADO</t>
  </si>
  <si>
    <t>LEITE UHT PARMALAT 1L INTEGRAL</t>
  </si>
  <si>
    <t>LEITE UHT PARMALAT 1L SEM DESNATADO</t>
  </si>
  <si>
    <t>LEITE UHT PARMALAT PET 1L DESNATADO</t>
  </si>
  <si>
    <t>LEITE UHT PARMALAT PET 1L INTEGRAL</t>
  </si>
  <si>
    <t>LEITE UHT PARMALAT PET 1L SEMI DESNATADO</t>
  </si>
  <si>
    <t>LEITE UHT PARMALAT ZYMIL 1L DESN</t>
  </si>
  <si>
    <t>LEITE UHT PAULISTA 1L DESNATADO</t>
  </si>
  <si>
    <t>LEITE UHT PAULISTA 1L INTEGRAL</t>
  </si>
  <si>
    <t>LEITE UHT PAULISTA 1L SEM DESNATADO</t>
  </si>
  <si>
    <t>LEITE UHT PAULISTA 1L SEMI DESN GF</t>
  </si>
  <si>
    <t>LEITE UHT PAULISTA 1L Z/LACT SEMI</t>
  </si>
  <si>
    <t>LEITE UHT PIRACANJUBA 1L DESNATADO</t>
  </si>
  <si>
    <t>LEITE UHT PIRACANJUBA 1L INTEGRAL</t>
  </si>
  <si>
    <t>LEITE UHT PIRACANJUBA 1L SEMI DESNATADO</t>
  </si>
  <si>
    <t>LEITE UHT PIRACANJUBA A2A2 1L SEMI DESNATADO</t>
  </si>
  <si>
    <t>LEITE UHT PIRACANJUBA A2A2 1L Z/LAC DESNATADO</t>
  </si>
  <si>
    <t>LENCO FACIAL DEMAQ NIVEA 3 EM1 C/25 AZUL</t>
  </si>
  <si>
    <t>LENCO FACIAL DEMAQ NIVEA 3 EM1 C/25 ROSA</t>
  </si>
  <si>
    <t>LENCO FACIAL NEUTROGENA DEEP CLEAN C/25</t>
  </si>
  <si>
    <t>LENCO PAPEL KISS FOLHA DUPLA 100UN</t>
  </si>
  <si>
    <t>LENCO PAPEL KISS FOLHA DUPLA 10UN</t>
  </si>
  <si>
    <t>LENCO PAPEL KISS FOLHA DUPLA 50UN</t>
  </si>
  <si>
    <t>LENCO PAPEL KLEENEX BOLSO C/10</t>
  </si>
  <si>
    <t>LENCO PAPEL KLEENEX BOLSO MIST S/DIS 4X10</t>
  </si>
  <si>
    <t>LENCO PAPEL KLEENEX C/50UN</t>
  </si>
  <si>
    <t>LENCO UMED BABYSEC C/48 ULTRA FRESH</t>
  </si>
  <si>
    <t>LENCO UMED MIMMO C/40</t>
  </si>
  <si>
    <t>LENCO UMED PERSONAL BABY C/100</t>
  </si>
  <si>
    <t>LENCO UMED PERSONAL BABY C/50</t>
  </si>
  <si>
    <t>LENCOS UMED BEBE GRANADO C/50 PELES SENSIVEIS</t>
  </si>
  <si>
    <t>LENCOS UMED BEBE GRANADO C/50 TRAD</t>
  </si>
  <si>
    <t>LENCOS UMED JOHNSONS C/48 HORA DO SONO</t>
  </si>
  <si>
    <t>LENCOS UMED JOHNSONS C/48 PROTECAO PELE</t>
  </si>
  <si>
    <t>LENCOS UMED JOHNSONS C/48 RECEM NASCIDO</t>
  </si>
  <si>
    <t>LENCOS UMED JOHSONS C/44 LIMP/SUAV</t>
  </si>
  <si>
    <t>LENCOS UMED NEVE SUPREME C/48 SUPREME</t>
  </si>
  <si>
    <t>LENCOS UMED NEVE SUPREME C/48 TOQUE DA SEDA</t>
  </si>
  <si>
    <t>LENHA DE EUCALIPTO 7KG</t>
  </si>
  <si>
    <t>LENTILHA CAMIL 400G</t>
  </si>
  <si>
    <t>LENTILHA VAPZA VUPT 250G</t>
  </si>
  <si>
    <t>LENTILHA YOKI 400G</t>
  </si>
  <si>
    <t>LICHIA CALDA TOWA 565G</t>
  </si>
  <si>
    <t>LIMP BANHEIRO CIF 450ML RF SACHE S/CLORO</t>
  </si>
  <si>
    <t>LIMP BANHEIRO CIF 500ML GTL S/CLORO</t>
  </si>
  <si>
    <t>LIMP BANHEIRO CIF 500ML SQZ S/CLORO</t>
  </si>
  <si>
    <t>LIMP BANHEIRO VEJA 400ML RF ANTIBAC</t>
  </si>
  <si>
    <t>LIMP BANHEIRO VEJA 400ML RF LAVANDA</t>
  </si>
  <si>
    <t>LIMP BANHEIRO VEJA 500ML ANTIBAC GTL PROMO</t>
  </si>
  <si>
    <t>LIMP BANHEIRO VEJA 500ML GT LAVANDA</t>
  </si>
  <si>
    <t>LIMP BANHEIRO VEJA 500ML GTL 2/1 X-14 PROMO</t>
  </si>
  <si>
    <t>LIMP BANHEIRO VEJA 500ML GTL ANTIBAC</t>
  </si>
  <si>
    <t>LIMP BANHEIRO VEJA 500ML GTL X-14</t>
  </si>
  <si>
    <t>LIMP BANHEIRO VEJA 500ML LAVANDA PROMO</t>
  </si>
  <si>
    <t>LIMP BANHEIRO VEJA 500ML RF 2/1 X-14</t>
  </si>
  <si>
    <t>LIMP BANHEIRO VEJA 500ML RF ANTIBAC</t>
  </si>
  <si>
    <t>LIMP BANHEIRO VEJA 500ML SQZ 2/1 X14</t>
  </si>
  <si>
    <t>LIMP BANHEIRO VEJA 500ML SQZ ANTIBAC</t>
  </si>
  <si>
    <t>LIMP BANHEIRO VEJA 500ML SQZ X-14 PROMO</t>
  </si>
  <si>
    <t>LIMP DESENG AJAX 500ML COZINHA</t>
  </si>
  <si>
    <t>LIMP DESENG AJAX 500ML PROM COZINHA</t>
  </si>
  <si>
    <t>LIMP DESENG CIF 450ML RF DERRETE GORD</t>
  </si>
  <si>
    <t>LIMP DESENG CIF 500ML DERRETE GORD GTL</t>
  </si>
  <si>
    <t>LIMP DESENG COZ CIF 450ML RF</t>
  </si>
  <si>
    <t>LIMP DESENG COZ CIF 500ML GTL</t>
  </si>
  <si>
    <t>LIMP DESENG COZ CIF 500ML GTL PROMO</t>
  </si>
  <si>
    <t>LIMP DESENG COZ CIF 500ML PROMO</t>
  </si>
  <si>
    <t>LIMP DESENG COZ CIF 500ML SQZ</t>
  </si>
  <si>
    <t>LIMP DESENG COZ VEJA 400ML LARANJA RF ECONOMICO</t>
  </si>
  <si>
    <t>LIMP DESENG COZ VEJA 400ML LIMAO RF</t>
  </si>
  <si>
    <t>LIMP DESENG COZ VEJA 400ML RF LAVANDA</t>
  </si>
  <si>
    <t>LIMP DESENG COZ VEJA 500ML GTL 30% OFF LIMAO</t>
  </si>
  <si>
    <t>LIMP DESENG COZ VEJA 500ML GTL LIMAO</t>
  </si>
  <si>
    <t>LIMP DESENG COZ VEJA 500ML LARANJA GT</t>
  </si>
  <si>
    <t>LIMP DESENG COZ VEJA 500ML LIMAO</t>
  </si>
  <si>
    <t>LIMP DESENG COZ VEJA 500ML LIMAO RF</t>
  </si>
  <si>
    <t>LIMP DESENG COZ VEJA 500ML SQZ 20% OFF LIMAO</t>
  </si>
  <si>
    <t>LIMP DESENG VEJA 500ML POWER GEL SQ LARANJA</t>
  </si>
  <si>
    <t>LIMP DESENG VEJA 500ML POWER GEL SQ LIMAO</t>
  </si>
  <si>
    <t>LIMP MULTIUSO CIF 500ML ANTIBAC</t>
  </si>
  <si>
    <t>LIMP MULTIUSO COPERALCOOL 500ML FRESC DAS AGUAS</t>
  </si>
  <si>
    <t>LIMP MULTIUSO COPERALCOOL 500ML JARDIM HARMONIA</t>
  </si>
  <si>
    <t>LIMP MULTIUSO VEJA 500ML C/3 ORIGINAL</t>
  </si>
  <si>
    <t>LIMP MULTIUSO VEJA 500ML CAMPESTRE</t>
  </si>
  <si>
    <t>LIMP MULTIUSO VEJA 500ML FLORAL</t>
  </si>
  <si>
    <t>LIMP MULTIUSO VEJA 500ML LAVANDA</t>
  </si>
  <si>
    <t>LIMP MULTIUSO VEJA 500ML MARCANTE/ENVOLV</t>
  </si>
  <si>
    <t>LIMP MULTIUSO VEJA 500ML MODERNA/PODEROS</t>
  </si>
  <si>
    <t>LIMP MULTIUSO VEJA 500ML ORIGINAL</t>
  </si>
  <si>
    <t>LIMP MULTIUSO VEJA 500ML POWER FUSION COCO</t>
  </si>
  <si>
    <t>LIMP MULTIUSO VEJA 500ML POWER FUSION LARANJA</t>
  </si>
  <si>
    <t>LIMP MULTIUSO VEJA 500ML POWER FUSION LIMAO</t>
  </si>
  <si>
    <t>LIMP MULTIUSO VEJA 500ML PROMO CAMPESTRE</t>
  </si>
  <si>
    <t>LIMP MULTIUSO VEJA 500ML PROMO FLORAL</t>
  </si>
  <si>
    <t>LIMP MULTIUSO VEJA 500ML PROMO LAVANDA</t>
  </si>
  <si>
    <t>LIMP MULTIUSO VEJA 500ML PROMO ORIGINAL</t>
  </si>
  <si>
    <t>LIMP MULTIUSO VEJA 900ML USO DIRETO</t>
  </si>
  <si>
    <t>LIMP MULTIUSO YPE 500ML ALCOOL</t>
  </si>
  <si>
    <t>LIMP MULTIUSO YPE 500ML CLASSICO</t>
  </si>
  <si>
    <t>LIMP MULTIUSO YPE 500ML CONTROLE ODOR</t>
  </si>
  <si>
    <t>LIMP MULTIUSO YPE 500ML SQZ ANTIBAC</t>
  </si>
  <si>
    <t>LIMP MULTIUSO YPE 500ML TIRA MANCHAS</t>
  </si>
  <si>
    <t>LIMP PERF 1L VEJA ESPEC MARC/ENVOL</t>
  </si>
  <si>
    <t>LIMP PERF AJAX 1L 20% OFF FLORES PRIMAV</t>
  </si>
  <si>
    <t>LIMP PERF AJAX 1L FDF FLORES</t>
  </si>
  <si>
    <t>LIMP PERF AJAX 1L FDF LAVANDA</t>
  </si>
  <si>
    <t>LIMP PERF AJAX 1L FDF MENTA/ORQUIDEA</t>
  </si>
  <si>
    <t>LIMP PERF AJAX 1L FRESH</t>
  </si>
  <si>
    <t>LIMP PERF AJAX 1L FRESH LEMON</t>
  </si>
  <si>
    <t>LIMP PERF AJAX 1L MAR DE FLORES</t>
  </si>
  <si>
    <t>LIMP PERF AJAX 500ML BOUQUET FLORES</t>
  </si>
  <si>
    <t>LIMP PERF AJAX 500ML FLORES CAMPO</t>
  </si>
  <si>
    <t>LIMP PERF AJAX 500ML LAVANDA</t>
  </si>
  <si>
    <t>LIMP PERF AJAX L1000ML P800ML FRESH LEMON</t>
  </si>
  <si>
    <t>LIMP PERF VEJA 1L AROMA ALEGRIA</t>
  </si>
  <si>
    <t>LIMP PERF VEJA 1L AROMA ENERGIA</t>
  </si>
  <si>
    <t>LIMP PERF VEJA 1L AROMA ROMANCE</t>
  </si>
  <si>
    <t>LIMP PERF VEJA 1L ESPEC MODERN/PODER</t>
  </si>
  <si>
    <t>LIMP PERF VEJA 1L FLORES DO MEDITER PROMO</t>
  </si>
  <si>
    <t>LIMP PERF VEJA 1L JASMIM CARIBE</t>
  </si>
  <si>
    <t>LIMP PERF VEJA 1L LAVANDA PROMO</t>
  </si>
  <si>
    <t>LIMP PERF VEJA 1L LIRIO DO NILO PERFUMES</t>
  </si>
  <si>
    <t>LIMP PERF VEJA 1L TULIPA HOLANDA</t>
  </si>
  <si>
    <t>LIMP PERF VEJA 2L AROMA SENS ALEGRIA</t>
  </si>
  <si>
    <t>LIMP PERF VEJA 2L AROMA SENS ENERGIA</t>
  </si>
  <si>
    <t>LIMP PERF VEJA 2L AROMA SENS ROMANCE</t>
  </si>
  <si>
    <t>LIMP PERF VEJA 2L FLORES PROMO FLORES MEDITERR</t>
  </si>
  <si>
    <t>LIMP PERF VEJA 2L FLORES PROMO LAVANDA</t>
  </si>
  <si>
    <t>LIMP PERF VEJA 2L LIRIO DO NILO PERFUMES</t>
  </si>
  <si>
    <t>LIMP PERF VEJA 2L MARC/ENVOL</t>
  </si>
  <si>
    <t>LIMP PERF VEJA 2L MODERN/PODER</t>
  </si>
  <si>
    <t>LIMP PERF VEJA 500ML AROMA SENSE ENERGIA</t>
  </si>
  <si>
    <t>LIMP PERF VEJA 500ML FLORES/SONHO PROMO</t>
  </si>
  <si>
    <t>LIMP PERF VEJA 500ML JASMIN CARIBE</t>
  </si>
  <si>
    <t>LIMP PERF VEJA 500ML LAVAN PROMO</t>
  </si>
  <si>
    <t>LIMP PERF VEJA 500ML LIRIO DO NILO PERFUMES</t>
  </si>
  <si>
    <t>LIMP PERF VEJA 500ML TULIPA HOLAND</t>
  </si>
  <si>
    <t>LIMP PERF YPE 500ML JARDIM SECRETO</t>
  </si>
  <si>
    <t>LIMP PESADA SUPER CANDIDA 500ML CLORO ATIVO</t>
  </si>
  <si>
    <t>LIMP SANIT SUPER CANDIDA 500ML</t>
  </si>
  <si>
    <t>LIMP TIRA LIMO CIF 500ML GTL C/CLOR</t>
  </si>
  <si>
    <t>LIMP TIRA LIMO CIF 500ML GTL PROMO C/CLORO</t>
  </si>
  <si>
    <t>LIMP TIRA LIMO CIF 500ML SQZ C/CLOR</t>
  </si>
  <si>
    <t>LIMP TIRA LIMO SUPER CANDIDA 500ML SQZ</t>
  </si>
  <si>
    <t>LIMP TIRA LIMO YPE 520G CLORO ATIVO</t>
  </si>
  <si>
    <t>LIMP USO GERAL AJAX 1L FRESH PROMO</t>
  </si>
  <si>
    <t>LIMP VANISH KARPEX 500ML</t>
  </si>
  <si>
    <t>LIMPA ALUMINIO LIMPOL 500ML</t>
  </si>
  <si>
    <t>LIMPA CIF VIDRO 500ML SQUEEZE</t>
  </si>
  <si>
    <t>LIMPA FORNO PASTA FORCA AZUL 230G</t>
  </si>
  <si>
    <t>LIMPA LIMP PESADA 1L ORIG C/ALCOOL</t>
  </si>
  <si>
    <t>LIMPA LIMP PESADA AJAX 1,75L FRESH PROMO</t>
  </si>
  <si>
    <t>LIMPA LIMP PESADA AJAX 1L FRESH PODER</t>
  </si>
  <si>
    <t>LIMPA LIMP PESADA AJAX 500ML BLUE</t>
  </si>
  <si>
    <t>LIMPA LIMP PESADA AJAX 500ML FRESH</t>
  </si>
  <si>
    <t>LIMPA LIMP PESADA AJAX 500ML LIMAO</t>
  </si>
  <si>
    <t>LIMPA LIMP PESADA VEJA 1L 2/1 X-14 PROMO</t>
  </si>
  <si>
    <t>LIMPA LIMP PESADA VEJA 1L CAMPESTRE</t>
  </si>
  <si>
    <t>LIMPA LIMP PESADA VEJA 1L PROMO ORIGINAL</t>
  </si>
  <si>
    <t>LIMPA LIMP PESADA VEJA 1L X-14</t>
  </si>
  <si>
    <t>LIMPA LIMP PESADA VEJA 500ML CAMPES</t>
  </si>
  <si>
    <t>LIMPA LIMP PESADA VEJA 500ML ORIG C /ALCOOL</t>
  </si>
  <si>
    <t>LIMPA LIMP PESADA VEJA 500ML ORIG PROMO</t>
  </si>
  <si>
    <t>LIMPA LIMP PESADA VEJA 500ML X 14 PROMO</t>
  </si>
  <si>
    <t>LIMPA LIMP PESADA VEJA 500ML X-14</t>
  </si>
  <si>
    <t>LIMPA LIMP PESADA VEJA POWER 500ML BICA/ALCOOL/LIM</t>
  </si>
  <si>
    <t>LIMPA LIMP PESADA VEJA POWER 500ML CLOR/DET/EUCALI</t>
  </si>
  <si>
    <t>LIMPA LIMP PESADA VEJA POWER 950ML BICA/ALCOOL/LIM</t>
  </si>
  <si>
    <t>LIMPA LIMP PESADA VEJA POWER 950ML CLOR/DET/EUCALI</t>
  </si>
  <si>
    <t>LIMPA LIMP PESADA YPE 500ML PREMIUM ORIGINAL</t>
  </si>
  <si>
    <t>LIMPA MAQUINA ESFREBOM 80G</t>
  </si>
  <si>
    <t>LIMPA MAQUINAS MON BIJOU 80G</t>
  </si>
  <si>
    <t>LIMPA MULTIPISO DESTAC REF LAV/ALFA 500ML</t>
  </si>
  <si>
    <t>LIMPA PISO DESTAC LAVANDA ALFAZEMA 750ML</t>
  </si>
  <si>
    <t>LIMPA PISO DESTAC MADEIRA LAV E VAN 750ML</t>
  </si>
  <si>
    <t>LIMPA PISO DESTAC PORCELANAO CERAMICA 750ML</t>
  </si>
  <si>
    <t>LIMPA VEJA VIDREX 500ML PULV CRISTAL</t>
  </si>
  <si>
    <t>LIMPA VEJA VIDREX BIO ALC TRAD SQZ L500P400ML</t>
  </si>
  <si>
    <t>LIMPA VEJA VIDREX GAT 500ML CRISTAL PROMO</t>
  </si>
  <si>
    <t>LIMPA VEJA VIDREX RF 500ML CRISTAL</t>
  </si>
  <si>
    <t>LIMPA VIDROS BUFALO 500ML JET</t>
  </si>
  <si>
    <t>LIMPA VIDROS CIF 450ML ULTRA RAPIDO DOYP</t>
  </si>
  <si>
    <t>LIMPA VIDROS CIF 500ML GTL</t>
  </si>
  <si>
    <t>LIMPA VIDROS CIF SQZ LV 500ML PG 400ML</t>
  </si>
  <si>
    <t>LIMPA VIDROS URCA 500ML TRIPLA ACAO</t>
  </si>
  <si>
    <t>LIMPA VIDROS VEJA GAT 500ML TRAD</t>
  </si>
  <si>
    <t>LIMPA VIDROS VEJA RF 500ML TRAD</t>
  </si>
  <si>
    <t>LIMPA VIDROS VEJA VIDREX 400ML RF</t>
  </si>
  <si>
    <t>LIMPA VIDROS VEJA VIDREX 500ML TRAD C/ALCOOL</t>
  </si>
  <si>
    <t>LIMPADOR MULTIUSO VINAGREEN 500ML</t>
  </si>
  <si>
    <t>LINGUA DE GATO KATZENZUNGEN 100G AO LEITE</t>
  </si>
  <si>
    <t>LINGUA DE GATO KATZENZUNGEN 100G MISTA</t>
  </si>
  <si>
    <t>LOCAO DEO HIDRAT NIVEA 200ML BELEZA RADIANTE</t>
  </si>
  <si>
    <t>LOCAO DEO HIDRAT NIVEA 200ML MILK</t>
  </si>
  <si>
    <t>LOCAO DEO HIDRAT NIVEA 250ML MILK</t>
  </si>
  <si>
    <t>LOCAO DEO HIDRAT NIVEA 400ML SOFT</t>
  </si>
  <si>
    <t>LOCAO HIDRAT DOVE 200 ML MANTEIGA KARITE</t>
  </si>
  <si>
    <t>LOCAO HIDRAT DOVE 200 ML NUTRICAO ESSENC</t>
  </si>
  <si>
    <t>LOCAO HIDRAT DOVE 200 ML ROMA E VERBENA</t>
  </si>
  <si>
    <t>LOCAO HIDRAT DOVE 400ML MANTEIGA KARITE</t>
  </si>
  <si>
    <t>LOCAO HIDRAT DOVE 400ML NUTRICAO ESSENC</t>
  </si>
  <si>
    <t>LOCAO HIDRAT DOVE 400ML OLEO DE COCO</t>
  </si>
  <si>
    <t>LOCAO HIDRAT DOVE 400ML ROMA E VERBENA</t>
  </si>
  <si>
    <t>LOCAO HIDRAT DOVE BABY 200ML HID ENRIQUECIDA</t>
  </si>
  <si>
    <t>LOCAO HIDRAT FLOR DE YPE 200ML AMEIXA/FLOR LOT</t>
  </si>
  <si>
    <t>LOCAO HIDRAT FLOR DE YPE 200ML KARITE/FLOR AME</t>
  </si>
  <si>
    <t>LOCAO HIDRAT FLOR DE YPE 400ML AMEIXA/FLOR LOT</t>
  </si>
  <si>
    <t>LOCAO HIDRAT JOHNSONS 200ML</t>
  </si>
  <si>
    <t>LOCAO HIDRAT JOHNSONS BABY 200ML</t>
  </si>
  <si>
    <t>LOCAO HIDRAT MAOS NIVEA 75G CUID/PROTECAO</t>
  </si>
  <si>
    <t>LOCAO HIDRAT MAOS NIVEA 75G Q10 ANTI-IDADE</t>
  </si>
  <si>
    <t>LOCAO HIDRAT NEUTROGENA 200ML CERAMIDAS</t>
  </si>
  <si>
    <t>LOCAO HIDRAT NEUTROGENA 200ML D-PANTHENOL</t>
  </si>
  <si>
    <t>LOCAO HIDRAT NEUTROGENA 400ML CERAMIDAS</t>
  </si>
  <si>
    <t>LOCAO HIDRAT NEUTROGENA 400ML D-PANTHENOL</t>
  </si>
  <si>
    <t>LOCAO HIDRAT NEUTROGENA 400ML VITAMINA C</t>
  </si>
  <si>
    <t>LOCAO HIDRAT NIVEA 200ML COCO E MONOI</t>
  </si>
  <si>
    <t>LOCAO HIDRAT NIVEA 200ML FIRMADOR TODO TIPO PELE</t>
  </si>
  <si>
    <t>LOCAO HIDRAT NIVEA 200ML FIRMADOR VIT 10 PELE SEC</t>
  </si>
  <si>
    <t>LOCAO HIDRAT NIVEA 200ML FLOR CEREJEIRA</t>
  </si>
  <si>
    <t>LOCAO HIDRAT NIVEA 200ML FLOR LARANJEIRA</t>
  </si>
  <si>
    <t>LOCAO HIDRAT NIVEA 400ML FIRMADOR TODOS TIPO PELE</t>
  </si>
  <si>
    <t>LOCAO HIDRAT NIVEA 56G CREME</t>
  </si>
  <si>
    <t>LOCAO HIDRAT NIVEA DESOD 200ML SOFT MILK</t>
  </si>
  <si>
    <t>LOCAO HIDRAT NIVEA DESOD 400ML MILK</t>
  </si>
  <si>
    <t>LOCAO HIDRAT VASENOL 200ML CACAU</t>
  </si>
  <si>
    <t>LOCAO HIDRAT VASENOL 200ML CAMOMILA</t>
  </si>
  <si>
    <t>LOCAO HIDRAT VASENOL 200ML CLINICAL</t>
  </si>
  <si>
    <t>LOCAO HIDRAT VASENOL 200ML REPARADO</t>
  </si>
  <si>
    <t>LOCAO HIDRAT VASENOL 200ML TOTAL NT</t>
  </si>
  <si>
    <t>LOCAO HIDRAT VASENOL 400ML AVEIA PURA</t>
  </si>
  <si>
    <t>LOCAO HIDRAT VULT HIDRALURONI 200ML FIRMEZA/ELASTI</t>
  </si>
  <si>
    <t>LOCAO HIDRAT VULT HIDRALURONI 200ML HIDRAT INTENSI</t>
  </si>
  <si>
    <t>LOCAO HIDRAT VULT HIDRALURONI 300ML REFIL HIDRAT I</t>
  </si>
  <si>
    <t>LOCAO HIDRAT VULT HIDRALURONI 350ML FIRMEZA/ELASTI</t>
  </si>
  <si>
    <t>LOCAO HIDRAT VULT HIDRALURONI 350ML HIDRAT INTENSI</t>
  </si>
  <si>
    <t>LOCAO POS BARBA NIVEA 100ML BALSAMO SENSITIVE MEN</t>
  </si>
  <si>
    <t>LOURO EM PO ESP E SAB 25G</t>
  </si>
  <si>
    <t>LOURO EM PO KITANO 12G</t>
  </si>
  <si>
    <t>LOURO FOLHAS ESP E SAB 15G</t>
  </si>
  <si>
    <t>LUSTRA MOVEIS POLIFLOR 200ML JASMIM</t>
  </si>
  <si>
    <t>LUSTRA MOVEIS POLIFLOR 200ML LAVAND</t>
  </si>
  <si>
    <t>LUSTRA MOVEIS POLIFLOR 500ML JASMIM</t>
  </si>
  <si>
    <t>LUSTRA MOVEIS POLIFLOR 500ML LAVAND</t>
  </si>
  <si>
    <t>LUSTRA MOVEIS POLIFLOR 500ML LAVANDA PROMO</t>
  </si>
  <si>
    <t>LUSTRA MOVEIS POLIFLOR SUPERFICE 200ML</t>
  </si>
  <si>
    <t>LUSTRA MOVEIS YPE LUSTRAL 200ML JASMIN</t>
  </si>
  <si>
    <t>LUSTRA MOVEIS YPE LUSTRAL 200ML LAVANDA</t>
  </si>
  <si>
    <t>LUVA MULTIUSO ESFREBOM AMARELA G</t>
  </si>
  <si>
    <t>LUVA MULTIUSO ESFREBOM AMARELA M</t>
  </si>
  <si>
    <t>LUVA MULTIUSO ESFREBOM AMARELA P</t>
  </si>
  <si>
    <t>LUVA P/COZINHA ESFREBOM G</t>
  </si>
  <si>
    <t>LUVA P/COZINHA ESFREBOM M</t>
  </si>
  <si>
    <t>LUVA P/COZINHA ESFREBOM P</t>
  </si>
  <si>
    <t>LUVAS CONDOR MULTIUSO GRANDE 1PAR</t>
  </si>
  <si>
    <t>LUVAS CONDOR MULTIUSO PEQUENA 1PAR</t>
  </si>
  <si>
    <t>MAC ADRIA 500G CABELO DE ANJO</t>
  </si>
  <si>
    <t>MAC ALFA 500G SOMEN</t>
  </si>
  <si>
    <t>MAC ALFA 500G UDON</t>
  </si>
  <si>
    <t>MAC ALFA 500G YAKISOBA LARGO</t>
  </si>
  <si>
    <t>MAC ALFA 500G YAKISSOBA</t>
  </si>
  <si>
    <t>MAC ARROZ BIFUM TOWA 500G</t>
  </si>
  <si>
    <t>MAC ARROZ MIFUN ALFA 200G</t>
  </si>
  <si>
    <t>MAC BARILLA 250G LASAGNE</t>
  </si>
  <si>
    <t>MAC BARILLA 400G GLUTEN FREE SPAGHETTI</t>
  </si>
  <si>
    <t>MAC BARILLA 500G CASARECCE</t>
  </si>
  <si>
    <t>MAC BARILLA 500G FETTUCCINE N6</t>
  </si>
  <si>
    <t>MAC BARILLA 500G INTEG SPAGHETTINI</t>
  </si>
  <si>
    <t>MAC BARILLA 500G S/GLUTEN PENNE</t>
  </si>
  <si>
    <t>MAC BARILLA 500G S/GLUTEN SPAGHETTI</t>
  </si>
  <si>
    <t>MAC BARILLA 500G SPAGHETTI</t>
  </si>
  <si>
    <t>MAC BARILLA BUCATINI N9 500G</t>
  </si>
  <si>
    <t>MAC BARILLA FARFALLINE 500G</t>
  </si>
  <si>
    <t>MAC BARILLA FETTUCCINE COLLEZIONE 500G</t>
  </si>
  <si>
    <t>MAC BARILLA FUSILLI 500G COLLEZION</t>
  </si>
  <si>
    <t>MAC BARILLA INTEGRALE 500G FARFALLE</t>
  </si>
  <si>
    <t>MAC BARILLA RISONI 500G</t>
  </si>
  <si>
    <t>MAC BARILLA TORTELLINE 250G FORMAGGI</t>
  </si>
  <si>
    <t>MAC COLAVITA ELICHE TRICOLORI 500G</t>
  </si>
  <si>
    <t>MAC COLAVITA FARFALLE 500G</t>
  </si>
  <si>
    <t>MAC COLAVITA FETUCCINE 500G</t>
  </si>
  <si>
    <t>MAC COLAVITA FETUCCINE NID 500G INTEGRAL</t>
  </si>
  <si>
    <t>MAC COLAVITA FUSILI 500G</t>
  </si>
  <si>
    <t>MAC COLAVITA MEZZE PENINE 500G</t>
  </si>
  <si>
    <t>MAC COLAVITA PENNE RIGATE 500G</t>
  </si>
  <si>
    <t>MAC COLAVITA RIGATONI 500G</t>
  </si>
  <si>
    <t>MAC COLAVITA TAGLIATELL NID 500G</t>
  </si>
  <si>
    <t>MAC COLAVITA TAGLIATELLE 500G</t>
  </si>
  <si>
    <t>MAC COLAVITA TAGLIATELLEI A NIDO SPINACI 500G</t>
  </si>
  <si>
    <t>MAC DIVELLA 500G FUSILLI 40</t>
  </si>
  <si>
    <t>MAC DIVELLA 500G PENNE RIGATE</t>
  </si>
  <si>
    <t>MAC DIVELLA 500G RIGATON 17</t>
  </si>
  <si>
    <t>MAC DONA BENTA AVIAOZINHO 500G</t>
  </si>
  <si>
    <t>MAC DONA BENTA GRAVATA 500G</t>
  </si>
  <si>
    <t>MAC DONA BENTA LETRINHAS 500G</t>
  </si>
  <si>
    <t>MAC DONA BENTA TALHARIM N2 500G</t>
  </si>
  <si>
    <t>MAC DONA BENTA TORTELLINI 500G</t>
  </si>
  <si>
    <t>MAC GRA DURO BARILLA 500G MIN PENNE RIGATE</t>
  </si>
  <si>
    <t>MAC GRAGNANO 500G TRIC CUORE</t>
  </si>
  <si>
    <t>MAC GRAGNANO 500G TRIC FUSILLONI</t>
  </si>
  <si>
    <t>MAC GRAN DURO BARILLA 500G CHIFFERI</t>
  </si>
  <si>
    <t>MAC GRANO DORO RENATA 500G CAPEL D ANG</t>
  </si>
  <si>
    <t>MAC GRANO DURO ARMANDO 400G ALFABET</t>
  </si>
  <si>
    <t>MAC GRANO DURO ARMANDO 400G GLI ORZI</t>
  </si>
  <si>
    <t>MAC GRANO DURO ARMANDO 500G CANNERO</t>
  </si>
  <si>
    <t>MAC GRANO DURO ARMANDO 500G CHITARR</t>
  </si>
  <si>
    <t>MAC GRANO DURO ARMANDO 500G FARFALL</t>
  </si>
  <si>
    <t>MAC GRANO DURO ARMANDO 500G FETTUCC</t>
  </si>
  <si>
    <t>MAC GRANO DURO ARMANDO 500G FUSILLO</t>
  </si>
  <si>
    <t>MAC GRANO DURO ARMANDO 500G FUSILLONE</t>
  </si>
  <si>
    <t>MAC GRANO DURO ARMANDO 500G ORECCHI</t>
  </si>
  <si>
    <t>MAC GRANO DURO ARMANDO 500G PAPPARD</t>
  </si>
  <si>
    <t>MAC GRANO DURO ARMANDO 500G PENNA</t>
  </si>
  <si>
    <t>MAC GRANO DURO ARMANDO 500G RIGATON</t>
  </si>
  <si>
    <t>MAC GRANO DURO ARMANDO 500G SPAGHET</t>
  </si>
  <si>
    <t>MAC GRANO DURO ARMANDO 500G TORTIGL</t>
  </si>
  <si>
    <t>MAC GRANO DURO ARMANDO 500G TRECCIA</t>
  </si>
  <si>
    <t>MAC GRANO DURO BARILLA 500G ANGEL HAIR</t>
  </si>
  <si>
    <t>MAC GRANO DURO BARILLA 500G FARFALLE</t>
  </si>
  <si>
    <t>MAC GRANO DURO BARILLA 500G FUSILLI 98</t>
  </si>
  <si>
    <t>MAC GRANO DURO BARILLA 500G LINGUIN 13</t>
  </si>
  <si>
    <t>MAC GRANO DURO BARILLA 500G MEZZE PENNE TRIC</t>
  </si>
  <si>
    <t>MAC GRANO DURO BARILLA 500G MINI FARFALLE</t>
  </si>
  <si>
    <t>MAC GRANO DURO BARILLA 500G PENNE RIGATE 73</t>
  </si>
  <si>
    <t>MAC GRANO DURO BARILLA 500G RIGATO 89</t>
  </si>
  <si>
    <t>MAC GRANO DURO BARILLA 500G SPAG 3</t>
  </si>
  <si>
    <t>MAC GRANO DURO BARILLA 500G SPAG 7</t>
  </si>
  <si>
    <t>MAC GRANO DURO COLAVITA 500G CAPPELLI A NIDO</t>
  </si>
  <si>
    <t>MAC GRANO DURO COLAVITA 500G FETTUC A NIDO</t>
  </si>
  <si>
    <t>MAC GRANO DURO COLAVITA 500G PARPAD A NIDO</t>
  </si>
  <si>
    <t>MAC GRANO DURO DIVELLA 500G BUCATINI 6</t>
  </si>
  <si>
    <t>MAC GRANO DURO DIVELLA 500G SPAGHETTI 8</t>
  </si>
  <si>
    <t>MAC GRANO DURO PETYBON 500G CAVATAPPI</t>
  </si>
  <si>
    <t>MAC GRANO DURO PETYBON 500G FETTUCC</t>
  </si>
  <si>
    <t>MAC GRANO DURO PETYBON 500G FUSILL</t>
  </si>
  <si>
    <t>MAC GRANO DURO PETYBON 500G FUSILLI TRICOLORE</t>
  </si>
  <si>
    <t>MAC GRANO DURO PETYBON 500G GEMELLI</t>
  </si>
  <si>
    <t>MAC GRANO DURO PETYBON 500G PENNE</t>
  </si>
  <si>
    <t>MAC GRANO DURO PETYBON 500G PENNE INTEGRALI</t>
  </si>
  <si>
    <t>MAC GRANO DURO PETYBON 500G RIGATONI</t>
  </si>
  <si>
    <t>MAC GRANO DURO PETYBON 500G SPAGHET</t>
  </si>
  <si>
    <t>MAC GRANO DURO PETYBON 500G TAGLIATELLE</t>
  </si>
  <si>
    <t>MAC GRANO DURO RENATA 500G ESPAG 10</t>
  </si>
  <si>
    <t>MAC GRANO DURO RENATA 500G ESPAG 8</t>
  </si>
  <si>
    <t>MAC GRANO DURO RENATA 500G LINGUINE</t>
  </si>
  <si>
    <t>MAC GRANO DURO RENATA 500G PENNE TRICOLORE</t>
  </si>
  <si>
    <t>MAC GRANO DURO RENATA TRICO 500G FUSILI</t>
  </si>
  <si>
    <t>MAC GRANO DURO TRESS 500G SPATZLE DA OMA</t>
  </si>
  <si>
    <t>MAC GRANO DURO TRESS 500G SPATZLE FEINE</t>
  </si>
  <si>
    <t>MAC HARUSAME NONGSHIM 500G BATATA DOCE</t>
  </si>
  <si>
    <t>MAC HARUSAME VERMICELLI 200G REDE</t>
  </si>
  <si>
    <t>MAC INST NISSIN 85G CARNE</t>
  </si>
  <si>
    <t>MAC INST NISSIN 85G GAL CAIPIRA</t>
  </si>
  <si>
    <t>MAC INST NISSIN 85G GALINHA</t>
  </si>
  <si>
    <t>MAC INST NISSIN 85G TURMA TOMATE</t>
  </si>
  <si>
    <t>MAC INST NISSIN YAKISSOBA 500G</t>
  </si>
  <si>
    <t>MAC INST NONGSHIM 120G NEOGURI RAMYUN</t>
  </si>
  <si>
    <t>MAC INST NONGSHIM 120G SHIN RAMYUN</t>
  </si>
  <si>
    <t>MAC INST NONGSHIM 125G ANSUNG TANG MYUN</t>
  </si>
  <si>
    <t>MAC INST NONGSHIM 125G SEAFOOD RAMYUN</t>
  </si>
  <si>
    <t>MAC INST NONGSHIM 140G CHAPAGETTI</t>
  </si>
  <si>
    <t>MAC INST NONGSHIM 62G NEOGURI CUP</t>
  </si>
  <si>
    <t>MAC INST NONGSHIM 67G SHRIMP SPICY</t>
  </si>
  <si>
    <t>MAC INST NONGSHIM 68G SHIN CUP</t>
  </si>
  <si>
    <t>MAC INST NONGSHIM NOODLE 100G CHICKEN SPICY</t>
  </si>
  <si>
    <t>MAC INST NONGSHIM NOODLE 100G YUGUEJANG</t>
  </si>
  <si>
    <t>MAC INST PALDO 130G BIBIM MEN</t>
  </si>
  <si>
    <t>MAC INST PALDO 190G KING JJAJANGMEN</t>
  </si>
  <si>
    <t>MAC INST PALDO 65G PORORO JJAJANG</t>
  </si>
  <si>
    <t>MAC INST SAMYANG 115G CARN/VEGETAIS</t>
  </si>
  <si>
    <t>MAC INT BARILLA 500G FUSILLI</t>
  </si>
  <si>
    <t>MAC INT GRA DURO BARILLA 500G PENNE RIGATE</t>
  </si>
  <si>
    <t>MAC INT GRAN DURO BARILLA 500G SPAG</t>
  </si>
  <si>
    <t>MAC INT GRANO DURO PETYBON 500G FUSILLI</t>
  </si>
  <si>
    <t>MAC MILHO TIVVA 500G FUSILLI S/GLUT ORIGINAL</t>
  </si>
  <si>
    <t>MAC MILHO TIVVA 500G FUSILLI S/GLUT QUINOA</t>
  </si>
  <si>
    <t>MAC MILHO TIVVA 500G PENNE S/GLUTEN LINHACA DOURAD</t>
  </si>
  <si>
    <t>MAC MILHO TIVVA 500G PENNE S/GLUTEN ORIGINAL</t>
  </si>
  <si>
    <t>MAC MILHO/ARROZ RENATA 500G S/GLUT ESPAGUETE 8</t>
  </si>
  <si>
    <t>MAC MILHO/ARROZ RENATA 500G S/GLUT PARAFUSO</t>
  </si>
  <si>
    <t>MAC MILHO/ARROZ RENATA 500G S/GLUT PENA</t>
  </si>
  <si>
    <t>MAC OVO ADRIA 500G ARGOLA</t>
  </si>
  <si>
    <t>MAC OVO ADRIA 500G AVE MARIA</t>
  </si>
  <si>
    <t>MAC OVO ADRIA 500G ESPAGUETE 8</t>
  </si>
  <si>
    <t>MAC OVO ADRIA 500G ESPAGUETINHO 9</t>
  </si>
  <si>
    <t>MAC OVO ADRIA 500G ESPIRAL</t>
  </si>
  <si>
    <t>MAC OVO ADRIA 500G FIDELINHO 10</t>
  </si>
  <si>
    <t>MAC OVO ADRIA 500G FURADO 5</t>
  </si>
  <si>
    <t>MAC OVO ADRIA 500G LETRINHAS</t>
  </si>
  <si>
    <t>MAC OVO ADRIA 500G NINHO 3</t>
  </si>
  <si>
    <t>MAC OVO ADRIA 500G PADRE NOSSO</t>
  </si>
  <si>
    <t>MAC OVO ADRIA 500G PARAFUSO</t>
  </si>
  <si>
    <t>MAC OVO ADRIA 500G PENA</t>
  </si>
  <si>
    <t>MAC OVO BARILLA 500G AVE MARIA</t>
  </si>
  <si>
    <t>MAC OVO BARILLA 500G ESPAGUETE 8</t>
  </si>
  <si>
    <t>MAC OVO BARILLA 500G ESPAGUETINHO 9</t>
  </si>
  <si>
    <t>MAC OVO BARILLA 500G FETTUCCINE</t>
  </si>
  <si>
    <t>MAC OVO BARILLA 500G LINGUINE</t>
  </si>
  <si>
    <t>MAC OVO BARILLA 500G PAI NOSSO</t>
  </si>
  <si>
    <t>MAC OVO BARILLA 500G PARAFUSO</t>
  </si>
  <si>
    <t>MAC OVO BARILLA 500G PENNE RIGATE</t>
  </si>
  <si>
    <t>MAC OVO DONA BENTA 500G AVE MARIA</t>
  </si>
  <si>
    <t>MAC OVO DONA BENTA 500G ESPAGUETE 8</t>
  </si>
  <si>
    <t>MAC OVO DONA BENTA 500G NINHO</t>
  </si>
  <si>
    <t>MAC OVO DONA BENTA 500G PARAFUSO</t>
  </si>
  <si>
    <t>MAC OVO DONA BENTA 500G PENNE</t>
  </si>
  <si>
    <t>MAC OVO PETYBON 500G ESPAGUETE 8</t>
  </si>
  <si>
    <t>MAC OVO PETYBON 500G RIGATONI</t>
  </si>
  <si>
    <t>MAC OVO RENATA 500G FIDELINHO 10</t>
  </si>
  <si>
    <t>MAC OVO RENATA 500G FURADINHO 5</t>
  </si>
  <si>
    <t>MAC OVO RENATA 500G TRICOLOR PARAFUSO</t>
  </si>
  <si>
    <t>MAC OVO RENATA 500G TRICOLOR PENNE</t>
  </si>
  <si>
    <t>MAC PAGANINI BAMBINI 300G BICHINHOS</t>
  </si>
  <si>
    <t>MAC PAGANINI BAMBINI 300G ESPACO</t>
  </si>
  <si>
    <t>MAC PAGANINI BAMBINI 300G LETRINHAS</t>
  </si>
  <si>
    <t>MAC PAGANINI BAMBINI 300G URSINHOS</t>
  </si>
  <si>
    <t>MAC PAGANINI CONCHIGLIONI 500G</t>
  </si>
  <si>
    <t>MAC PAGANINI ESPAGHETTI 500G</t>
  </si>
  <si>
    <t>MAC PAGANINI FETTUCCINE 500G</t>
  </si>
  <si>
    <t>MAC PAGANINI FUSILLI 500G</t>
  </si>
  <si>
    <t>MAC PAGANINI LASAGNA 200G</t>
  </si>
  <si>
    <t>MAC PAGANINI NIDI TAGLIOLINI 500G</t>
  </si>
  <si>
    <t>MAC PAGANINI PAPPARDELLE 500G</t>
  </si>
  <si>
    <t>MAC PAGANINI PENNE RIGATE 500G</t>
  </si>
  <si>
    <t>MAC PAGANINI RIGATONI 500G</t>
  </si>
  <si>
    <t>MAC PETYBON NINHO 500G</t>
  </si>
  <si>
    <t>MAC PETYBON PARAFUSO 500G</t>
  </si>
  <si>
    <t>MAC PETYBON PENA 500G</t>
  </si>
  <si>
    <t>MAC PETYBON SPAGHETTI G DURO INTEGRALI 500G</t>
  </si>
  <si>
    <t>MAC RENATA ALFABETO 500G</t>
  </si>
  <si>
    <t>MAC RENATA CARACOLINO 500G</t>
  </si>
  <si>
    <t>MAC RENATA CONCHA 500G</t>
  </si>
  <si>
    <t>MAC RENATA ESPAGUETE 500G</t>
  </si>
  <si>
    <t>MAC RENATA ESPAGUETINHO 9 500G</t>
  </si>
  <si>
    <t>MAC RENATA FETTUCCINE 500G</t>
  </si>
  <si>
    <t>MAC RENATA GRAVATA 500G</t>
  </si>
  <si>
    <t>MAC RENATA INTEGRALE ESPAGH 8 500G</t>
  </si>
  <si>
    <t>MAC RENATA INTEGRALE PENNE 500G</t>
  </si>
  <si>
    <t>MAC RENATA LINGUINE 500G</t>
  </si>
  <si>
    <t>MAC RENATA NINHO 2 500G</t>
  </si>
  <si>
    <t>MAC RENATA NINHO 3 500G</t>
  </si>
  <si>
    <t>MAC RENATA PADRE NOSSO 500G</t>
  </si>
  <si>
    <t>MAC RENATA PARAFUSO 500G</t>
  </si>
  <si>
    <t>MAC RENATA PENA 500G</t>
  </si>
  <si>
    <t>MAC RENATA SUPERIORE FUSILI 500G</t>
  </si>
  <si>
    <t>MAC RENATA SUPERIORE PENNE 500G</t>
  </si>
  <si>
    <t>MAC RENATA TALHARIM CASEIRO N1 500G</t>
  </si>
  <si>
    <t>MAC RENATA TALHARIM CASEIRO N2 500G</t>
  </si>
  <si>
    <t>MAC RENATA TALHARIM CASEIRO N3 500G</t>
  </si>
  <si>
    <t>MAC RUSTICHELLA LINGUINE 500G</t>
  </si>
  <si>
    <t>MAC RUSTICHELLA PAPPARDELLE ALL OUVO 200G</t>
  </si>
  <si>
    <t>MAC RUSTICHELLA PENNE RIG 500G</t>
  </si>
  <si>
    <t>MAC RUSTICHELLA SPAGHETTI 500G</t>
  </si>
  <si>
    <t>MAC TORTELLINI LA PASTINA 200G RECH RICOT/ESPINAFR</t>
  </si>
  <si>
    <t>MAC TORTELLINI LA PASTINA 250G RECH CARNE/PRESUNTO</t>
  </si>
  <si>
    <t>MAC TORTELLINI LA PASTINA 250G RECH TRES QUEIJOS</t>
  </si>
  <si>
    <t>MAC TRESS 250G SPATZLE TRAD</t>
  </si>
  <si>
    <t>MAC YAKISSOBA 500G ASSAI FINO</t>
  </si>
  <si>
    <t>MAC YAKISSOBA 500G ASSAI LARGO</t>
  </si>
  <si>
    <t>MAC YAKISSOBA 500G HIROTANI</t>
  </si>
  <si>
    <t>MACEDONIA LEGUMES BONDUELLE 265G</t>
  </si>
  <si>
    <t>MAIONESE ARISCO 500G POTE</t>
  </si>
  <si>
    <t>MAIONESE BEAUFOR 180G C/MOSTARDA DIJON</t>
  </si>
  <si>
    <t>MAIONESE BEAUFOR 180G C/MOSTARDA DIJON/ALHO</t>
  </si>
  <si>
    <t>MAIONESE HEINZ 215G</t>
  </si>
  <si>
    <t>MAIONESE HEINZ 215G ALHO C/ERVAS</t>
  </si>
  <si>
    <t>MAIONESE HEINZ 215G QJO GORGONZOLA</t>
  </si>
  <si>
    <t>MAIONESE HEINZ 390G</t>
  </si>
  <si>
    <t>MAIONESE HEINZ 400G</t>
  </si>
  <si>
    <t>MAIONESE HELLMANNS 250G TRAD</t>
  </si>
  <si>
    <t>MAIONESE HELLMANNS 335G BACON</t>
  </si>
  <si>
    <t>MAIONESE HELLMANNS 335G LIGHT</t>
  </si>
  <si>
    <t>MAIONESE HELLMANNS 335G SQZ ALHO</t>
  </si>
  <si>
    <t>MAIONESE HELLMANNS 335G SQZ CHIPOTLE</t>
  </si>
  <si>
    <t>MAIONESE HELLMANNS 335G SQZ CHURRASCO</t>
  </si>
  <si>
    <t>MAIONESE HELLMANNS 335G SQZ TRAD</t>
  </si>
  <si>
    <t>MAIONESE HELLMANNS 335G SQZ VERDE</t>
  </si>
  <si>
    <t>MAIONESE HELLMANNS 500G LIGHT</t>
  </si>
  <si>
    <t>MAIONESE HELLMANNS 500G LIMAO</t>
  </si>
  <si>
    <t>MAIONESE HELLMANNS 500G TRADICIONAL</t>
  </si>
  <si>
    <t>MAIONESE HELLMANNS 800G SACHE</t>
  </si>
  <si>
    <t>MAIONESE HELLMANNS LV600G PG500G</t>
  </si>
  <si>
    <t>MAIONESE HELLMANNS SUPREME 330G SQZ TRAD</t>
  </si>
  <si>
    <t>MAIONESE HEMMER 290G TRADICIONAL</t>
  </si>
  <si>
    <t>MAIONESE KEWPIE 130G</t>
  </si>
  <si>
    <t>MAIONESE STRUMPF 210G VERDE</t>
  </si>
  <si>
    <t>MAIONESE VEG HELLMANNS 335G</t>
  </si>
  <si>
    <t>MAMAO RALADO SEGREDOS FAZENDA 280G</t>
  </si>
  <si>
    <t>MANDIOCA VAPZA 500G</t>
  </si>
  <si>
    <t>MANDIOQUINHA VAPZA COZ VAPOR 500G</t>
  </si>
  <si>
    <t>MANJAR COCO DR OETKER 200G</t>
  </si>
  <si>
    <t>MANJERICAO ESP E SAB 15G</t>
  </si>
  <si>
    <t>MANJERICAO KITANO 7G</t>
  </si>
  <si>
    <t>MANJERONA ESP E SAB 20G</t>
  </si>
  <si>
    <t>MAQUINA CAFE ILLY X7.1 220V</t>
  </si>
  <si>
    <t>MAQUINA CAFE ILLY Y3.3 127V PRETA</t>
  </si>
  <si>
    <t>MAQUINA CAFE TRES G2 TOUCH PRETA 127V</t>
  </si>
  <si>
    <t>MAQUINA CAFE TRES G2 TOUCH VERMELHA</t>
  </si>
  <si>
    <t>MAQUINA CAFE TRES G5 PASSIONE 127V PRETA</t>
  </si>
  <si>
    <t>MARIA MOLE DR OETKER 50G COCO</t>
  </si>
  <si>
    <t>MARSHMALLOW HARIBO CHAMALLOWS 70G BARBECUE</t>
  </si>
  <si>
    <t>MARSHMALLOW HARIBO CHAMALLOWS 70G CABLES BLUE</t>
  </si>
  <si>
    <t>MARSHMALLOW HARIBO CHAMALLOWS 70G CABLES COLORIDO</t>
  </si>
  <si>
    <t>MARSHMALLOW HARIBO CHAMALLOWS 70G CABLES PINK</t>
  </si>
  <si>
    <t>MASC COND DOVE 500G 1MIN RITUAL CRESCIMENTO</t>
  </si>
  <si>
    <t>MASC COND DOVE 500G 1MIN RITUAL REPARACAO</t>
  </si>
  <si>
    <t>MASCARA C/BARREIRA LAVAVEL BRANCA C/2UN</t>
  </si>
  <si>
    <t>MASSA ALIM ARROZ BIFUM 200G</t>
  </si>
  <si>
    <t>MASSA ALIM ARROZ BIFUM 500G</t>
  </si>
  <si>
    <t>MASSA ALIM ARROZ BIFUM 67G CARNE</t>
  </si>
  <si>
    <t>MASSA ALIM ARROZ BIFUM 67G GALINHA CAIPIRA</t>
  </si>
  <si>
    <t>MASSA ALIM ARROZ BIFUM 67G LEGUMES</t>
  </si>
  <si>
    <t>MASSA ALIM ARROZ INT URBANO 500G ESPAGUETE</t>
  </si>
  <si>
    <t>MASSA ALIM ARROZ INT URBANO 500G PARAFUSO</t>
  </si>
  <si>
    <t>MASSA ALIM ARROZ INT URBANO 500G PENA</t>
  </si>
  <si>
    <t>MASSA ALIM ARROZ URBANO 500G ESPAGUETE</t>
  </si>
  <si>
    <t>MASSA ALIM ARROZ URBANO 500G PAD NOSSO</t>
  </si>
  <si>
    <t>MASSA ALIM ARROZ URBANO 500G PARAFUSO</t>
  </si>
  <si>
    <t>MASSA ALIM ARROZ URBANO 500G PENNE</t>
  </si>
  <si>
    <t>MASSA ALIM ARROZ URBANO KIDS 500G MICKEY</t>
  </si>
  <si>
    <t>MASSA ALIM ARROZ URBANO KIDS 500G REI LEAO</t>
  </si>
  <si>
    <t>MASSA ALIM LENTILHA URBANO 500G PENA</t>
  </si>
  <si>
    <t>MASSA KONHAKU C/ALGA 350G</t>
  </si>
  <si>
    <t>MASSA LASAGNA PETYBON INTEGRAL 200G</t>
  </si>
  <si>
    <t>MASSA LASANHA ADRIA 500G</t>
  </si>
  <si>
    <t>MASSA LASANHA ARMANDO 500G</t>
  </si>
  <si>
    <t>MASSA LASANHA BARILLA 200G</t>
  </si>
  <si>
    <t>MASSA LASANHA BARILLA 250G S/GLUTEN</t>
  </si>
  <si>
    <t>MASSA LASANHA DONA BENTA 200G</t>
  </si>
  <si>
    <t>MASSA LASANHA DONA BENTA 500G</t>
  </si>
  <si>
    <t>MASSA LASANHA PETYBON 200G TRAD</t>
  </si>
  <si>
    <t>MASSA LASANHA PETYBON 500G</t>
  </si>
  <si>
    <t>MASSA LASANHA RENATA 200G</t>
  </si>
  <si>
    <t>MASSA LASANHA RENATA 500G</t>
  </si>
  <si>
    <t>MASSA LASANHA URBANO 250G S/GLUTEN</t>
  </si>
  <si>
    <t>MASSA PANQUECA HUNGRY JACK 198G BUTTERMILK</t>
  </si>
  <si>
    <t>MASSA PANQUECA HUNGRY JACK 198G CHOCOLATE CHIP</t>
  </si>
  <si>
    <t>MASSA PANQUECA HUNGRY JACK 907G ORIGINAL</t>
  </si>
  <si>
    <t>MASSA TORTILHA DA TERRINHA 150G S/GLUT ORIGINAL</t>
  </si>
  <si>
    <t>MASSA TORTILHA VEG NATURAL LIFE 170G S/G TOP 6</t>
  </si>
  <si>
    <t>MAXI BAUDUCCO GOIABINHA DP 30G</t>
  </si>
  <si>
    <t>MEL ANGICO VERMONT 300G</t>
  </si>
  <si>
    <t>MEL BALDONI 200G HOLANDA</t>
  </si>
  <si>
    <t>MEL BALDONI 300G SQZ EUCALIPTO</t>
  </si>
  <si>
    <t>MEL BALDONI 300G SQZ LARANJEIRA</t>
  </si>
  <si>
    <t>MEL BALDONI 300G SQZ SILVESTRE</t>
  </si>
  <si>
    <t>MEL BALDONI 500G HOLANDA</t>
  </si>
  <si>
    <t>MEL BALDONI ORGANICO 300G SQZ</t>
  </si>
  <si>
    <t>MEL BALDONI ORGANICO VD 300G</t>
  </si>
  <si>
    <t>MEL CREMOSO VERMONT 300G</t>
  </si>
  <si>
    <t>MEL EMPORIO DO MEL 450G EUCALIPTO</t>
  </si>
  <si>
    <t>MEL EMPORIO DO MEL 450G FLORES DO CAMPO</t>
  </si>
  <si>
    <t>MEL EMPORIO DO MEL EUCALIPTO BISNAG 300G</t>
  </si>
  <si>
    <t>MEL EMPORIO DO MEL FLOR CAMPO 300G BISNAGA</t>
  </si>
  <si>
    <t>MEL EMPORIO DO MEL LARANJEIRA 300G</t>
  </si>
  <si>
    <t>MEL EMPORIO DO MEL LARANJEIRA 450G</t>
  </si>
  <si>
    <t>MEL EMPORIO DO MEL LARANJEIRA BISNA 300G</t>
  </si>
  <si>
    <t>MEL ISIS BISNAGA 200G</t>
  </si>
  <si>
    <t>MEL KORIN ORGANICO 300G</t>
  </si>
  <si>
    <t>MEL PROPOLIS MELVILLE SUPERBOM 200G</t>
  </si>
  <si>
    <t>MEL SUPERBOM 200G</t>
  </si>
  <si>
    <t>MEL SUPERBOM 330G</t>
  </si>
  <si>
    <t>MELADO DE CANA SUPERBOM 330G</t>
  </si>
  <si>
    <t>MELHORADOR MAIS MAC FLEISCHMANN 10G</t>
  </si>
  <si>
    <t>MILHARINA QUAKER 500G</t>
  </si>
  <si>
    <t>MILHO BONDUELLE AO NATURAL 200G</t>
  </si>
  <si>
    <t>MILHO PIPOCA YOKI 400G TIPO 1</t>
  </si>
  <si>
    <t>MILHO PIPOCA YOKI PREMIUM 400G TIPO 1</t>
  </si>
  <si>
    <t>MILHO VERDE BONDUELLE 200G SUAVE</t>
  </si>
  <si>
    <t>MILHO VERDE FRANCES BONDUELLE 285G</t>
  </si>
  <si>
    <t>MILHO VERDE LATA BONDUELLE 170G</t>
  </si>
  <si>
    <t>MILHO VERDE LATA KNORR 170G</t>
  </si>
  <si>
    <t>MILHO VERDE OLE VD 170G</t>
  </si>
  <si>
    <t>MILHO VERDE QUERO 170G LT</t>
  </si>
  <si>
    <t>MILHO VERDE QUERO 170G SACHE</t>
  </si>
  <si>
    <t>MINI BISC ARROZ INT NATURAL LIFE 80G S/GLUTEN</t>
  </si>
  <si>
    <t>MINI COLOMBA BAUDUCCO 80G FRUTAS</t>
  </si>
  <si>
    <t>MINI COLOMBA BAUDUCCO 80G GOTAS</t>
  </si>
  <si>
    <t>MINI COLOMBA BAUDUCCO 80G M&amp;M'S</t>
  </si>
  <si>
    <t>MINI LEITE COND MOCA 65G ORIGINAL</t>
  </si>
  <si>
    <t>MINI MILHO LADO MATO 330G</t>
  </si>
  <si>
    <t>MINI PRATO STRAWPLAST CRISTAL C/10 UN</t>
  </si>
  <si>
    <t>MINI TAHINE ISTAMBUL 200G GERGELIM</t>
  </si>
  <si>
    <t>MINI TORTILLAS CANTINA 280G</t>
  </si>
  <si>
    <t>MISOSHIRU WAKAME 216G MARUKOME</t>
  </si>
  <si>
    <t>MISSO AZUMA PT 500G</t>
  </si>
  <si>
    <t>MISSO SAKURA AKA 1KG</t>
  </si>
  <si>
    <t>MISSO SAKURA AKA 500G</t>
  </si>
  <si>
    <t>MISSO SAKURA SHIRO 1KG</t>
  </si>
  <si>
    <t>MISSO SAKURA SHIRO 500G</t>
  </si>
  <si>
    <t>MIST ALFA PANKO 200G FLOCADA</t>
  </si>
  <si>
    <t>MIST ALFA TEMPURA 500G</t>
  </si>
  <si>
    <t>MIST BOLINHO CHUVA DONA BENTA 260G BANANA</t>
  </si>
  <si>
    <t>MIST BOLINHO CHUVA DONA BENTA 260G MACA E CANELA</t>
  </si>
  <si>
    <t>MIST BOLINHO CHUVA DONA BENTA 260G TRADICIONAL</t>
  </si>
  <si>
    <t>MIST BOLO CANECA DR OETKER 67G TODDY</t>
  </si>
  <si>
    <t>MIST BOLO DONA BENTA 450G AIPIM</t>
  </si>
  <si>
    <t>MIST BOLO DONA BENTA 450G BAUNILHA</t>
  </si>
  <si>
    <t>MIST BOLO DONA BENTA 450G BRIGAD</t>
  </si>
  <si>
    <t>MIST BOLO DONA BENTA 450G BROWNIE</t>
  </si>
  <si>
    <t>MIST BOLO DONA BENTA 450G CENOURA</t>
  </si>
  <si>
    <t>MIST BOLO DONA BENTA 450G CHO/AVELA</t>
  </si>
  <si>
    <t>MIST BOLO DONA BENTA 450G CHOC</t>
  </si>
  <si>
    <t>MIST BOLO DONA BENTA 450G COCO</t>
  </si>
  <si>
    <t>MIST BOLO DONA BENTA 450G FESTA</t>
  </si>
  <si>
    <t>MIST BOLO DONA BENTA 450G FUBA</t>
  </si>
  <si>
    <t>MIST BOLO DONA BENTA 450G LARANJA</t>
  </si>
  <si>
    <t>MIST BOLO DONA BENTA 450G MILHO VERDE</t>
  </si>
  <si>
    <t>MIST BOLO DR OETKER +CONFEITOS 300G BRIGADEIRO</t>
  </si>
  <si>
    <t>MIST BOLO DR OETKER 300G CHOCMOUSSE</t>
  </si>
  <si>
    <t>MIST BOLO DR OETKER 300G CHOCO CREM</t>
  </si>
  <si>
    <t>MIST BOLO DR OETKER 400G COCO CREMOSO</t>
  </si>
  <si>
    <t>MIST BOLO DR OETKER 400G MILHO CREMOSO</t>
  </si>
  <si>
    <t>MIST BOLO DR OETKER 430G FORMIGUEIRO</t>
  </si>
  <si>
    <t>MIST BOLO DR OETKER 450G CHOCOLATE</t>
  </si>
  <si>
    <t>MIST BOLO DR OETKER DUO PAIXAO 450G CHOC</t>
  </si>
  <si>
    <t>MIST BOLO FLEISCHMANN 230G 13G PROT CHOCOLATE</t>
  </si>
  <si>
    <t>MIST BOLO FLEISCHMANN 230G CHOCO</t>
  </si>
  <si>
    <t>MIST BOLO FLEISCHMANN 310G PAO QJO</t>
  </si>
  <si>
    <t>MIST BOLO FLEISCHMANN 350G PETIT GATEAU</t>
  </si>
  <si>
    <t>MIST BOLO FLEISCHMANN 390G CHEESECAKE</t>
  </si>
  <si>
    <t>MIST BOLO FLEISCHMANN 390G CLAROS AIPIM</t>
  </si>
  <si>
    <t>MIST BOLO FLEISCHMANN 390G CLAROS LARANJA</t>
  </si>
  <si>
    <t>MIST BOLO FLEISCHMANN 390G CLAROS LIMAO CREMOSO</t>
  </si>
  <si>
    <t>MIST BOLO FLEISCHMANN 390G CLAROS MILHO</t>
  </si>
  <si>
    <t>MIST BOLO FLEISCHMANN 390G ESCURA CHOCOLATE</t>
  </si>
  <si>
    <t>MIST BOLO FLEISCHMANN 390G TORTA DE LIMAO</t>
  </si>
  <si>
    <t>MIST BOLO FLEISCHMANN 390G UP CENOURA</t>
  </si>
  <si>
    <t>MIST BOLO FLEISCHMANN 390G UP CHOCO</t>
  </si>
  <si>
    <t>MIST BOLO FLEISCHMANN 400G CHOC BROWNIE</t>
  </si>
  <si>
    <t>MIST BOLO FLEISCHMANN 400G CHOC MOUSSE</t>
  </si>
  <si>
    <t>MIST BOLO LINEA 300G CHOCOLATE</t>
  </si>
  <si>
    <t>MIST BOLO LINEA 300G LARANJA</t>
  </si>
  <si>
    <t>MISTURA PAO DE QUEIJO YOKI 250G</t>
  </si>
  <si>
    <t>MIX DE FARINHAS SCHAR 1KG</t>
  </si>
  <si>
    <t>MIX DE FARINHAS URBANO 1KG</t>
  </si>
  <si>
    <t>MIX GRAO QUINOA BRAN E VERM NATIVE 200G</t>
  </si>
  <si>
    <t>MIX MOTI/MANJU/AN PAN CASTELLA 200G</t>
  </si>
  <si>
    <t>MODELADOR ANTIFRIZZ SEDA BOOM 500G</t>
  </si>
  <si>
    <t>MOEDOR BOMBAY 100G SAL MARINHO</t>
  </si>
  <si>
    <t>MOEDOR BOMBAY 50G MIX PIMENTA</t>
  </si>
  <si>
    <t>MOEDOR BOMBAY 50G PIMENTA DO REINO PRETA</t>
  </si>
  <si>
    <t>MOEDOR BR SPICES 100G SAL ROS/ERVAS</t>
  </si>
  <si>
    <t>MOEDOR BR SPICES 100G SAL ROSA</t>
  </si>
  <si>
    <t>MOEDOR BR SPICES 45G TEMPERO BAIANO</t>
  </si>
  <si>
    <t>MOEDOR BR SPICES 50G MIX PIMENTA</t>
  </si>
  <si>
    <t>MOEDOR BR SPICES 50G PIMENTA REINO</t>
  </si>
  <si>
    <t>MOEDOR BR SPICES 55G FIT OVOS</t>
  </si>
  <si>
    <t>MOEDOR BR SPICES 80G BBQ MIX</t>
  </si>
  <si>
    <t>MOEDOR DE SAL E PIMENTA TRAMONTINA REALCE</t>
  </si>
  <si>
    <t>MOEDOR HEINZ 80G TEMP HAMBURGUER</t>
  </si>
  <si>
    <t>MOEDOR PIMENTA BR SPICES 50G BRANCA</t>
  </si>
  <si>
    <t>MOEDOR SAL ROSA HIMALAIA BOMBAY 100G</t>
  </si>
  <si>
    <t>MOLHO AGRIDOCE KENKO 180ML</t>
  </si>
  <si>
    <t>MOLHO AJI NO SHOYU 500ML</t>
  </si>
  <si>
    <t>MOLHO AJI NO SHOYU SAKURA 150ML</t>
  </si>
  <si>
    <t>MOLHO ALFA YAKISSOBA 500ML</t>
  </si>
  <si>
    <t>MOLHO ALFREDO SALSARETTI GOURMET 320G QUEIJO</t>
  </si>
  <si>
    <t>MOLHO ALHO KENKO 150ML</t>
  </si>
  <si>
    <t>MOLHO ALHO KITANO 150ML</t>
  </si>
  <si>
    <t>MOLHO ALHO KNORR 150ML</t>
  </si>
  <si>
    <t>MOLHO AME TABASCO PEPPER SAUCE 60ML CHIPOTLE</t>
  </si>
  <si>
    <t>MOLHO AME TABASCO PEPPER SAUCE 60ML GARLIC</t>
  </si>
  <si>
    <t>MOLHO AME TABASCO PEPPER SAUCE 60ML GREEN SUAVE</t>
  </si>
  <si>
    <t>MOLHO AME TABASCO PEPPER SAUCE 60ML HARBANERO</t>
  </si>
  <si>
    <t>MOLHO AME TABASCO PEPPER SAUCE RED 60ML</t>
  </si>
  <si>
    <t>MOLHO AMERICAN BURGER SALSARETTI 350G PICLES</t>
  </si>
  <si>
    <t>MOLHO ARABE MAXIFOUR 150ML C/TAHINE</t>
  </si>
  <si>
    <t>MOLHO BARBECUE BLUE DRAGON TERIYAKI 175ML</t>
  </si>
  <si>
    <t>MOLHO BARBECUE BOMBAY ORIGINAL 365G</t>
  </si>
  <si>
    <t>MOLHO BARBECUE BUDWEISER 340G MALT LUPULADO</t>
  </si>
  <si>
    <t>MOLHO BARBECUE HELLMANNS 400G SHOYU E CEBOLA</t>
  </si>
  <si>
    <t>MOLHO BARBECUE HELLMANNS 400G TRADICIONAL</t>
  </si>
  <si>
    <t>MOLHO BARBECUE HEMMER 330G</t>
  </si>
  <si>
    <t>MOLHO BARBECUE LINEA DIET 350G</t>
  </si>
  <si>
    <t>MOLHO BARBECUE STRUMPF 220G</t>
  </si>
  <si>
    <t>MOLHO BLUE DRAGON 175ML CURRY</t>
  </si>
  <si>
    <t>MOLHO BLUE DRAGON 175ML SWEET CHILI</t>
  </si>
  <si>
    <t>MOLHO CASTELO 200G TARTARO</t>
  </si>
  <si>
    <t>MOLHO CASTELO 236ML BALSAMICO</t>
  </si>
  <si>
    <t>MOLHO CASTELO 236ML CASEIRO</t>
  </si>
  <si>
    <t>MOLHO CASTELO 236ML ITALIAN</t>
  </si>
  <si>
    <t>MOLHO CASTELO 236ML LIMAO</t>
  </si>
  <si>
    <t>MOLHO CASTELO 236ML ROSE</t>
  </si>
  <si>
    <t>MOLHO CHIMICHURRI BOMBAY 235G</t>
  </si>
  <si>
    <t>MOLHO CURRY VERMONT 115G PICANTE HOT</t>
  </si>
  <si>
    <t>MOLHO CURRY VERMONT 115G PICANTE MED HOT</t>
  </si>
  <si>
    <t>MOLHO CURRY VERMONT 115G PICANTE MILD</t>
  </si>
  <si>
    <t>MOLHO DE ALHO ALHETE ISTAMBUL 150ML</t>
  </si>
  <si>
    <t>MOLHO DE OSTRA LEE KUM KEE 255G</t>
  </si>
  <si>
    <t>MOLHO DE SOJA KIKKOMAN 150ML</t>
  </si>
  <si>
    <t>MOLHO DE SOJA KIKKOMAN 1L</t>
  </si>
  <si>
    <t>MOLHO ELEGE 200G 4 QUEIJOS</t>
  </si>
  <si>
    <t>MOLHO ELEGE 200G BRANCO</t>
  </si>
  <si>
    <t>MOLHO ELEGE 200G MADEIRA</t>
  </si>
  <si>
    <t>MOLHO GERGELINE ISTAMBUL 150ML</t>
  </si>
  <si>
    <t>MOLHO HELLMANNS 210ML CAESAR PARMESAO</t>
  </si>
  <si>
    <t>MOLHO HELLMANNS 210ML LIMAO/ERVAS FINAS</t>
  </si>
  <si>
    <t>MOLHO HELLMANNS 210ML ROSE</t>
  </si>
  <si>
    <t>MOLHO HELLMANNS 360G 3 EM 1</t>
  </si>
  <si>
    <t>MOLHO INGLES KENKO 150ML</t>
  </si>
  <si>
    <t>MOLHO INGLES KIKKOMAN 150ML WORCESTERSHIRE</t>
  </si>
  <si>
    <t>MOLHO INGLES KITANO 150ML</t>
  </si>
  <si>
    <t>MOLHO LA PASSATA COLAVITA 680G</t>
  </si>
  <si>
    <t>MOLHO LA PASTINA CREMOSO BALSAMICO 250ML</t>
  </si>
  <si>
    <t>MOLHO LA PASTINA PESTO GENOVESE 180G</t>
  </si>
  <si>
    <t>MOLHO MADEIRA BOMBAY 350G</t>
  </si>
  <si>
    <t>MOLHO MADEIRA SALSARETTI GOURMET 320G</t>
  </si>
  <si>
    <t>MOLHO MARUITI P/ GUIOZA 200ML</t>
  </si>
  <si>
    <t>MOLHO OSTRA KIKKOMAN 190ML SQZ</t>
  </si>
  <si>
    <t>MOLHO PASSATA CIRIO 500G</t>
  </si>
  <si>
    <t>MOLHO PASSATA CIRIO 680G RUSTICA</t>
  </si>
  <si>
    <t>MOLHO PASSATA CIRIO 700G BASILICO</t>
  </si>
  <si>
    <t>MOLHO PASSATA CIRIO VERACE 700G</t>
  </si>
  <si>
    <t>MOLHO PASSATA LA PASTINA 680G</t>
  </si>
  <si>
    <t>MOLHO PASSATA SALSARETTI 300G RUSTICA</t>
  </si>
  <si>
    <t>MOLHO PASSATA TAT 690G</t>
  </si>
  <si>
    <t>MOLHO PESTO BARILLA GENOVESE 190G</t>
  </si>
  <si>
    <t>MOLHO PESTO CIRIO 190G</t>
  </si>
  <si>
    <t>MOLHO PESTO COLAVITA 135G</t>
  </si>
  <si>
    <t>MOLHO PESTO TOMATE LA PASTINA 180G TRUFADO</t>
  </si>
  <si>
    <t>MOLHO PIMENTA BOMBAY 330G SRIRACHA</t>
  </si>
  <si>
    <t>MOLHO PIMENTA BOMBAY 385G SWEET CHILLI</t>
  </si>
  <si>
    <t>MOLHO PIMENTA BOMBAY 60ML CHILLI CODE</t>
  </si>
  <si>
    <t>MOLHO PIMENTA GALLO 50ML JALAPENO</t>
  </si>
  <si>
    <t>MOLHO PIMENTA KENKO 150ML</t>
  </si>
  <si>
    <t>MOLHO PIMENTA KNORR 150ML</t>
  </si>
  <si>
    <t>MOLHO PIMENTA KNORR 60ML CHILLI BEANS</t>
  </si>
  <si>
    <t>MOLHO PIMENTA MACARICO 100G PIRI PIRI</t>
  </si>
  <si>
    <t>MOLHO PIMENTA QUERO 150ML</t>
  </si>
  <si>
    <t>MOLHO PIMENTA SRIRACHA 340ML BRAVO</t>
  </si>
  <si>
    <t>MOLHO ROSE SALSARETTI GOURMET 500G</t>
  </si>
  <si>
    <t>MOLHO SAKURA LIGHT 150ML</t>
  </si>
  <si>
    <t>MOLHO SAKURA PREMIUM 150ML</t>
  </si>
  <si>
    <t>MOLHO SAKURA PREMIUM 500ML</t>
  </si>
  <si>
    <t>MOLHO SAKURA YAKISSOBA 500ML</t>
  </si>
  <si>
    <t>MOLHO SALADA ORIENTAL SAKURA 180ML</t>
  </si>
  <si>
    <t>MOLHO SALSARETTI GOURMET 320G 4 QUEIJOS</t>
  </si>
  <si>
    <t>MOLHO SHOYU KNORR 150ML</t>
  </si>
  <si>
    <t>MOLHO SHOYU SAKURA KIN 150ML</t>
  </si>
  <si>
    <t>MOLHO SHOYU SAKURA LIGHT 1L</t>
  </si>
  <si>
    <t>MOLHO SHOYU SAKURA LIGHT 500ML</t>
  </si>
  <si>
    <t>MOLHO SHOYU SAKURA TRAD 150ML</t>
  </si>
  <si>
    <t>MOLHO SHOYU SAKURA TRAD 1L</t>
  </si>
  <si>
    <t>MOLHO SHOYU SAKURA TRAD 500ML</t>
  </si>
  <si>
    <t>MOLHO SHOYU SATIS 150ML INTENSO</t>
  </si>
  <si>
    <t>MOLHO SHOYU SATIS 150ML SUAVE</t>
  </si>
  <si>
    <t>MOLHO SHOYU SATIS 500ML INTENSO</t>
  </si>
  <si>
    <t>MOLHO SHOYU SATIS 500ML SUAVE</t>
  </si>
  <si>
    <t>MOLHO TABASCO SRIRACHA 256ML</t>
  </si>
  <si>
    <t>MOLHO TAI KALASS SWEET CHILLI 245G</t>
  </si>
  <si>
    <t>MOLHO TARE KIKKOMAN 200ML</t>
  </si>
  <si>
    <t>MOLHO TARE SAKURA 180ML</t>
  </si>
  <si>
    <t>MOLHO TERIYAKI SAKURA 180ML</t>
  </si>
  <si>
    <t>MOLHO TOM BARILLA 400G ARRABBIATA</t>
  </si>
  <si>
    <t>MOLHO TOM BARILLA 400G BASILICO</t>
  </si>
  <si>
    <t>MOLHO TOM BARILLA 400G BOLOGNESE</t>
  </si>
  <si>
    <t>MOLHO TOM BARILLA 400G NAPOLITANA</t>
  </si>
  <si>
    <t>MOLHO TOM BARILLA 400G OLIVE</t>
  </si>
  <si>
    <t>MOLHO TOM BARILLA 400G POMODORO</t>
  </si>
  <si>
    <t>MOLHO TOM BARILLA 400G TOSCANA</t>
  </si>
  <si>
    <t>MOLHO TOM CIRIO ARRABIATA 420G</t>
  </si>
  <si>
    <t>MOLHO TOM CIRIO BASILICO 420G</t>
  </si>
  <si>
    <t>MOLHO TOM CIRIO NAPOLETANA 420G</t>
  </si>
  <si>
    <t>MOLHO TOM HEINZ 240G AZEITONA</t>
  </si>
  <si>
    <t>MOLHO TOM HEINZ 240G BOLONHESA</t>
  </si>
  <si>
    <t>MOLHO TOM HEINZ 240G MANJERICAO</t>
  </si>
  <si>
    <t>MOLHO TOM HEINZ 240G TRAD</t>
  </si>
  <si>
    <t>MOLHO TOM HEINZ 300G TRAD</t>
  </si>
  <si>
    <t>MOLHO TOM HEINZ 320G RUSTICO BASILICO</t>
  </si>
  <si>
    <t>MOLHO TOM HEINZ 320G RUSTICO TRADICIONAL</t>
  </si>
  <si>
    <t>MOLHO TOM HEMMER 300G MANJERICAO</t>
  </si>
  <si>
    <t>MOLHO TOM HEMMER 300G TRADICIONAL</t>
  </si>
  <si>
    <t>MOLHO TOM POMAROLA 520G</t>
  </si>
  <si>
    <t>MOLHO TOM QUERO 240G BOLONHESA</t>
  </si>
  <si>
    <t>MOLHO TOM QUERO 240G MANJERICAO</t>
  </si>
  <si>
    <t>MOLHO TOM QUERO 240G PIZZA</t>
  </si>
  <si>
    <t>MOLHO TOM QUERO 300G TRADICIONAL</t>
  </si>
  <si>
    <t>MOLHO TOM SALSARETTI 300G TRAD</t>
  </si>
  <si>
    <t>MOLHO TOM SALSARETTI 500G BASILICO</t>
  </si>
  <si>
    <t>MOLHO TOM SALSARETTI 500G CLASSICO</t>
  </si>
  <si>
    <t>MOLHO TOM SALSARETTI 500G OLIVA</t>
  </si>
  <si>
    <t>MOLHO TONKATSU SAKURA 180ML</t>
  </si>
  <si>
    <t>MOLHO WASABI KIKKOMAN 210G</t>
  </si>
  <si>
    <t>MOP NOVICA COMPACTO 10L</t>
  </si>
  <si>
    <t>MOP NOVICA LIMPA VIDROS</t>
  </si>
  <si>
    <t>MOP NOVICA SEKITO</t>
  </si>
  <si>
    <t>MOP NOVICA SPRAY FIT</t>
  </si>
  <si>
    <t>MOSTARDA AMARELA HEMMER 200G</t>
  </si>
  <si>
    <t>MOSTARDA BEAUFOR 200G C/MEL</t>
  </si>
  <si>
    <t>MOSTARDA BEAUFOR 200G DIJON</t>
  </si>
  <si>
    <t>MOSTARDA BERNA 230G ADOCICADA</t>
  </si>
  <si>
    <t>MOSTARDA BERNA 230G ESCURA</t>
  </si>
  <si>
    <t>MOSTARDA BERNA 230G FORTE</t>
  </si>
  <si>
    <t>MOSTARDA C/MEL HEMMER 200G</t>
  </si>
  <si>
    <t>MOSTARDA DIJON HEMMER 200G</t>
  </si>
  <si>
    <t>MOSTARDA ESCURA HEMMER 200G</t>
  </si>
  <si>
    <t>MOSTARDA FRA MAILLE DIJON 215G</t>
  </si>
  <si>
    <t>MOSTARDA FRA MAILLE MODA ANTIGA 210G</t>
  </si>
  <si>
    <t>MOSTARDA HEINZ 220G C/MEL</t>
  </si>
  <si>
    <t>MOSTARDA HEINZ 220G PICANTE</t>
  </si>
  <si>
    <t>MOSTARDA HEINZ 255G</t>
  </si>
  <si>
    <t>MOSTARDA HELLMANNS 170G SQZ</t>
  </si>
  <si>
    <t>MOSTARDA KENKO 200G</t>
  </si>
  <si>
    <t>MOSTARDA REINE DI JON 200G FORTE</t>
  </si>
  <si>
    <t>MOSTARDA REINE DUON DI JON 190G L'ANCIENE</t>
  </si>
  <si>
    <t>MOSTARDA STRUMPF 210G AMERICANA</t>
  </si>
  <si>
    <t>MOSTARDA STRUMPF 210G C/PICKLES</t>
  </si>
  <si>
    <t>MOSTARDA STRUMPF 210G INTENS/ADOC</t>
  </si>
  <si>
    <t>MOSTARDA STRUMPF 470G INTENS/ADOC</t>
  </si>
  <si>
    <t>MOTI DOCE CASTELLA 200G</t>
  </si>
  <si>
    <t>MOTI MINI MISTO CASTELLA 280G</t>
  </si>
  <si>
    <t>MOTI ROSA CASTELLA 320G</t>
  </si>
  <si>
    <t>MUFFIN ORGANICO SUAVIPAN 40G BANANA</t>
  </si>
  <si>
    <t>MUFFIN ORGANICO SUAVIPAN 40G CHOCOLATE</t>
  </si>
  <si>
    <t>MUFFIN ORGANICO SUAVIPAN 40G LARANJA</t>
  </si>
  <si>
    <t>MULTI INSET AER 380ML CITRONELA</t>
  </si>
  <si>
    <t>MULTI INSET AER SBP 380ML EUCALIPTO</t>
  </si>
  <si>
    <t>MULTI INSET AER SBP 380ML PROT IMED</t>
  </si>
  <si>
    <t>MULTI INSET SBP 250ML AUTOMATICO</t>
  </si>
  <si>
    <t>MULTI INSET SBP 250ML AUTOMATICO RF PROMO</t>
  </si>
  <si>
    <t>MULTI INSET SBP 450ML PROMO CITRONELA</t>
  </si>
  <si>
    <t>MULTI INSET SBP 450ML PROMO EUCALIPTO</t>
  </si>
  <si>
    <t>MULTI INSET SBP 450ML TRAD PROMO</t>
  </si>
  <si>
    <t>MULTI INSETICIDA REPELEX 280ML GTL A BASE DE AGUA</t>
  </si>
  <si>
    <t>MULTIUSO CIF ANTIBAC SQZ 500ML 15% DESC</t>
  </si>
  <si>
    <t>NERI WASABI STRONG MUSASHI 43G</t>
  </si>
  <si>
    <t>NEUTRALIZADOR BOM AR 236ML RF LAVANDA/LIRIO</t>
  </si>
  <si>
    <t>NEUTRALIZADOR BOM AR 236ML RF PIM ROSA/CAPIM</t>
  </si>
  <si>
    <t>NEUTRALIZADOR BOM AR 236ML SPRAY LAVANDA/LIRIO</t>
  </si>
  <si>
    <t>NEUTRALIZADOR BOM AR 236ML SPRAY PIM ROSA/CAPIM</t>
  </si>
  <si>
    <t>NHOQUE DE BATATA PAGANINI 500G</t>
  </si>
  <si>
    <t>NIBS DE CACAU ORG MENDOA 200G</t>
  </si>
  <si>
    <t>NIKUMAN LONG WAY 400G BOVINO</t>
  </si>
  <si>
    <t>NIKUMAN LONG WAY 400G LEGUMES</t>
  </si>
  <si>
    <t>NIKUMAN LONG WAY 400G SUINO</t>
  </si>
  <si>
    <t>NIKUMAN LONG WAY KUNG FU PANDA 240G FRANGO</t>
  </si>
  <si>
    <t>NIKUMAN LONG WAY KUNG FU PANDA 240G PRES/QJO</t>
  </si>
  <si>
    <t>NIPPO SUSHI AGUE C/12</t>
  </si>
  <si>
    <t>NOZ MOSCADA BOLA ESP E SAB 20G</t>
  </si>
  <si>
    <t>NOZ MOSCADA KITANO 8G</t>
  </si>
  <si>
    <t>NOZ MOSCADA PO ESP E SAB 20G</t>
  </si>
  <si>
    <t>NUGGET EM PASTA 36G MARROM</t>
  </si>
  <si>
    <t>NUGGET EM PASTA 36G PRETO</t>
  </si>
  <si>
    <t>NUGGET LIQ INCOLOR 60ML</t>
  </si>
  <si>
    <t>NUGGET LIQ MARROM 60ML</t>
  </si>
  <si>
    <t>NUGGET LIQ PRETO 60ML</t>
  </si>
  <si>
    <t>ODORIZ BOM AR 16ML AP+RF LAVANDA E GERANIO</t>
  </si>
  <si>
    <t>ODORIZ BOM AR 16ML C/2 30% LAV/GER</t>
  </si>
  <si>
    <t>ODORIZ BOM AR 16ML C/2 30% LIR/ALGO</t>
  </si>
  <si>
    <t>ODORIZ BOM AR 16ML RF FRAMB/JASMIM</t>
  </si>
  <si>
    <t>ODORIZ BOM AR 16ML RF FRESCOR MATA</t>
  </si>
  <si>
    <t>ODORIZ BOM AR 16ML RF LAV/GERANIO</t>
  </si>
  <si>
    <t>ODORIZ BOM AR 16ML RF LIRIO/ALGODAO</t>
  </si>
  <si>
    <t>ODORIZ BOM AR 250ML AP+RF FLOR ALGODAO</t>
  </si>
  <si>
    <t>ODORIZ BOM AR 360ML ALEGRIA</t>
  </si>
  <si>
    <t>ODORIZ BOM AR 360ML CAMPO</t>
  </si>
  <si>
    <t>ODORIZ BOM AR 360ML FLOR DE ALGODAO</t>
  </si>
  <si>
    <t>ODORIZ BOM AR 360ML JARDIM PEONIA</t>
  </si>
  <si>
    <t>ODORIZ BOM AR 360ML LAVANDA</t>
  </si>
  <si>
    <t>ODORIZ BOM AR 360ML ROMANCE</t>
  </si>
  <si>
    <t>ODORIZ BOM AR 360ML TALCO</t>
  </si>
  <si>
    <t>ODORIZ BOM AR CLICK 12ML 50% RF LAVANDA</t>
  </si>
  <si>
    <t>ODORIZ BOM AR CLICK 12ML AP+RF LAVANDA</t>
  </si>
  <si>
    <t>ODORIZ BOM AR CLICK 12ML AP+RF TALC</t>
  </si>
  <si>
    <t>ODORIZ BOM AR CLICK 12ML RF FRESCOR CAMPO</t>
  </si>
  <si>
    <t>ODORIZ BOM AR CLICK 12ML RF LAVANDA</t>
  </si>
  <si>
    <t>ODORIZ BOM AR CLICK 12ML RF LV3 PG2 LAVANDA</t>
  </si>
  <si>
    <t>ODORIZ BOM AR CLICK 12ML RF LV3PG2 CHEIRO LIMPEZA</t>
  </si>
  <si>
    <t>ODORIZ BOM AR CLICK 12ML RF TALCO</t>
  </si>
  <si>
    <t>ODORIZ BOM AR FRESHMATIC 250ML 50% FLOR ALGOD 50%</t>
  </si>
  <si>
    <t>ODORIZ BOM AR FRESHMATIC 250ML 50% RF LAVANDA</t>
  </si>
  <si>
    <t>ODORIZ BOM AR FRESHMATIC 250ML AP+RF LAVANDA</t>
  </si>
  <si>
    <t>ODORIZ BOM AR FRESHMATIC 250ML REF CHEIRO TALCO</t>
  </si>
  <si>
    <t>ODORIZ BOM AR FRESHMATIC 250ML REF JARDIM PEONIA</t>
  </si>
  <si>
    <t>ODORIZ BOM AR FRESHMATIC 250ML REF TOQUE ALGODAO</t>
  </si>
  <si>
    <t>ODORIZ BOM AR FRESHMATIC 250ML RF LAVANDA</t>
  </si>
  <si>
    <t>ODORIZ BOM AR FRESHMATIC 250ML RF LIMAO SICI/BAUN</t>
  </si>
  <si>
    <t>ODORIZ BOM AR FRESHMATIC SENSE 250ML RF ALEG</t>
  </si>
  <si>
    <t>ODORIZ BOM AR FRESHMATIC SENSE 250ML RF ROMANC</t>
  </si>
  <si>
    <t>ODORIZ HOME GIORNO 250ML SPRAY ALECRIM</t>
  </si>
  <si>
    <t>ODORIZ HOME GIORNO 250ML SPRAY LAVANDA</t>
  </si>
  <si>
    <t>OLEO + SERUM DOVE 110ML SPRAY BOND INTENSE REPAIR</t>
  </si>
  <si>
    <t>OLEO COMP GALLO 250ML LIMAO SICILIANO</t>
  </si>
  <si>
    <t>OLEO COMP GALLO 250ML MANJERICAO</t>
  </si>
  <si>
    <t>OLEO COMP GALLO 250ML TRUFA</t>
  </si>
  <si>
    <t>OLEO DE PEROBA KING 100ML</t>
  </si>
  <si>
    <t>OLEO EMPORIO NUTS 200ML COCO</t>
  </si>
  <si>
    <t>OLEO FINALIZADOR TRESEMME 60ML BRILHO LAMELAR</t>
  </si>
  <si>
    <t>OLEO GEL SEDA BOOM 190ML VOLUMAO POWER</t>
  </si>
  <si>
    <t>OLEO GERGELIM KENKO TORRADO 100ML</t>
  </si>
  <si>
    <t>OLEO GERGELIM TORRADO HONG KONG 100ML</t>
  </si>
  <si>
    <t>OLEO HONG KONG GERGELIM TORRADO 500ML</t>
  </si>
  <si>
    <t>OLEO JOHNSONS BABY 200ML</t>
  </si>
  <si>
    <t>OLEO LIZA 900ML CANOLA</t>
  </si>
  <si>
    <t>OLEO LIZA 900ML GIRASSOL</t>
  </si>
  <si>
    <t>OLEO LIZA 900ML MILHO</t>
  </si>
  <si>
    <t>OLEO LIZA 900ML SOJA</t>
  </si>
  <si>
    <t>OLEO OLIVA GALLO REFOGAR/GRE 500ML CEBOLA/ALHO</t>
  </si>
  <si>
    <t>OLEO SOJA SOYA PET 900ML</t>
  </si>
  <si>
    <t>OLEO SOYA 900ML CANOLA</t>
  </si>
  <si>
    <t>OLEO SOYA 900ML GIRASSOL</t>
  </si>
  <si>
    <t>OLEO SOYA 900ML MILHO</t>
  </si>
  <si>
    <t>OREGANO BOMBAY 10G</t>
  </si>
  <si>
    <t>OREGANO BR SPICES ESSENCIAL 10G</t>
  </si>
  <si>
    <t>OREGANO ESP E SAB 15G</t>
  </si>
  <si>
    <t>OREGANO KITANO 10G</t>
  </si>
  <si>
    <t>OVO PASCOA BATON 204G AO LEITE</t>
  </si>
  <si>
    <t>OVO PASCOA BORUSSIA 100G AO LEITE</t>
  </si>
  <si>
    <t>OVO PASCOA BORUSSIA 120G AO LEITE</t>
  </si>
  <si>
    <t>OVO PASCOA BORUSSIA 150G 70% CACAO</t>
  </si>
  <si>
    <t>OVO PASCOA BORUSSIA 240G AO LEITE</t>
  </si>
  <si>
    <t>OVO PASCOA BORUSSIA 250G CROCANTE</t>
  </si>
  <si>
    <t>OVO PASCOA BORUSSIA 300G CHERRY</t>
  </si>
  <si>
    <t>OVO PASCOA BORUSSIA 300G MEIO A MEIO</t>
  </si>
  <si>
    <t>OVO PASCOA BORUSSIA 480G AO LEITE</t>
  </si>
  <si>
    <t>OVO PASCOA BORUSSIA 540G TRAD MINI TRUFA</t>
  </si>
  <si>
    <t>OVO PASCOA C/COELHOS LINDT 125G AO LEITE</t>
  </si>
  <si>
    <t>OVO PASCOA DIVINE 100G 37% CACAU AO LEITE</t>
  </si>
  <si>
    <t>OVO PASCOA DIVINE 100G 37% CACAU MESCLADO</t>
  </si>
  <si>
    <t>OVO PASCOA DIVINE 100G 50% CACAU ZERO LACTOSE</t>
  </si>
  <si>
    <t>OVO PASCOA DIVINE 190G 35% CACAU MESCLADO</t>
  </si>
  <si>
    <t>OVO PASCOA DIVINE 190G 37% CACAU AO LEITE</t>
  </si>
  <si>
    <t>OVO PASCOA DIVINE 190G 50% CACAU MEIO AMARGO</t>
  </si>
  <si>
    <t>OVO PASCOA DIVINE 215G 30% CACAU COOKIES</t>
  </si>
  <si>
    <t>OVO PASCOA DIVINE 215G 37% CACAU COOKIES</t>
  </si>
  <si>
    <t>OVO PASCOA DIVINE 215G 37% CACAU DIVIKREK</t>
  </si>
  <si>
    <t>OVO PASCOA DIVINE 215G 37% CACAU DIVINUT</t>
  </si>
  <si>
    <t>OVO PASCOA FERRERO COLLECTION 241G</t>
  </si>
  <si>
    <t>OVO PASCOA FERRERO COLLECTION 354G</t>
  </si>
  <si>
    <t>OVO PASCOA FERRERO ROCHER 137,5G</t>
  </si>
  <si>
    <t>OVO PASCOA FERRERO ROCHER 137,5G DARK</t>
  </si>
  <si>
    <t>OVO PASCOA FERRERO ROCHER 225G</t>
  </si>
  <si>
    <t>OVO PASCOA FERRERO ROCHER 365G</t>
  </si>
  <si>
    <t>OVO PASCOA GAROTO CARIBE 229G</t>
  </si>
  <si>
    <t>OVO PASCOA GAROTO CROCANTE 227G</t>
  </si>
  <si>
    <t>OVO PASCOA GAROTO NEGRESCO 240G BRANCO</t>
  </si>
  <si>
    <t>OVO PASCOA GAROTO SERENATA 217,7G</t>
  </si>
  <si>
    <t>OVO PASCOA GAROTO TALENT 350G AVELA</t>
  </si>
  <si>
    <t>OVO PASCOA GAROTO TALENTO 350G CAST</t>
  </si>
  <si>
    <t>OVO PASCOA GAROTO TALENTO 350G MEIO AMARGO</t>
  </si>
  <si>
    <t>OVO PASCOA KINDER OVO 100G MINIONS</t>
  </si>
  <si>
    <t>OVO PASCOA KINDER OVO 100G MIRACULOUS</t>
  </si>
  <si>
    <t>OVO PASCOA KINDER OVO 150G AVENTURA SAVANA</t>
  </si>
  <si>
    <t>OVO PASCOA KINDER OVO 150G FADAS</t>
  </si>
  <si>
    <t>OVO PASCOA KINDER OVO MAXI 150G NATOONS</t>
  </si>
  <si>
    <t>OVO PASCOA KITKAT 332G AO LEITE</t>
  </si>
  <si>
    <t>OVO PASCOA KITKAT 332G BRANCO</t>
  </si>
  <si>
    <t>OVO PASCOA LINDT LINDOR 132,5G AO LEITE</t>
  </si>
  <si>
    <t>OVO PASCOA LINDT LINDOR 235G AO LEITE</t>
  </si>
  <si>
    <t>OVO PASCOA LINDT LINDOR 235G SORTIDO</t>
  </si>
  <si>
    <t>OVO PASCOA LUISA ABRAM 170G CROC AO LEITE</t>
  </si>
  <si>
    <t>OVO PASCOA LUISA ABRAM 170G INTENSO COM LARANJA</t>
  </si>
  <si>
    <t>OVO PASCOA LUISA ABRAM 170G MARAC</t>
  </si>
  <si>
    <t>OVO PASCOA MENDOA 120G 50% CACAU CAST CAJU/BANAN</t>
  </si>
  <si>
    <t>OVO PASCOA MILKA SPOONABLE 128G OREO</t>
  </si>
  <si>
    <t>OVO PASCOA MILKA SPOONABLE 136G CREME AVELA</t>
  </si>
  <si>
    <t>OVO PASCOA MILKA SPOONABLE 136G CREME DE CACAU</t>
  </si>
  <si>
    <t>OVO PASCOA MILKA SPOONABLE 136G CREME DE LEITE</t>
  </si>
  <si>
    <t>OVO PASCOA NESTLE ALPINO 349,5G</t>
  </si>
  <si>
    <t>OVO PASCOA NESTLE CLASSIC 199G</t>
  </si>
  <si>
    <t>OVO PASCOA NESTLE CRUNCH 205G</t>
  </si>
  <si>
    <t>OVO PASCOA NESTLE GALAK 199G</t>
  </si>
  <si>
    <t>OVO PASCOA NESTLE PRESTIGIO 225G</t>
  </si>
  <si>
    <t>OVO PASCOA PERUGINA 245G MILK</t>
  </si>
  <si>
    <t>OVO PASCOA SURPRESA DINO 204G AO LEITE</t>
  </si>
  <si>
    <t>OVOMALTINE ROCKS 110G MESCLADO</t>
  </si>
  <si>
    <t>OVOMALTINE ROCKS 40G</t>
  </si>
  <si>
    <t>OVOMALTINE ROCKS 90G</t>
  </si>
  <si>
    <t>PA DE LIXO CONDOR</t>
  </si>
  <si>
    <t>PA DE LIXO NOVICA C/CABO</t>
  </si>
  <si>
    <t>PA DE LIXO NOVICA CLIPA</t>
  </si>
  <si>
    <t>PACOCA AGTAL 19G ZERO ACUCAR</t>
  </si>
  <si>
    <t>PACOCA AGTAL 20G</t>
  </si>
  <si>
    <t>PACOCA ROLHA MANDUBIM 210G TRAD</t>
  </si>
  <si>
    <t>PACOCA ROLHA MANDUBIM 210G ZERO</t>
  </si>
  <si>
    <t>PACOCA YOKI ROLHA 352G</t>
  </si>
  <si>
    <t>PACOCA YOKI TABLETE 352G</t>
  </si>
  <si>
    <t>PALITO DENTE BAMBU FIAT LUX C/100</t>
  </si>
  <si>
    <t>PALITO DENTE BAMBU FIAT LUX C/200</t>
  </si>
  <si>
    <t>PALITO DENTE BAMBU FIAT LUX C/240</t>
  </si>
  <si>
    <t>PALITO DENTE FIAT LUX C/100</t>
  </si>
  <si>
    <t>PALITO DENTE FIAT LUX C/200</t>
  </si>
  <si>
    <t>PALMITO ACAI INTEIRO CASTELO 300G</t>
  </si>
  <si>
    <t>PALMITO BONDUELLE PUPUNHA 150G INT</t>
  </si>
  <si>
    <t>PALMITO PUPUNHA BONDUELLE 270G</t>
  </si>
  <si>
    <t>PALMITO PUPUNHA BONDUELLE 520G PIC</t>
  </si>
  <si>
    <t>PALMITO PUPUNHA FRUEX 300G INTEIRO</t>
  </si>
  <si>
    <t>PALMITO PUPUNHA FRUEX 300G PICADO</t>
  </si>
  <si>
    <t>PALMITO PUPUNHA FRUEX 300G RODELA</t>
  </si>
  <si>
    <t>PALMITO VITALIA 300G</t>
  </si>
  <si>
    <t>PANO DE PRATO JRV</t>
  </si>
  <si>
    <t>PANO EVOLUTION ESFREBOM ROLO C/52</t>
  </si>
  <si>
    <t>PANO MULTIUSO ESFREBOM ALTA PERFORMANCE</t>
  </si>
  <si>
    <t>PANO MULTIUSO ESFREBOM C/5 AZUL</t>
  </si>
  <si>
    <t>PANO MULTIUSO ESFREBOM C/5 VERDE</t>
  </si>
  <si>
    <t>PANO MULTIUSO ESFREBOM C/5 VERMELHO</t>
  </si>
  <si>
    <t>PANO SACO ALVEJADO JRV</t>
  </si>
  <si>
    <t>PANO SACO CRU JRV</t>
  </si>
  <si>
    <t>PANO SACO XADREZ JRV</t>
  </si>
  <si>
    <t>PANO SCOTT DURAMAX 116UN</t>
  </si>
  <si>
    <t>PANO SCOTT DURAMAX 58UN</t>
  </si>
  <si>
    <t>PANO SCOTT DURAMAX 58UN AZUL</t>
  </si>
  <si>
    <t>PANO SCOTT DURAMAX ANTIBAC 48UN VERDE</t>
  </si>
  <si>
    <t>PANO USO PERFEX C/5 AZUL</t>
  </si>
  <si>
    <t>PANO USO PERFEX C/5 ROSA</t>
  </si>
  <si>
    <t>PANOS UMEDECIDOS BACFREE ACAO C/35 PROLO BRIS EUCA</t>
  </si>
  <si>
    <t>PANOS UMEDECIDOS BACFREE ACAO C/35 PROLONG CLASSIC</t>
  </si>
  <si>
    <t>PANOS UMEDECIDOS BACFREE ACAO C/35 PROLONG LAVANDA</t>
  </si>
  <si>
    <t>PANOS UMEDECIDOS BACFREE ACAO C/35 PROLONG MIMO</t>
  </si>
  <si>
    <t>PAO CIABATTA SCHAR 200G S/LACT TRAD</t>
  </si>
  <si>
    <t>PAO DE MEL BAUDUCCO 180G</t>
  </si>
  <si>
    <t>PAO DE MEL BAUDUCCO 30G</t>
  </si>
  <si>
    <t>PAO DE MEL BAUDUCCO 80G</t>
  </si>
  <si>
    <t>PAO DE MEL PANCO COBERT CHOC 200G</t>
  </si>
  <si>
    <t>PAO FORMA JASMINE 350G S/GLUTEN TRADICIONAL</t>
  </si>
  <si>
    <t>PAO FORMA S/G EQUILIBRE 350G CENOURA</t>
  </si>
  <si>
    <t>PAO FORMA S/G EQUILIBRE 350G MULTIGRAOS</t>
  </si>
  <si>
    <t>PAO FORMA S/GLUTEN EQUILIBRE 350G BRANCO</t>
  </si>
  <si>
    <t>PAO FORMA S/GLUTEN EQUILIBRE 350G INTEGRAL</t>
  </si>
  <si>
    <t>PAO FORMA SCHAR 200G MACA/CANELA</t>
  </si>
  <si>
    <t>PAO FORMA SCHAR 200G MULTIGRAOS</t>
  </si>
  <si>
    <t>PAO FORMA SCHAR 200G QUINOA/LINHACA</t>
  </si>
  <si>
    <t>PAO FORMA SCHAR 200G TRADICIONAL</t>
  </si>
  <si>
    <t>PAO FORMA SCHAR 240G S/LACT CASERECCIO</t>
  </si>
  <si>
    <t>PAO FRANCES SCHAR 100G S/LACT</t>
  </si>
  <si>
    <t>PAO HAMB SCHAR 130G</t>
  </si>
  <si>
    <t>PAO JASMINE 350G S/ GLUTEN BATATA DOCE</t>
  </si>
  <si>
    <t>PAO JASMINE 350G S/ GLUTEN CHIA ERVAS FINA</t>
  </si>
  <si>
    <t>PAO JASMINE 350G S/ GLUTEN MULTIGRAOS</t>
  </si>
  <si>
    <t>PAO JASMINE 350G S/GLUTEN COCO</t>
  </si>
  <si>
    <t>PAO JASMINE 350G S/GLUTEN FRUT/CAST FAT</t>
  </si>
  <si>
    <t>PAO TORTILHA EQUILIBRE RAPIDINHO S/GLUTEN 245G</t>
  </si>
  <si>
    <t>PAPEL ASSALIGHT WYDA 3M</t>
  </si>
  <si>
    <t>PAPEL HIG ELITE FOLHA DUPLA LV16 PG15</t>
  </si>
  <si>
    <t>PAPEL HIG MIMMO FOLHA DUPLA LV12 PG11</t>
  </si>
  <si>
    <t>PAPEL HIG MIMMO FOLHA DUPLA LV24 PG21</t>
  </si>
  <si>
    <t>PAPEL HIG MIMMO FOLHA TRIPLA LV12 PG11</t>
  </si>
  <si>
    <t>PAPEL HIG MIRAFIORI C/12 50M</t>
  </si>
  <si>
    <t>PAPEL HIG MIRAFIORI C/4 50M</t>
  </si>
  <si>
    <t>PAPEL HIG NEVE LV12 PG11 SUPREME FOLHA TRIPLA</t>
  </si>
  <si>
    <t>PAPEL HIG NEVE LV12 PG11 TOQUE SEDA</t>
  </si>
  <si>
    <t>PAPEL HIG NEVE NEUTRO C/4 30M</t>
  </si>
  <si>
    <t>PAPEL HIG NEVE SUPREME L24 P21</t>
  </si>
  <si>
    <t>PAPEL HIG NEVE SUPREME LV18 PG16</t>
  </si>
  <si>
    <t>PAPEL HIG NEVE SUPREME TRIP C/4 20M</t>
  </si>
  <si>
    <t>PAPEL HIG NEVE TOQUE DE SEDA DERMA 18UN</t>
  </si>
  <si>
    <t>PAPEL HIG NEVE TOQUE DE SEDA LV24 PG21</t>
  </si>
  <si>
    <t>PAPEL HIG NEVE ULTRACOMFORT C/12 20M</t>
  </si>
  <si>
    <t>PAPEL HIG NEVE ULTRACOMFORT C/4 20M</t>
  </si>
  <si>
    <t>PAPEL HIG PERSONAL FOLHA DUPLA 20UN</t>
  </si>
  <si>
    <t>PAPEL HIG PERSONAL FOLHA DUPLA 4UN</t>
  </si>
  <si>
    <t>PAPEL HIG PERSONAL FOLHA DUPLA LV16 PG 15</t>
  </si>
  <si>
    <t>PAPEL HIG PERSONAL FOLHA DUPLA LV24 PG22</t>
  </si>
  <si>
    <t>PAPEL HIG PERSONAL VIP FOLHA DUPLA LV18 PG16</t>
  </si>
  <si>
    <t>PAPEL HIG PERSONAL VIP3 FOLHA TRIP LV16 PG15</t>
  </si>
  <si>
    <t>PAPEL HIG PERSONAL VIP3 FOLHA TRIPLA L24 P22</t>
  </si>
  <si>
    <t>PAPEL MANTEIGA WYDA 7,5M</t>
  </si>
  <si>
    <t>PAPEL TOALHA KITCHEN 60 FOLHAS C/2</t>
  </si>
  <si>
    <t>PAPEL TOALHA KITCHEN JUMBO 120 FOLHAS C/2</t>
  </si>
  <si>
    <t>PAPEL TOALHA KITCHEN TOTAL ABSOR 70 FOLHAS C/2</t>
  </si>
  <si>
    <t>PAPEL TOALHA MASCOT FOLHA DUPLA 60 FOLHAS C/2</t>
  </si>
  <si>
    <t>PAPEL TOALHA SCALA PLUS 120 FOLHAS</t>
  </si>
  <si>
    <t>PAPEL TOALHA SCALA PLUS 360 FOLHAS</t>
  </si>
  <si>
    <t>PAPEL TOALHA SNOB CLASSICA 120 FOLHAS C/2</t>
  </si>
  <si>
    <t>PAPEL TOALHA SNOB CLASSICA 120 FOLHAS C/3</t>
  </si>
  <si>
    <t>PAPEL TOALHA SNOB CLASSICA 60 FOLHAS C/2</t>
  </si>
  <si>
    <t>PAPEL TOALHA SNOB DECORA 60 FOLHAS C/2</t>
  </si>
  <si>
    <t>PAPRICA DEFUMADA BOMBAY 60G</t>
  </si>
  <si>
    <t>PAPRICA DEFUMADA BR SPICES ESSENCIAL 45G</t>
  </si>
  <si>
    <t>PAPRICA DEFUMADA ESP E SAB 30G</t>
  </si>
  <si>
    <t>PAPRICA DOCE BOMBAY 60G</t>
  </si>
  <si>
    <t>PAPRICA DOCE ESP E SAB 50G</t>
  </si>
  <si>
    <t>PAPRICA PICANTE BOMBAY 60G</t>
  </si>
  <si>
    <t>PAPRICA PICANTE BR SPICES 45G</t>
  </si>
  <si>
    <t>PAPRICA PICANTE ESP E SAB 50G</t>
  </si>
  <si>
    <t xml:space="preserve">PASCOATTONE CASA SUICA 400G FRUTAS </t>
  </si>
  <si>
    <t>PASCOATTONE CASA SUICA 400G GOTAS CHOC</t>
  </si>
  <si>
    <t>PASCOATTONE CASA SUICA 450G RECH AVELA</t>
  </si>
  <si>
    <t>PASCOATTONE CASA SUICA 450G RECH CHOCONOZES</t>
  </si>
  <si>
    <t>PASCOATTONE CASA SUICA 450G RECH TRUFADO</t>
  </si>
  <si>
    <t>PASSA ROUPA MON BIJOU 500ML</t>
  </si>
  <si>
    <t>PASSA ROUPA MON BIJOU 500ML RF</t>
  </si>
  <si>
    <t>PASSE BEM RF 500ML</t>
  </si>
  <si>
    <t>PASSE BEM SACHE RF 400ML EMB ECONO</t>
  </si>
  <si>
    <t>PASTA AMENDOIM FIT FOOD 450G CREMOSA</t>
  </si>
  <si>
    <t>PASTA AMENDOIM FIT FOOD 450G CROCANTE</t>
  </si>
  <si>
    <t>PASTA AMENDOIM MANDUBIM 1,02 KG INT C/GRANULADO</t>
  </si>
  <si>
    <t>PASTA AMENDOIM MANDUBIM 1,02 KG INT TRADICIONAL</t>
  </si>
  <si>
    <t>PASTA AMENDOIM MANDUBIM 450G AVELA CACAU</t>
  </si>
  <si>
    <t>PASTA AMENDOIM MANDUBIM 450G CARAMELO SALG</t>
  </si>
  <si>
    <t>PASTA AMENDOIM MANDUBIM 450G COCADA</t>
  </si>
  <si>
    <t>PASTA AMENDOIM MANDUBIM 450G GIANDUIA</t>
  </si>
  <si>
    <t>PASTA AMENDOIM MANDUBIM 450G INT C/ GRANULADO</t>
  </si>
  <si>
    <t>PASTA AMENDOIM MANDUBIM 450G INT TRADICIONAL</t>
  </si>
  <si>
    <t>PASTA AMENDOIM MANDUBIM 450G LEITE EM PO</t>
  </si>
  <si>
    <t>PASTA AMENDOIM MANDUBIM GOURMET 450G CHOC AMARG</t>
  </si>
  <si>
    <t>PASTA AMENDOIM NUTRATA 600G DOCE DE LEITE</t>
  </si>
  <si>
    <t>PASTA AMENDOIM VEG REGALLE 150G C/CACAU</t>
  </si>
  <si>
    <t>PASTA AMENDOIM VEG REGALLE 150G CROCANTE</t>
  </si>
  <si>
    <t>PASTA GERGELIM ISTAMBUL TAHINE 500G</t>
  </si>
  <si>
    <t>PASTA PISTACHE VEG REGALLE 150G C/CHOC BRANCO</t>
  </si>
  <si>
    <t>PATE ADULTO PEDIGREE LT 280G CARNE</t>
  </si>
  <si>
    <t>PATE ADULTO PEDIGREE LT 280G FRANGO</t>
  </si>
  <si>
    <t>PATE ADULTO WHISKAS LT 290G ATUM</t>
  </si>
  <si>
    <t>PATE ADULTO WHISKAS LT 290G CARNE</t>
  </si>
  <si>
    <t>PATE ADULTO WHISKAS LT 290G FRANGO</t>
  </si>
  <si>
    <t>PATE ADULTO WHISKAS LT 290G PEIXE</t>
  </si>
  <si>
    <t>PATE ATUM GOMES DA COSTA 150G C/AZEITONA</t>
  </si>
  <si>
    <t>PATE ATUM GOMES DA COSTA 150G DEFUMADO</t>
  </si>
  <si>
    <t>PATE ATUM GOMES DA COSTA 150G LIGHT</t>
  </si>
  <si>
    <t>PATE ATUM GOMES DA COSTA 150G PICANTE</t>
  </si>
  <si>
    <t>PATE ATUM GOMES DA COSTA 150G TRADICIONAL</t>
  </si>
  <si>
    <t>PATE ATUM GOMES DA COSTA 170G C/AZEITONAS</t>
  </si>
  <si>
    <t>PATE ATUM GOMES DA COSTA 170G TRADICIONAL</t>
  </si>
  <si>
    <t>PATE FILHOTE PEDIGREE LT 280G CARNE/FRANGO</t>
  </si>
  <si>
    <t>PE DE MOLEQUE SEGREDOS FAZENDA 170G</t>
  </si>
  <si>
    <t>PE DE MOLEQUE YOKI 306G</t>
  </si>
  <si>
    <t>PEDRA HARPIC 20G AROMA ACQUA MARINE PROMO</t>
  </si>
  <si>
    <t>PEDRA HARPIC 20G AROMA PLUS CLORO PROMO</t>
  </si>
  <si>
    <t>PEDRA HARPIC 20G AROMA PLUS LAVANDA PROMO</t>
  </si>
  <si>
    <t>PEDRA HARPIC 20G AROMA PLUS PINHO PROMO</t>
  </si>
  <si>
    <t>PEDRA HARPIC 25G FLORES DO CAMPO</t>
  </si>
  <si>
    <t>PEDRA HARPIC C/2 UN 50%OFF LAVANDA</t>
  </si>
  <si>
    <t>PEDRA HARPIC C/2 UN 50%OFF PINHO</t>
  </si>
  <si>
    <t>PEGADOR ACO INOX TRAMONTINA UTILITY</t>
  </si>
  <si>
    <t>PENTE PLASTICO CONDOR 2UN</t>
  </si>
  <si>
    <t>PEPINO LADO MATO 330G</t>
  </si>
  <si>
    <t>PEPINO SUNOMONO 200G</t>
  </si>
  <si>
    <t>PEPINOS COND SUAVE HEMMER 300G</t>
  </si>
  <si>
    <t>PERFUME DE ROUPAS COMFORT BOOM 275G EUFORIA FLORAL</t>
  </si>
  <si>
    <t>PERFUME DE ROUPAS COMFORT BOOM 275G EXPLO FRESCOR</t>
  </si>
  <si>
    <t>PESSEGO CALDA LA PASTINA 485G</t>
  </si>
  <si>
    <t>PESSEGO CALDA LA PASTINA DIET 485G</t>
  </si>
  <si>
    <t>PESSEGO CALDA OLE 450G</t>
  </si>
  <si>
    <t>PETISCO ADULTO BISCROK POUCH 500G MULTI SABOR</t>
  </si>
  <si>
    <t>PETISCO ADULTO DREAMIES 40G CARNE</t>
  </si>
  <si>
    <t>PETISCO ADULTO DREAMIES 40G FRANGO</t>
  </si>
  <si>
    <t>PETISCO ADULTO DREAMIES 40G SALMAO</t>
  </si>
  <si>
    <t>PETISCO ADULTO FRISKIES 40G MIX CORDEIRO</t>
  </si>
  <si>
    <t>PETISCO ADULTO FRISKIES 40G MIX FRANGO/FIG/PERU</t>
  </si>
  <si>
    <t>PETISCO ADULTO FRISKIES 40G MIX MIX DE PEIXES</t>
  </si>
  <si>
    <t>PETISCO ADULTO GDE PEDIGREE 270G DENTASTIX</t>
  </si>
  <si>
    <t>PETISCO ADULTO MARROBONE PEDIGREE 200G CARNE</t>
  </si>
  <si>
    <t>PETISCO ADULTO MED PEDIGREE 180G DENTASTIX</t>
  </si>
  <si>
    <t>PETISCO ADULTO MED PEDIGREE 75G DENTASTIX</t>
  </si>
  <si>
    <t>PETISCO ADULTO PEQ PEDIGREE 110G DENTASTIX</t>
  </si>
  <si>
    <t>PETISCO ADULTO PEQ PEDIGREE 45G DENTASTIX</t>
  </si>
  <si>
    <t>PETISCO ADULTO PQ BISCROK 500G LEITE</t>
  </si>
  <si>
    <t>PETISCO DOG CHOW 105G ADULTO RACAS MINIS/PEQ</t>
  </si>
  <si>
    <t>PETISCO DOG CHOW 300G FILHOTES FRANGO/LEITE</t>
  </si>
  <si>
    <t>PETISCO DOG CHOW 45G ADULTO RACAS MINIS/PEQ</t>
  </si>
  <si>
    <t>PETISCO DOG CHOW 80G ADULTO RACAS MED/GRAN</t>
  </si>
  <si>
    <t>PETISCO DREAMIES POUCH 80G CARNE</t>
  </si>
  <si>
    <t>PETISCO FILHOTE BISCROK POUCH 300G LEITE</t>
  </si>
  <si>
    <t>PETISCO WHISKAS POUCH 40G ANTIBOLA PELO</t>
  </si>
  <si>
    <t>PETISCO WHISKAS POUCH 40G PELO SAUDAVEL</t>
  </si>
  <si>
    <t>PETISCO WHISKAS POUCH 80G ANTIBOLA PELO</t>
  </si>
  <si>
    <t>PICKLES MACARICO 210G</t>
  </si>
  <si>
    <t>PICLES LADO MATO 330G</t>
  </si>
  <si>
    <t>PILHA ALC FIAT LUX AAA LR03 4UN</t>
  </si>
  <si>
    <t>PILHA ALCALINA FIAT LUX AA LR6 2UN</t>
  </si>
  <si>
    <t>PILHA ALCALINA FIAT LUX AAA LR03 2UN</t>
  </si>
  <si>
    <t>PILHA DURACELL AA2 2UN</t>
  </si>
  <si>
    <t>PILHA DURACELL AAA2 2UN</t>
  </si>
  <si>
    <t>PILHA DURACELL C2 2UN</t>
  </si>
  <si>
    <t>PILHA DURACELL D2 2UN</t>
  </si>
  <si>
    <t>PILHA DURACELL MN21/A23 12V C/2</t>
  </si>
  <si>
    <t>PILHA FIAT LUX AA R6 2UN</t>
  </si>
  <si>
    <t>PILHA FIAT LUX AA R6 4UN</t>
  </si>
  <si>
    <t>PILHA FIAT LUX AAA R03 2UN</t>
  </si>
  <si>
    <t>PILHA FIAT LUX AAA R03 4UN</t>
  </si>
  <si>
    <t>PIMENTA ARABE ISTAMBUL C/TAHINE 150ML</t>
  </si>
  <si>
    <t>PIMENTA BIQUINHO LADO MATO 232G</t>
  </si>
  <si>
    <t>PIMENTA BODE LADO MATO 224G</t>
  </si>
  <si>
    <t>PIMENTA BRANCA GRAO ESP E SAB 20G</t>
  </si>
  <si>
    <t>PIMENTA C/AZEITE GALLO 50ML</t>
  </si>
  <si>
    <t>PIMENTA C/AZEITE GALLO 50ML EXT FOR</t>
  </si>
  <si>
    <t>PIMENTA CAIENA EM PO BOMBAY 60G</t>
  </si>
  <si>
    <t>PIMENTA CALABRESA ESP E SAB 40G</t>
  </si>
  <si>
    <t>PIMENTA CALABRESA FLOCOS KITANO 13G</t>
  </si>
  <si>
    <t>PIMENTA COM LIMAO ESP E SAB 40G</t>
  </si>
  <si>
    <t>PIMENTA CUMARI LADO MATO 224G AMARELA</t>
  </si>
  <si>
    <t>PIMENTA DO REINO BR SPICES 50G</t>
  </si>
  <si>
    <t>PIMENTA DO REINO ESP E SAB 25G GRAO</t>
  </si>
  <si>
    <t>PIMENTA DO REINO ESP E SAB 30G</t>
  </si>
  <si>
    <t>PIMENTA DO REINO KITANO 15G MOIDA</t>
  </si>
  <si>
    <t>PIMENTA DO REINO KITANO 50G</t>
  </si>
  <si>
    <t>PIMENTA DO REINO VERDE BOMBAY 110G</t>
  </si>
  <si>
    <t>PIMENTA DO REINO YOKI 15G BRANCA</t>
  </si>
  <si>
    <t>PIMENTA E COMINHO KITANO 70G</t>
  </si>
  <si>
    <t>PIMENTA MALAGUETA LADO MATO 234G</t>
  </si>
  <si>
    <t>PIMENTA PRETA GRAO KITANO 15G</t>
  </si>
  <si>
    <t>PIMENTA ROSA ESP E SAB 30G</t>
  </si>
  <si>
    <t>PIMENTA SIRIA ESP E SAB 30G</t>
  </si>
  <si>
    <t>PIMENTAO FORNO LA PASTINA 290G</t>
  </si>
  <si>
    <t>PIPOCA DOCE DE MILHO CLAC 170G</t>
  </si>
  <si>
    <t>PIPOCA DOCE DE MILHO CLAC 50G</t>
  </si>
  <si>
    <t>PIPOCA DOCE MAE TERRA ORG 40G CARAM/COCO</t>
  </si>
  <si>
    <t>PIPOCA DOCE MAE TERRA ORG 45G CACAU</t>
  </si>
  <si>
    <t>PIPOCA DOCE MAE TERRA Z/ACUCAR 35G BRIGADEIRO</t>
  </si>
  <si>
    <t>PIPOCA GOURMET PIPO 100G CARAM/FLOR SAL</t>
  </si>
  <si>
    <t>PIPOCA GOURMET PIPO 100G CHARGE</t>
  </si>
  <si>
    <t>PIPOCA GOURMET PIPO 100G NEGRESCO</t>
  </si>
  <si>
    <t>PIPOCA GOURMET PIPO 100G OVOMALTINE</t>
  </si>
  <si>
    <t>PIPOCA GOURMET PIPO 35G LEMON PEPPER</t>
  </si>
  <si>
    <t>PIPOCA GOURMET PIPO 36G MANTEIGA AVIACAO</t>
  </si>
  <si>
    <t>PIPOCA GOURMET PIPO 80G OAK BERRY</t>
  </si>
  <si>
    <t>PIPOCA GOURMET PIPO 90G GALAK</t>
  </si>
  <si>
    <t>PIPOCA GOURMET PIPO 90G LEITE PO NINHO</t>
  </si>
  <si>
    <t>PIPOCA GOURMET PIPO FINI 80G BANANA</t>
  </si>
  <si>
    <t>PIPOCA GOURMET PIPO FINI 80G BEIJO</t>
  </si>
  <si>
    <t>PIPOCA GOURMET PIPO FINI 80G DENTADURA</t>
  </si>
  <si>
    <t>PIPOCA POPCORN YOKI 100G BACON</t>
  </si>
  <si>
    <t>PIPOCA POPCORN YOKI 100G MANT CINEMA</t>
  </si>
  <si>
    <t>PIPOCA POPCORN YOKI 100G MANTEIGA</t>
  </si>
  <si>
    <t>PIPOCA POPCORN YOKI 100G NATURAL</t>
  </si>
  <si>
    <t>PIPOCA POPCORN YOKI 100G NATURAL C/SAL</t>
  </si>
  <si>
    <t>PIPOCA POPCORN YOKI 105G COBERTURA MANTEIGA</t>
  </si>
  <si>
    <t>PIPOCA POPCORN YOKI 160G COBERTURA CARAMELO</t>
  </si>
  <si>
    <t>PIPOCA POPCORN YOKI 160G COBERTURA CHOCOLATE</t>
  </si>
  <si>
    <t>PIPOCA POPCORN YOKI 50G NATURAL C/SAL</t>
  </si>
  <si>
    <t>PIPOCA POPCORN YOKI 90G MANTEIGA LIGHT</t>
  </si>
  <si>
    <t>PIPOCA POPCORN YOKI 90G PREMIUM NATURAL C/SAL</t>
  </si>
  <si>
    <t>PIPOCA YOKI NETFLIX 95G CHEDDAR</t>
  </si>
  <si>
    <t>PIPOCA YOKI NETFLIX 95G PRESUNTO</t>
  </si>
  <si>
    <t>PO P/ PREP LOWCUCAR 220G LTE CONDENSADO</t>
  </si>
  <si>
    <t>POLENTA INSTANTANEA COLAVITA 500G</t>
  </si>
  <si>
    <t>POLENTA ITA PAGANINI 500G</t>
  </si>
  <si>
    <t>POLENTINA DIVELLA 500G</t>
  </si>
  <si>
    <t>POLENTINA QUAKER 500G</t>
  </si>
  <si>
    <t>POLIBRIL METAIS E CROMADOS 200ML</t>
  </si>
  <si>
    <t>POLIDOR LIQ BRASSO 200ML</t>
  </si>
  <si>
    <t>POLIDOR LIQ SILVO 200ML</t>
  </si>
  <si>
    <t>POLIFLOR BRILHO MAXIMO INCOLOR 750ML</t>
  </si>
  <si>
    <t>POLPA TOMATE PAGANINI 400G</t>
  </si>
  <si>
    <t xml:space="preserve">POLPA TOMATE PAGANINI 690G TRAD </t>
  </si>
  <si>
    <t>POLPA TOMATE PAGANINI RUSTICA 690G</t>
  </si>
  <si>
    <t>POLPA TOMATE POMODORO 520G CICA</t>
  </si>
  <si>
    <t>POLPA TOMATE QUERO 260G</t>
  </si>
  <si>
    <t>POLPA TOMATE QUERO 520G</t>
  </si>
  <si>
    <t>POLVILHO YOKI AZEDO 500G</t>
  </si>
  <si>
    <t>POLVILHO YOKI DOCE 500G</t>
  </si>
  <si>
    <t>POS SOL GEL SUNDOWN 140G</t>
  </si>
  <si>
    <t>POTE INCOLOR P/TEMPERO 130ML</t>
  </si>
  <si>
    <t>PRATO DESC BRANCO COPOBRAS 15CM C/10</t>
  </si>
  <si>
    <t>PRATO DESC BRANCO COPOBRAS 21CM C/10</t>
  </si>
  <si>
    <t>PRATO QUADRADO CRISTAL C/10</t>
  </si>
  <si>
    <t>PRATO REDONDO CRISTAL C/10</t>
  </si>
  <si>
    <t>PRENDEDOR DE ROUPA ESFREBOM C/16</t>
  </si>
  <si>
    <t>PRENDEDOR DE ROUPA ESFREBOM CORES C/12</t>
  </si>
  <si>
    <t>PRENDEDOR DE ROUPA ESFREBOM SIMPLES C/12</t>
  </si>
  <si>
    <t>PRESUNTINHO PIRAQUE 100G</t>
  </si>
  <si>
    <t>PROMO PACK HEINZ KET/MAYO/MOST 867G</t>
  </si>
  <si>
    <t>PROT DIARIO CAREFREE 15UN S/ABA</t>
  </si>
  <si>
    <t>PROT DIARIO CAREFREE 40UN LV+ PG- S/ABA</t>
  </si>
  <si>
    <t>PROT DIARIO CAREFREE 80UN LV+ PG- S/ABA</t>
  </si>
  <si>
    <t>PROT DIARIO CAREFREE FLEXI 15UN S/ABA</t>
  </si>
  <si>
    <t>PROT DIARIO CAREFREE FLEXI 40UN S/ABA</t>
  </si>
  <si>
    <t>PROT DIARIO CAREFREE FLEXI 80UN S/ABA</t>
  </si>
  <si>
    <t>PROT DIARIO CAREFREE PROT 15UN S/ABA</t>
  </si>
  <si>
    <t>PROT DIARIO CAREFREE PROT 15UN S/ABA S/PERFUME</t>
  </si>
  <si>
    <t>PROT DIARIO CAREFREE PROT 40UN L+P- S/ABA S/PERFUM</t>
  </si>
  <si>
    <t>PROT DIARIO CAREFREE PROT 40UN LV+ PG- S/ABA</t>
  </si>
  <si>
    <t>PROT DIARIO CAREFREE PROTECAO 80UN LV+ PG- S/ABA</t>
  </si>
  <si>
    <t>PROT DIARIO INTIMUS ANTIBAC 40UN S/ABA</t>
  </si>
  <si>
    <t>PROT DIARIO INTIMUS ANTIBAC S/ABAS 15UN</t>
  </si>
  <si>
    <t>PROT FOGAO ALUMINIO WYDA MOLDADA C/10</t>
  </si>
  <si>
    <t>PROT FOGAO ALUMINIO WYDA MOLDADA C/12</t>
  </si>
  <si>
    <t>PROT SOLAR AUSTRALIAN GOLD 200G FPS 30</t>
  </si>
  <si>
    <t>PROT SOLAR AUSTRALIAN GOLD 200G FPS 50</t>
  </si>
  <si>
    <t>PROT SOLAR AUSTRALIAN GOLD 50G FPS 50</t>
  </si>
  <si>
    <t>PROT SOLAR AUSTRALIAN GOLD 50G FPS 70</t>
  </si>
  <si>
    <t>PROTEINA SOJA CAMIL 400G CARNE</t>
  </si>
  <si>
    <t>PROTEINA SOJA CAMIL 400G FRANGO</t>
  </si>
  <si>
    <t>PROTEINA SOJA CAMPO VERDE 300G GRANULADA</t>
  </si>
  <si>
    <t>PROTEINA SOJA JASMINE MEDIA 250G</t>
  </si>
  <si>
    <t>PROTETOR BRONZE SOLAR NIVEA 200ML FPS 30</t>
  </si>
  <si>
    <t>PROTETOR DIARIO SYM S/PERF S/ABAS LV 40 PG 35</t>
  </si>
  <si>
    <t>PROTETOR INT DAYS C/15UN S/ABAS S/PERF</t>
  </si>
  <si>
    <t>PROTETOR LABIAL NIVEA 4,8G AMORA SHINE</t>
  </si>
  <si>
    <t>PROTETOR LABIAL NIVEA 4,8G CEREJA SHINE</t>
  </si>
  <si>
    <t>PROTETOR LABIAL NIVEA 4,8G MORANGO SHINE</t>
  </si>
  <si>
    <t>PROTETOR LABIAL NIVEA 4,8G ORIGINAL CARE</t>
  </si>
  <si>
    <t>PROTETOR SOLAR AUSTRALIAN GOLD 237G FPS 30</t>
  </si>
  <si>
    <t>PROTETOR SOLAR AUSTRALIAN GOLD 237G FPS 8</t>
  </si>
  <si>
    <t>PROTETOR SOLAR AUSTRALIAN GOLD 237G FPS15</t>
  </si>
  <si>
    <t>PROTETOR SOLAR LABIAL NIVEA 4,8G FPS 30</t>
  </si>
  <si>
    <t>PROTETOR SOLAR NEUTROGENA SUN FRESH 200ML FPS 30</t>
  </si>
  <si>
    <t>PROTETOR SOLAR NEUTROGENA SUN FRESH 200ML FPS 50</t>
  </si>
  <si>
    <t xml:space="preserve">PROTETOR SOLAR NIVEA 125ML FPS 30 </t>
  </si>
  <si>
    <t>PROTETOR SOLAR NIVEA 200ML FPS 30</t>
  </si>
  <si>
    <t>PROTETOR SOLAR NIVEA 200ML FPS50</t>
  </si>
  <si>
    <t>PROTETOR SOLAR NIVEA 40ML FPS 70</t>
  </si>
  <si>
    <t>PROTETOR SOLAR SUNDOWN 120ML FPS 30</t>
  </si>
  <si>
    <t>PROTETOR SOLAR SUNDOWN 120ML FPS 50</t>
  </si>
  <si>
    <t>PROTETOR SOLAR SUNDOWN 200ML FPS 30</t>
  </si>
  <si>
    <t>PROTETOR SOLAR SUNDOWN 200ML FPS 50</t>
  </si>
  <si>
    <t>PROTETOR SOLAR SUNDOWN 200ML FPS 70</t>
  </si>
  <si>
    <t>PROTETOR SOLAR SUNDOWN KIDS 120ML FPS 60</t>
  </si>
  <si>
    <t>PUDIM DR OETKER 50G CHOCOLATE</t>
  </si>
  <si>
    <t>PUDIM DR OETKER 50G COCO</t>
  </si>
  <si>
    <t>PUDIM DR OETKER DIET 30G CHOCOLATE</t>
  </si>
  <si>
    <t>PUDIM LINEA SUCRALOSE 25G BAUNILHA</t>
  </si>
  <si>
    <t>PUDIM LINEA SUCRALOSE 25G CARAMELO</t>
  </si>
  <si>
    <t>PUDIM LOWCUCAR 25G CHOCOLATE</t>
  </si>
  <si>
    <t>PUDIM LOWCUCAR 25G LTE CONDENSADO</t>
  </si>
  <si>
    <t>PUDIM LOWCUCAR 25G MORANGO</t>
  </si>
  <si>
    <t>PULVERIZADOR 500ML PASSE BEM</t>
  </si>
  <si>
    <t>PURE BATATA YOKI 180G</t>
  </si>
  <si>
    <t>QUEROSENE APACHE 1L</t>
  </si>
  <si>
    <t>QUEROSENE APACHE 450ML</t>
  </si>
  <si>
    <t>QUINOA CAMPO VERDE FLOCOS 200G</t>
  </si>
  <si>
    <t>QUINOA CAMPO VERDE GRAOS 200G</t>
  </si>
  <si>
    <t>RACAO ADULTO 12+ PEDIGREE 900G CARNE</t>
  </si>
  <si>
    <t>RACAO ADULTO 7+ DOG CHOW 1KG CARNE /FGO/ARROZ</t>
  </si>
  <si>
    <t>RACAO ADULTO ALPO 1KG CARNE C/ VEGETAIS</t>
  </si>
  <si>
    <t>RACAO ADULTO CHAMP 900G CARNE E CEREAIS</t>
  </si>
  <si>
    <t>RACAO ADULTO FRISKIES 1KG FRANGO</t>
  </si>
  <si>
    <t>RACAO ADULTO FRISKIES 1KG MEGA MIX</t>
  </si>
  <si>
    <t>RACAO ADULTO FRISKIES 1KG MIX CARNE</t>
  </si>
  <si>
    <t>RACAO ADULTO KITEKAT 2,7KG MIX DE CARNES</t>
  </si>
  <si>
    <t>RACAO ADULTO KITEKAT 900G MIX DE CARNES</t>
  </si>
  <si>
    <t>RACAO ADULTO ME/GDE DOG CHOW 1KG</t>
  </si>
  <si>
    <t>RACAO ADULTO MINI/PEQ DOG CHOW 1KG CARNE/FGO/ARROZ</t>
  </si>
  <si>
    <t>RACAO ADULTO PEDIGREE +PROT 2,7KG CARNE/FRANGO</t>
  </si>
  <si>
    <t>RACAO ADULTO PEDIGREE 10,1KG CARNE LV+PG-</t>
  </si>
  <si>
    <t>RACAO ADULTO PEDIGREE 10,1KG CARNE/LTE L+P-</t>
  </si>
  <si>
    <t>RACAO ADULTO PEDIGREE 2,7KG CAR/FGO/CEREAIS</t>
  </si>
  <si>
    <t>RACAO ADULTO PEDIGREE 900G CAR/FGO/CER</t>
  </si>
  <si>
    <t>RACAO ADULTO PEDIGREE 900G CARNE/VEG</t>
  </si>
  <si>
    <t>RACAO ADULTO PEQ 9+ PEDIGREE 900G CARNE/LEITE</t>
  </si>
  <si>
    <t>RACAO ADULTO PEQ PEDIGREE 900G CARNE/VEG</t>
  </si>
  <si>
    <t>RACAO ADULTO WHISKAS 2,7KG CARNE</t>
  </si>
  <si>
    <t>RACAO ADULTO WHISKAS 2,7KG PEIXE</t>
  </si>
  <si>
    <t>RACAO ADULTO WHISKAS 900G CARNE</t>
  </si>
  <si>
    <t>RACAO ADULTO WHISKAS 900G PEIXE</t>
  </si>
  <si>
    <t>RACAO CASTRADOS FRISKIES 1KG MIX DE CARNES</t>
  </si>
  <si>
    <t>RACAO CASTRADOS WHISKAS 2,7KG CARNE</t>
  </si>
  <si>
    <t>RACAO CASTRADOS WHISKAS 900G CARNE</t>
  </si>
  <si>
    <t>RACAO CASTRADOS WHISKAS 900G PEIXE</t>
  </si>
  <si>
    <t>RACAO FILHOTE CHAMP 900G</t>
  </si>
  <si>
    <t>RACAO FILHOTE FRISKIES 1KG FRANGO</t>
  </si>
  <si>
    <t>RACAO FILHOTE MED/GDE DOG CHOW 1KG CAR/FGO/FRUT/LT</t>
  </si>
  <si>
    <t>RACAO FILHOTE MINI/PE DOG CHOW 1KG CAR/FGO/FRUT/LT</t>
  </si>
  <si>
    <t>RACAO FILHOTE WHISKAS 900G CARNE/LEITE</t>
  </si>
  <si>
    <t>RACAO FILHOTES PEDIGREE 900G CAR/FGO/CER</t>
  </si>
  <si>
    <t>RACAO JELLY ADULTO WHISKAS 85G CARNE</t>
  </si>
  <si>
    <t>RACAO JELLY ADULTO WHISKAS 85G PEIXE</t>
  </si>
  <si>
    <t>RACAO UMIDA ADULT PEDIGREE 100G C/8 CARNE AO MOLHO</t>
  </si>
  <si>
    <t>RACAO UMIDA ADULT PEQ DOG CHOW 100G CARNE AO MOLHO</t>
  </si>
  <si>
    <t>RACAO UMIDA ADULT PEQ DOG CHOW 100G FGO AO MOLHO</t>
  </si>
  <si>
    <t>RACAO UMIDA ADULT PEQ DOG CHOW 100G SALMAO AO MOLH</t>
  </si>
  <si>
    <t>RACAO UMIDA ADULT PEQ PEDIGREE 100G CARNE AO MOLHO</t>
  </si>
  <si>
    <t>RACAO UMIDA ADULT PEQ PEDIGREE 100G CORD AO MOLHO</t>
  </si>
  <si>
    <t>RACAO UMIDA ADULT PEQ PEDIGREE 100G FRANGO AO MOLH</t>
  </si>
  <si>
    <t>RACAO UMIDA ADULTO 7+ PEDIGREE 100G CARNE AO MOLHO</t>
  </si>
  <si>
    <t>RACAO UMIDA ADULTO CAST WHISKAS 85G CARNE AO MOLHO</t>
  </si>
  <si>
    <t>RACAO UMIDA ADULTO CAST WHISKAS 85G PEIXE AO MOLHO</t>
  </si>
  <si>
    <t>RACAO UMIDA ADULTO CESAR 85G CARNE ASSADA</t>
  </si>
  <si>
    <t>RACAO UMIDA ADULTO CESAR 85G CORDEIRO ASSADO</t>
  </si>
  <si>
    <t>RACAO UMIDA ADULTO CESAR 85G FILE MIGNON</t>
  </si>
  <si>
    <t>RACAO UMIDA ADULTO CESAR 85G FRANGO MARINADO</t>
  </si>
  <si>
    <t>RACAO UMIDA ADULTO CHAMP 85G CARNE</t>
  </si>
  <si>
    <t>RACAO UMIDA ADULTO CHAMP 85G FRANGO</t>
  </si>
  <si>
    <t>RACAO UMIDA ADULTO DOG CHOW 100G CARNE AO MOLHO</t>
  </si>
  <si>
    <t>RACAO UMIDA ADULTO DOG CHOW 100G CORD AO MOLHO</t>
  </si>
  <si>
    <t>RACAO UMIDA ADULTO DOG CHOW 100G FGO AO MOLHO</t>
  </si>
  <si>
    <t>RACAO UMIDA ADULTO FRISKIES 85G ATUM AO MOLHO</t>
  </si>
  <si>
    <t>RACAO UMIDA ADULTO FRISKIES 85G CARNE AO MOLHO</t>
  </si>
  <si>
    <t>RACAO UMIDA ADULTO FRISKIES 85G CORD AO MOLHO</t>
  </si>
  <si>
    <t>RACAO UMIDA ADULTO FRISKIES 85G FRANGO AO MOLHO</t>
  </si>
  <si>
    <t>RACAO UMIDA ADULTO FRISKIES 85G PEIXE BCO MOLHO</t>
  </si>
  <si>
    <t>RACAO UMIDA ADULTO FRISKIES 85G PERU AO MOLHO</t>
  </si>
  <si>
    <t>RACAO UMIDA ADULTO FRISKIES 85G SALMAO AO MOLHO</t>
  </si>
  <si>
    <t>RACAO UMIDA ADULTO KITEKAT 70G CARNE AO MOLHO</t>
  </si>
  <si>
    <t>RACAO UMIDA ADULTO KITEKAT 70G CORD AO MOLHO</t>
  </si>
  <si>
    <t>RACAO UMIDA ADULTO KITEKAT 70G FRANGO AO MOLHO</t>
  </si>
  <si>
    <t>RACAO UMIDA ADULTO KITEKAT 70G PEIXE AO MOLHO</t>
  </si>
  <si>
    <t>RACAO UMIDA ADULTO PEDIGREE 100G CARNE AO MOLHO</t>
  </si>
  <si>
    <t>RACAO UMIDA ADULTO PEDIGREE 100G FRANGO AO MOLHO</t>
  </si>
  <si>
    <t>RACAO UMIDA ADULTO PEDIGREE 85G CARNE/FRANGO</t>
  </si>
  <si>
    <t>RACAO UMIDA ADULTO PEDIGREE 85G PORCO/CARNE</t>
  </si>
  <si>
    <t>RACAO UMIDA ADULTO SHEBA 85G ATUM MARINADO</t>
  </si>
  <si>
    <t>RACAO UMIDA ADULTO SHEBA 85G CARNE AO MOLHO</t>
  </si>
  <si>
    <t>RACAO UMIDA ADULTO SHEBA 85G FRANGO ASSADO</t>
  </si>
  <si>
    <t>RACAO UMIDA ADULTO SHEBA 85G SALMAO AO MOLHO</t>
  </si>
  <si>
    <t>RACAO UMIDA ADULTO WHISKAS 85G ATUM AO MOLHO</t>
  </si>
  <si>
    <t>RACAO UMIDA ADULTO WHISKAS 85G CARNE AO MOLHO</t>
  </si>
  <si>
    <t>RACAO UMIDA ADULTO WHISKAS 85G CORD AO MOLHO</t>
  </si>
  <si>
    <t>RACAO UMIDA ADULTO WHISKAS 85G FRANGO AO MOLHO</t>
  </si>
  <si>
    <t>RACAO UMIDA ADULTO WHISKAS 85G SALMAO AO MOLHO</t>
  </si>
  <si>
    <t>RACAO UMIDA CAT PURINA 85G SUPER NUTRI CARNE</t>
  </si>
  <si>
    <t>RACAO UMIDA DOG PURINA 85G MULTI PROT CAR/FG/COR</t>
  </si>
  <si>
    <t>RACAO UMIDA FILHOTE CHAMP 85G FRANGO</t>
  </si>
  <si>
    <t>RACAO UMIDA FILHOTE DOG CHOW 100G CARNE AO MOLHO</t>
  </si>
  <si>
    <t>RACAO UMIDA FILHOTE DOG CHOW 100G FRANGO AO MOLHO</t>
  </si>
  <si>
    <t>RACAO UMIDA FILHOTE FRISKIES 85G CARNE AO MOLHO</t>
  </si>
  <si>
    <t>RACAO UMIDA FILHOTE PEDIGREE 100G CARNE AO MOLHO</t>
  </si>
  <si>
    <t>RACAO UMIDA FILHOTE PEDIGREE 100G FRANGO AO MOLHO</t>
  </si>
  <si>
    <t>RACAO UMIDA FILHOTE SHEBA 85G ATUM MARINADO</t>
  </si>
  <si>
    <t>RACAO UMIDA FILHOTE SHEBA 85G CARNE AO MOLHO</t>
  </si>
  <si>
    <t>RACAO UMIDA FILHOTE WHISKAS 85G CARNE AO MOLHO</t>
  </si>
  <si>
    <t>RACAO UMIDA FILHOTE WHISKAS 85G FRANGO AO MOLHO</t>
  </si>
  <si>
    <t>RAHAT DOCES SAQUINHOS 500G</t>
  </si>
  <si>
    <t>REAX LIMPA PEDRAS 1L</t>
  </si>
  <si>
    <t>REFIL ESC DENT ELETRICA COLGATE PHILIPS C/2UN</t>
  </si>
  <si>
    <t>REFRES LEAO GUARANA 300ML ACAI</t>
  </si>
  <si>
    <t>REFRES PO CLIGHT 8G ABACAXI</t>
  </si>
  <si>
    <t>REFRES PO CLIGHT 8G LARANJA</t>
  </si>
  <si>
    <t>REFRES PO CLIGHT 8G LIMONADA</t>
  </si>
  <si>
    <t>REFRES PO CLIGHT 8G MARACUJA</t>
  </si>
  <si>
    <t>REFRES PO CLIGHT 8G MORANGO</t>
  </si>
  <si>
    <t>REFRES PO CLIGHT 8G UVA</t>
  </si>
  <si>
    <t>REFRES PO MID 20G ABACAXI</t>
  </si>
  <si>
    <t>REFRES PO MID 20G BAUNILHA C/LIMA</t>
  </si>
  <si>
    <t>REFRES PO MID 20G CAJU</t>
  </si>
  <si>
    <t>REFRES PO MID 20G GOIABA</t>
  </si>
  <si>
    <t>REFRES PO MID 20G GRAVIOLA</t>
  </si>
  <si>
    <t>REFRES PO MID 20G GUARANA</t>
  </si>
  <si>
    <t>REFRES PO MID 20G JABUTICABA</t>
  </si>
  <si>
    <t>REFRES PO MID 20G LARANJA</t>
  </si>
  <si>
    <t>REFRES PO MID 20G LIMAO</t>
  </si>
  <si>
    <t>REFRES PO MID 20G MANGA</t>
  </si>
  <si>
    <t>REFRES PO MID 20G MARACUJA</t>
  </si>
  <si>
    <t>REFRES PO MID 20G MORANGO</t>
  </si>
  <si>
    <t>REFRES PO MID 20G TANGERINA</t>
  </si>
  <si>
    <t>REFRES PO MID 20G UVA</t>
  </si>
  <si>
    <t>REFRES PO MID ZERO 10G LARANJA</t>
  </si>
  <si>
    <t>REFRES PO MID ZERO 10G TANGERINA</t>
  </si>
  <si>
    <t>REFRES PO MID ZERO 8G LIMAO</t>
  </si>
  <si>
    <t>REFRES PO MID ZERO 8G MANGA</t>
  </si>
  <si>
    <t>REFRES PO MID ZERO 8G MARACUJA</t>
  </si>
  <si>
    <t>REFRES PO MID ZERO 8G UVA</t>
  </si>
  <si>
    <t>REFRES PO TANG 18G ABACAXI</t>
  </si>
  <si>
    <t>REFRES PO TANG 18G GOIABA</t>
  </si>
  <si>
    <t>REFRES PO TANG 18G GUARANA</t>
  </si>
  <si>
    <t>REFRES PO TANG 18G LARANJA</t>
  </si>
  <si>
    <t>REFRES PO TANG 18G LARANJA DOCINHA</t>
  </si>
  <si>
    <t>REFRES PO TANG 18G LARANJA/MAMAO</t>
  </si>
  <si>
    <t>REFRES PO TANG 18G LIMAO</t>
  </si>
  <si>
    <t>REFRES PO TANG 18G MANGA</t>
  </si>
  <si>
    <t>REFRES PO TANG 18G MARACUJA</t>
  </si>
  <si>
    <t>REFRES PO TANG 18G MORANGO</t>
  </si>
  <si>
    <t>REFRES PO TANG 18G TANGERINA</t>
  </si>
  <si>
    <t>REFRES PO TANG 18G UVA</t>
  </si>
  <si>
    <t>REFRES PO TANG 18G UVA INTENSA</t>
  </si>
  <si>
    <t>REFRES PO YOKI 35G UVA</t>
  </si>
  <si>
    <t>REFRESCO PORORO 235ML BLUEBERRY</t>
  </si>
  <si>
    <t>REFRESCO PORORO 235ML MACA VERDE</t>
  </si>
  <si>
    <t>REFRESCO PORORO 235ML MORANGO</t>
  </si>
  <si>
    <t>REFRI COCA COLA 1,5L</t>
  </si>
  <si>
    <t>REFRI COCA COLA 1L</t>
  </si>
  <si>
    <t>REFRI COCA COLA 2L</t>
  </si>
  <si>
    <t>REFRI COCA COLA 310ML</t>
  </si>
  <si>
    <t>REFRI COCA COLA 310ML S/ACUCAR</t>
  </si>
  <si>
    <t>REFRI COCA COLA 350ML</t>
  </si>
  <si>
    <t>REFRI COCA COLA 600ML</t>
  </si>
  <si>
    <t>REFRI COCA COLA LT 350ML C/6</t>
  </si>
  <si>
    <t>REFRI COCA COLA LT SLEEK 220ML</t>
  </si>
  <si>
    <t>REFRI COCA COLA PET 200ML</t>
  </si>
  <si>
    <t>REFRI COCA COLA RETOR 1L</t>
  </si>
  <si>
    <t>REFRI COCA COLA RETOR 2L</t>
  </si>
  <si>
    <t>REFRI COCA COLA RETOR ZERO 2L</t>
  </si>
  <si>
    <t>REFRI COCA COLA VD 250ML</t>
  </si>
  <si>
    <t>REFRI COCA COLA ZERO 1,5L</t>
  </si>
  <si>
    <t>REFRI COCA COLA ZERO 1L</t>
  </si>
  <si>
    <t>REFRI COCA COLA ZERO 2L</t>
  </si>
  <si>
    <t>REFRI COCA COLA ZERO 350ML</t>
  </si>
  <si>
    <t>REFRI COCA COLA ZERO 600ML</t>
  </si>
  <si>
    <t>REFRI COCA COLA ZERO LT 350ML C/6</t>
  </si>
  <si>
    <t>REFRI COCA COLA ZERO LT SLEEK 220ML</t>
  </si>
  <si>
    <t>REFRI COCA COLA ZERO PET 200ML</t>
  </si>
  <si>
    <t>REFRI COCA COLA ZERO VD 250ML</t>
  </si>
  <si>
    <t>REFRI FANTA 2L GUARANA</t>
  </si>
  <si>
    <t>REFRI FANTA 2L LARANJA</t>
  </si>
  <si>
    <t>REFRI FANTA 350ML GUARANA</t>
  </si>
  <si>
    <t>REFRI FANTA 600ML LARANJA</t>
  </si>
  <si>
    <t>REFRI FANTA LT SLEEK 220ML GUARANA</t>
  </si>
  <si>
    <t>REFRI FANTA LT SLEEK 220ML LARANJA</t>
  </si>
  <si>
    <t>REFRI FANTA LTA 350ML LARANJA</t>
  </si>
  <si>
    <t>REFRI FANTA LTA 350ML MARACUJA</t>
  </si>
  <si>
    <t>REFRI FANTA LTA 350ML UVA</t>
  </si>
  <si>
    <t>REFRI FANTA LTA SLEEK 220ML UVA</t>
  </si>
  <si>
    <t>REFRI FANTA RETORNAVEL 2L GUARANA</t>
  </si>
  <si>
    <t>REFRI FANTA RETORNAVEL 2L LARANJA</t>
  </si>
  <si>
    <t>REFRI FANTA RETORNAVEL 2L UVA</t>
  </si>
  <si>
    <t>REFRI FANTA UVA 2L</t>
  </si>
  <si>
    <t>REFRI FANTA ZERO 350ML GUARANA</t>
  </si>
  <si>
    <t>REFRI FANTA ZERO LTA 350ML LARANJA</t>
  </si>
  <si>
    <t>REFRI FYS 350ML LT GUARANA GUARANA</t>
  </si>
  <si>
    <t>REFRI FYS 350ML LT LARANJA LARANJA</t>
  </si>
  <si>
    <t>REFRI GUARANA ANTARCTICA 1,5L</t>
  </si>
  <si>
    <t>REFRI GUARANA ANTARCTICA 1,5L ZERO</t>
  </si>
  <si>
    <t>REFRI GUARANA ANTARCTICA 200ML</t>
  </si>
  <si>
    <t>REFRI GUARANA ANTARCTICA 200ML Z/AC</t>
  </si>
  <si>
    <t>REFRI GUARANA ANTARCTICA 2L</t>
  </si>
  <si>
    <t>REFRI GUARANA ANTARCTICA 2L DIET</t>
  </si>
  <si>
    <t>REFRI GUARANA ANTARCTICA 350ML</t>
  </si>
  <si>
    <t>REFRI GUARANA ANTARCTICA 600ML</t>
  </si>
  <si>
    <t>REFRI GUARANA KUAT 2L</t>
  </si>
  <si>
    <t>REFRI GUARANA KUAT 350ML</t>
  </si>
  <si>
    <t>REFRI ITUBAINA 350ML TUTTI FRUT</t>
  </si>
  <si>
    <t>REFRI ITUBAINA 355ML TUTTI FRUT</t>
  </si>
  <si>
    <t>REFRI KUAT LTA SLEEK 220ML</t>
  </si>
  <si>
    <t>REFRI NATURAL WEWI 255ML Z/ACU COLA</t>
  </si>
  <si>
    <t>REFRI NATURAL WEWI 255ML Z/ACUCAR GUARANA</t>
  </si>
  <si>
    <t>REFRI NATURAL WEWI 350ML LT Z/AC GUARANA</t>
  </si>
  <si>
    <t>REFRI NUTRITION &amp; TASTE 350ML AMEIXA</t>
  </si>
  <si>
    <t>REFRI NUTRITION &amp; TASTE 350ML LIMA</t>
  </si>
  <si>
    <t>REFRI NUTRITION &amp; TASTE 350ML MELANCIA</t>
  </si>
  <si>
    <t>REFRI NUTRITION &amp; TASTE 350ML MELAO</t>
  </si>
  <si>
    <t>REFRI ORGANICO WEWI 255ML GUARANA</t>
  </si>
  <si>
    <t>REFRI ORGANICO WEWI 255ML LARANJA</t>
  </si>
  <si>
    <t>REFRI ORGANICO WEWI 350ML LT COLA</t>
  </si>
  <si>
    <t>REFRI ORGANICO WEWI 350ML LT GUARANA</t>
  </si>
  <si>
    <t>REFRI PEPSI BLACK 1,5L Z/ACUCAR</t>
  </si>
  <si>
    <t>REFRI PEPSI BLACK 200ML Z/ACUCAR</t>
  </si>
  <si>
    <t>REFRI PEPSI BLACK 2L Z/ACUCAR</t>
  </si>
  <si>
    <t>REFRI PEPSI COLA 1,5L</t>
  </si>
  <si>
    <t>REFRI PEPSI COLA 2L</t>
  </si>
  <si>
    <t>REFRI PEPSI COLA 350ML</t>
  </si>
  <si>
    <t>REFRI PEPSI COLA 600ML</t>
  </si>
  <si>
    <t>REFRI PEPSI TWIST 2L</t>
  </si>
  <si>
    <t>REFRI PEPSI TWIST 350ML C/LIMAO</t>
  </si>
  <si>
    <t>REFRI PEPSI ZERO 350ML</t>
  </si>
  <si>
    <t>REFRI SCHWEPPES CITRUS 1,5L S/ACUCAR</t>
  </si>
  <si>
    <t>REFRI SCHWEPPES CITRUS 250ML</t>
  </si>
  <si>
    <t>REFRI SCHWEPPES CITRUS 350ML REC ORIGINAL</t>
  </si>
  <si>
    <t>REFRI SCHWEPPES CITRUS 350ML S/ACU</t>
  </si>
  <si>
    <t>REFRI SCHWEPPES CLUB SODA 350ML</t>
  </si>
  <si>
    <t>REFRI SCHWEPPES LT 220ML GINGER</t>
  </si>
  <si>
    <t>REFRI SCHWEPPES ORIGINAL 1,5L</t>
  </si>
  <si>
    <t>REFRI SODA 200ML</t>
  </si>
  <si>
    <t>REFRI SODA ANTARCTICA 2L</t>
  </si>
  <si>
    <t>REFRI SODA ANTARCTICA 350ML</t>
  </si>
  <si>
    <t>REFRI SODA ANTARCTICA DIET 2L</t>
  </si>
  <si>
    <t>REFRI SODA ANTARCTICA DIET 350ML</t>
  </si>
  <si>
    <t>REFRI SPRITE 2L ORIGINAL</t>
  </si>
  <si>
    <t>REFRI SPRITE 350ML ORIGINAL</t>
  </si>
  <si>
    <t>REFRI SPRITE 510ML LIMAO</t>
  </si>
  <si>
    <t>REFRI SPRITE 600ML ORIGINAL</t>
  </si>
  <si>
    <t>REFRI SPRITE FRESH 1,5L</t>
  </si>
  <si>
    <t>REFRI SPRITE LTA SLEEK CAN 220ML</t>
  </si>
  <si>
    <t>REFRI SPRITE S/ACUCAR 350ML</t>
  </si>
  <si>
    <t>REFRI SUKITA 200ML LARANJA</t>
  </si>
  <si>
    <t>REFRI SUKITA 200ML UVA</t>
  </si>
  <si>
    <t>REFRI SUKITA 2L LARANJA</t>
  </si>
  <si>
    <t>REFRI SUKITA 2L LIMAO</t>
  </si>
  <si>
    <t>REFRI SUKITA 2L UVA</t>
  </si>
  <si>
    <t>REFRI SUKITA 350ML LARANJA</t>
  </si>
  <si>
    <t>REFRI SUKITA 600ML LARANJA</t>
  </si>
  <si>
    <t>RELISH DE PEPINO STRUMPF 240G AGRIDOCE</t>
  </si>
  <si>
    <t>REMIX MAE TERRA 25G ACAI</t>
  </si>
  <si>
    <t>REMIX MAE TERRA 25G CACAU</t>
  </si>
  <si>
    <t>REMIX MAE TERRA 25G CASTANHA</t>
  </si>
  <si>
    <t>REMIX MAE TERRA 25G SEMENTES</t>
  </si>
  <si>
    <t>REMOVEDOR DE ESMALTE ZULU 90ML ERVA DOCE</t>
  </si>
  <si>
    <t>REMOVEDOR DE ESMALTE ZULU 90ML FASHION</t>
  </si>
  <si>
    <t>REMOVEDOR DE ESMALTE ZULU 90ML SEDUCTION</t>
  </si>
  <si>
    <t>REMOVEDOR MULTISSUPERFICIES ZULU 900ML</t>
  </si>
  <si>
    <t>REMOVEDOR ZULU 450ML CLEAN</t>
  </si>
  <si>
    <t>REMOVEDOR ZULU 450ML PERF</t>
  </si>
  <si>
    <t>REMOVEDOR ZULU 450ML TRADICIONAL</t>
  </si>
  <si>
    <t>REMOVEDOR ZULU 900ML CLEAN</t>
  </si>
  <si>
    <t>REMOVEDOR ZULU 900ML PERF</t>
  </si>
  <si>
    <t>REMOVEDOR ZULU 900ML TRADICIONAL</t>
  </si>
  <si>
    <t>REMOVEDOR ZUMBI 1L TRADICIONAL</t>
  </si>
  <si>
    <t>REMOVEDOR ZUMBI 500ML TRADICIONAL</t>
  </si>
  <si>
    <t>REPELENTE BEBE JOHNSONS 200ML</t>
  </si>
  <si>
    <t>REPELENTE ELETR REPELEX 40ML 30 NOITES</t>
  </si>
  <si>
    <t>REPELENTE ELETR SBP 35ML 3UN PROMO</t>
  </si>
  <si>
    <t>REPELENTE REPELEX 100ML FAMILY CARE</t>
  </si>
  <si>
    <t>REPELENTE REPELEX 200ML LOCAO SUAVE</t>
  </si>
  <si>
    <t>REPELENTE REPELEX FAMILY CARE AER 200ML</t>
  </si>
  <si>
    <t>REPELENTE REPELEX LOCAO 200ML PROMO</t>
  </si>
  <si>
    <t>REPELENTE REPELEX SPRAY 100ML SUAVE</t>
  </si>
  <si>
    <t>REPELENTE SBP 100ML ADVANCE SPRAY</t>
  </si>
  <si>
    <t>REPELENTE SBP 100ML BABY</t>
  </si>
  <si>
    <t>REPOLHO ROXO CONSERVA HENGSTENBERG 680G C/MAÇA</t>
  </si>
  <si>
    <t>RISOTO ITA INVERNI AGLI 175G ASPARAGI</t>
  </si>
  <si>
    <t>RODO BRILHUS MEDIO</t>
  </si>
  <si>
    <t>RODO CONDOR 30CM</t>
  </si>
  <si>
    <t>RODO CONDOR 40CM</t>
  </si>
  <si>
    <t>RODO CONDOR MULTIUSO</t>
  </si>
  <si>
    <t>RODO CONDOR SIMPLES 30CM</t>
  </si>
  <si>
    <t>RODO CONDOR SIMPLES 40CM</t>
  </si>
  <si>
    <t>RODO DE PIA ESFREBOM</t>
  </si>
  <si>
    <t>RODO NOVICA MAXIMA ADERENCIA M 45CM</t>
  </si>
  <si>
    <t>RODO NOVICA PLUS M 40CM</t>
  </si>
  <si>
    <t>RODO NOVICA PLUS P 30CM</t>
  </si>
  <si>
    <t>ROLINHO PRIMAVERA LONG WAY 185G QUEIJO</t>
  </si>
  <si>
    <t>ROLINHO PRIMAVERA LONG WAY 225G BAN C/CHOC</t>
  </si>
  <si>
    <t>ROLINHO PRIMAVERA LONG WAY 225G LEG</t>
  </si>
  <si>
    <t>ROLO ADESIVO TIRA PELOS NOVICA</t>
  </si>
  <si>
    <t>ROSQUINHA INT JASMINE 120G AVEIA/MEL</t>
  </si>
  <si>
    <t>ROSQUINHA INT JASMINE 120G BAN/MAC</t>
  </si>
  <si>
    <t>ROSQUINHA JASMINE DIET 120G COCO</t>
  </si>
  <si>
    <t>ROSQUINHA PANCO 500G CHOCOLATE</t>
  </si>
  <si>
    <t>ROSQUINHA PANCO 500G COCO</t>
  </si>
  <si>
    <t>ROSQUINHA PANCO 500G LEITE</t>
  </si>
  <si>
    <t>ROSQUINHA PANCO 500G MILHO VERDE</t>
  </si>
  <si>
    <t>ROSQUINHA PANCO 500G NATA</t>
  </si>
  <si>
    <t>ROSQUINHA SAPPORO 150G C/AMENDOIM</t>
  </si>
  <si>
    <t>ROSQUINHA SAPPORO 150G C/COCO</t>
  </si>
  <si>
    <t>ROSQUINHA SAPPORO 150G C/GERGELIM</t>
  </si>
  <si>
    <t>ROSQUINHA SAPPORO 250G CHOC C/ AMENDOIM</t>
  </si>
  <si>
    <t>ROSQUINHA SAPPORO POTE 250G AMENDOIM</t>
  </si>
  <si>
    <t>ROSQUINHA SAPPORO POTE 250G COCO</t>
  </si>
  <si>
    <t>ROSQUINHA SAPPORO POTE 250G GERGELIM</t>
  </si>
  <si>
    <t>ROSQUINHA SCHAR 200G C/MEL</t>
  </si>
  <si>
    <t>ROSQUINHA SUAVIPAN 30G LIGHT CHOCOLATE</t>
  </si>
  <si>
    <t>ROSQUINHA SUAVIPAN 30G LIGHT COCO</t>
  </si>
  <si>
    <t>ROUPA INT PLENITUD PROTECT C/16 G/XG</t>
  </si>
  <si>
    <t>ROUPA INT PLENITUD PROTECT P/M C/16 LV+PG-</t>
  </si>
  <si>
    <t>SAB ACTION YPE 85G CARVAO DETOX</t>
  </si>
  <si>
    <t>SAB ACTION YPE 85G LIMP PROFUNDA</t>
  </si>
  <si>
    <t>SAB DOVE 135G HIDRAT PROFUNDA</t>
  </si>
  <si>
    <t>SAB DOVE 135G KARITE/BAUNILHA</t>
  </si>
  <si>
    <t xml:space="preserve">SAB DOVE 90G ANTIBAC CUIDA/PROTEGE </t>
  </si>
  <si>
    <t>SAB DOVE 90G C/6 LV+ PG- CUIDA/PROT</t>
  </si>
  <si>
    <t>SAB DOVE 90G C/6 LV+ PG- ERVA DOCE</t>
  </si>
  <si>
    <t>SAB DOVE 90G C/6 LV+ PG- KARITE</t>
  </si>
  <si>
    <t>SAB DOVE 90G C/6 LV+ PG- ORIGINAL</t>
  </si>
  <si>
    <t>SAB DOVE 90G C/6 PELE SENSIVEL</t>
  </si>
  <si>
    <t>SAB DOVE 90G ERVA DOCE/CAMOM</t>
  </si>
  <si>
    <t>SAB DOVE 90G ESFOLIAC DIARIA</t>
  </si>
  <si>
    <t>SAB DOVE 90G KARITE</t>
  </si>
  <si>
    <t>SAB DOVE 90G LTE COCO/JASMIN</t>
  </si>
  <si>
    <t>SAB DOVE 90G MICELAR ANTI-STRESS</t>
  </si>
  <si>
    <t>SAB DOVE 90G ORIGINAL</t>
  </si>
  <si>
    <t>SAB DOVE 90G PELE SENSIVEL</t>
  </si>
  <si>
    <t>SAB DOVE 90G REVIGORANTE</t>
  </si>
  <si>
    <t>SAB DOVE BABY 75G HID BALANCEADA</t>
  </si>
  <si>
    <t>SAB DOVE BABY 75G HID ENRIQUECIDA</t>
  </si>
  <si>
    <t>SAB DOVE VERAO 90G CHA VERDE/LIRIO</t>
  </si>
  <si>
    <t>SAB DOVE VERAO 90G FRUT VERM/TANG</t>
  </si>
  <si>
    <t>SAB FACIAL GEL NEUTROGENA 150G DEEP CLEAN</t>
  </si>
  <si>
    <t>SAB FACIAL GEL NEUTROGENA 150G PURIFIED SKIN</t>
  </si>
  <si>
    <t>SAB FACIAL GEL NIVEA 145G PELE MISTA/OLEOSA</t>
  </si>
  <si>
    <t>SAB FACIAL GEL NIVEA MICELAR 150ML AGUA ROSAS</t>
  </si>
  <si>
    <t>SAB FACIAL NEUTROGENA 80G DEEP CLEAN</t>
  </si>
  <si>
    <t>SAB FLOR DE YPE 85G ROSAS BRANCAS</t>
  </si>
  <si>
    <t>SAB FRANCIS 90G CEREJ ORIENT</t>
  </si>
  <si>
    <t>SAB FRANCIS 90G JASMIM NILO</t>
  </si>
  <si>
    <t>SAB FRANCIS 90G LARANJA</t>
  </si>
  <si>
    <t>SAB FRANCIS 90G LAVANDA GRASSE</t>
  </si>
  <si>
    <t>SAB FRANCIS 90G ORQUIDEAS BALI</t>
  </si>
  <si>
    <t>SAB FRANCIS 90G ROSAS VERSAILLE</t>
  </si>
  <si>
    <t>SAB GIORNO BAGNO 100G C/3 LAV/VANIL</t>
  </si>
  <si>
    <t>SAB GIORNO BAGNO 180G FLOR GENGIBRE</t>
  </si>
  <si>
    <t>SAB GIORNO BAGNO 180G FLOR LARAN/VETI</t>
  </si>
  <si>
    <t>SAB GIORNO BAGNO 180G LAVANDA/VANILLA</t>
  </si>
  <si>
    <t>SAB GIORNO BAGNO 180G ROSA BULGARIA</t>
  </si>
  <si>
    <t>SAB GIORNO UOMO 180G VERDE</t>
  </si>
  <si>
    <t>SAB GLIC GRANADO BEBE 90G TRAD</t>
  </si>
  <si>
    <t>SAB GRANADO 100G COCO</t>
  </si>
  <si>
    <t>SAB GRANADO BEBE 90G CAMOMILA</t>
  </si>
  <si>
    <t>SAB GRANADO BEBE 90G GLICERINA LAVANDA</t>
  </si>
  <si>
    <t>SAB GRANADO GLICERINA 90G ERVA DOCE</t>
  </si>
  <si>
    <t>SAB GRANADO GLICERINA 90G HORTELA</t>
  </si>
  <si>
    <t>SAB GRANADO GLICERINA 90G ROSA</t>
  </si>
  <si>
    <t>SAB GRANADO GLICERINA 90G TRADICIONAL</t>
  </si>
  <si>
    <t>SAB GRANADO TERRAPEUTICS 90G CALENDULA</t>
  </si>
  <si>
    <t>SAB GRANADO TERRAPEUTICS 90G CASTANHA BRASIL</t>
  </si>
  <si>
    <t>SAB GRANADO TERRAPEUTICS 90G LAVANDA</t>
  </si>
  <si>
    <t>SAB INT PROTEX 85G DELICATE CARE</t>
  </si>
  <si>
    <t>SAB INT PROTEX 85G FRESH</t>
  </si>
  <si>
    <t>SAB JOHNSONS BABY 80G GLICERINA</t>
  </si>
  <si>
    <t>SAB JOHNSONS BABY 80G HORA DO SONO</t>
  </si>
  <si>
    <t>SAB JOHNSONS BABY 80G PELE DELICADA</t>
  </si>
  <si>
    <t>SAB LIQ DOVE 200ML RF CUIDA PROTEGE</t>
  </si>
  <si>
    <t>SAB LIQ DOVE 200ML RF PELE SENSIVEL</t>
  </si>
  <si>
    <t>SAB LIQ DOVE 250ML ANTIBAC CUIDA PROTEGE</t>
  </si>
  <si>
    <t>SAB LIQ DOVE 250ML MICELAR ANTI-STRESS</t>
  </si>
  <si>
    <t>SAB LIQ DOVE 250ML PELE SENSIVEL</t>
  </si>
  <si>
    <t>SAB LIQ DOVE BABY 180ML RF HID ENRIQUECIDA</t>
  </si>
  <si>
    <t>SAB LIQ DOVE BABY 180ML RF HID GLICERINADO</t>
  </si>
  <si>
    <t>SAB LIQ DOVE BABY 180ML RF HID RELAXANTE</t>
  </si>
  <si>
    <t>SAB LIQ DOVE BABY 180ML RF HID SENSIVEL</t>
  </si>
  <si>
    <t>SAB LIQ DOVE BABY 200ML GLICERINADO</t>
  </si>
  <si>
    <t>SAB LIQ DOVE BABY 200ML HID ENRIQUECIDA</t>
  </si>
  <si>
    <t>SAB LIQ DOVE BABY 400ML HID ENRIQUECIDA</t>
  </si>
  <si>
    <t>SAB LIQ DOVE BABY 400ML HID GLICERINADO</t>
  </si>
  <si>
    <t>SAB LIQ DOVE BABY 400ML RF HID GLICERINADA</t>
  </si>
  <si>
    <t>SAB LIQ DOVE BABY 400ML RF HID RELAXANTE</t>
  </si>
  <si>
    <t>SAB LIQ DOVE CREM 200ML RF KARITE</t>
  </si>
  <si>
    <t>SAB LIQ DOVE CREM 200ML RF NUTRI PROFUNDA</t>
  </si>
  <si>
    <t>SAB LIQ DOVE CREM 250ML NUTRI PROFUNDA</t>
  </si>
  <si>
    <t>SAB LIQ DOVE DELICIOUS CARE 250ML COCO/JASMIN</t>
  </si>
  <si>
    <t>SAB LIQ DOVE DELICIOUS CARE 250ML KARITE/BAUNILHA</t>
  </si>
  <si>
    <t>SAB LIQ FACIAL NEUTROGENA 150G DEEP CLEAN</t>
  </si>
  <si>
    <t>SAB LIQ FLOR DE YPE 200ML RF MACA/FRAMB</t>
  </si>
  <si>
    <t>SAB LIQ FLOR DE YPE 200ML RF ROSAS/AVELA</t>
  </si>
  <si>
    <t>SAB LIQ GIORNO 350ML BAMBOO</t>
  </si>
  <si>
    <t>SAB LIQ GIORNO 350ML FLOR LARANJEIRA</t>
  </si>
  <si>
    <t>SAB LIQ GIORNO 350ML LAVANDA</t>
  </si>
  <si>
    <t>SAB LIQ GRANADO 250ML GLICERINA BASE VEGETAL</t>
  </si>
  <si>
    <t>SAB LIQ GRANADO 250ML GLICERINA ERVA DOCE</t>
  </si>
  <si>
    <t>SAB LIQ GRANADO 250ML GLICERINA LAVANDA</t>
  </si>
  <si>
    <t>SAB LIQ GRANADO 300ML RF CALENDULA</t>
  </si>
  <si>
    <t>SAB LIQ GRANADO BEBE 250ML CAMOMILA</t>
  </si>
  <si>
    <t>SAB LIQ GRANADO BEBE 250ML RF CALENDULA</t>
  </si>
  <si>
    <t>SAB LIQ GRANADO BEBE 250ML RF CAMOMILA</t>
  </si>
  <si>
    <t>SAB LIQ GRANADO BEBE 250ML RF GLICERINA</t>
  </si>
  <si>
    <t>SAB LIQ GRANADO BEBE 250ML RF LAVANDA</t>
  </si>
  <si>
    <t>SAB LIQ GRANADO BEBE 500ML CAMOMILA</t>
  </si>
  <si>
    <t>SAB LIQ GRANADO BEBE 500ML LAVANDA</t>
  </si>
  <si>
    <t>SAB LIQ GRANADO BEBE 500ML TRAD</t>
  </si>
  <si>
    <t>SAB LIQ GRANADO GLICERINA 300ML ERVA DOCE</t>
  </si>
  <si>
    <t>SAB LIQ GRANADO GLICERINA 300ML HORTELA</t>
  </si>
  <si>
    <t>SAB LIQ GRANADO GLICERINA 300ML RF ERVA DOCE</t>
  </si>
  <si>
    <t>SAB LIQ GRANADO GLICERINA 300ML RF HORTELA</t>
  </si>
  <si>
    <t>SAB LIQ GRANADO GLICERINA 300ML RF ROSA</t>
  </si>
  <si>
    <t>SAB LIQ GRANADO GLICERINA 300ML ROSA</t>
  </si>
  <si>
    <t>SAB LIQ GRANADO GLICERINA 300ML TRADICIONAL</t>
  </si>
  <si>
    <t>SAB LIQ GRANADO TERRAPEUTICS 300ML CALENDULA</t>
  </si>
  <si>
    <t>SAB LIQ GRANADO TERRAPEUTICS 300ML CASTANHA BRASIL</t>
  </si>
  <si>
    <t>SAB LIQ GRANADO TERRAPEUTICS 300ML GENGIBRE</t>
  </si>
  <si>
    <t>SAB LIQ GRANADO TERRAPEUTICS 300ML LAVANDA</t>
  </si>
  <si>
    <t>SAB LIQ GRANADO TERRAPEUTICS 300ML RF CASTAN</t>
  </si>
  <si>
    <t>SAB LIQ GRANADO TERRAPEUTICS 300ML RF LAVAND</t>
  </si>
  <si>
    <t>SAB LIQ INT NIVEA 250ML SUAVE C/CAMOMILA</t>
  </si>
  <si>
    <t>SAB LIQ INT NIVEA 250ML SUAVE FRESH</t>
  </si>
  <si>
    <t>SAB LIQ INT PROTEX 200ML DELIC CARE C/2</t>
  </si>
  <si>
    <t>SAB LIQ INT PROTEX 200ML DELICATE CARE</t>
  </si>
  <si>
    <t>SAB LIQ INT PROTEX 200ML SOFT FLORAL</t>
  </si>
  <si>
    <t>SAB LIQ INT PROTEX 40ML DELICATE</t>
  </si>
  <si>
    <t>SAB LIQ JOHNSONS 200ML RECEM NASCIDO</t>
  </si>
  <si>
    <t>SAB LIQ JOHNSONS BABY 180ML RF GLIC/CAMOMILA</t>
  </si>
  <si>
    <t>SAB LIQ JOHNSONS BABY 180ML RF GLIC/LAVANDA</t>
  </si>
  <si>
    <t>SAB LIQ JOHNSONS BABY 180ML RF GLICERINA</t>
  </si>
  <si>
    <t>SAB LIQ JOHNSONS BABY 180ML RF HORA DO SONO</t>
  </si>
  <si>
    <t>SAB LIQ JOHNSONS BABY 200ML GLIC/CAMOMILA</t>
  </si>
  <si>
    <t>SAB LIQ JOHNSONS BABY 200ML GLIC/LAVANDA</t>
  </si>
  <si>
    <t>SAB LIQ JOHNSONS BABY 200ML GLICERINA</t>
  </si>
  <si>
    <t>SAB LIQ JOHNSONS BABY 200ML HORA DO SONO</t>
  </si>
  <si>
    <t>SAB LIQ JOHNSONS BABY 380ML RF GLICERINA</t>
  </si>
  <si>
    <t>SAB LIQ JOHNSONS BABY 400ML GLIC/CAMOMILA</t>
  </si>
  <si>
    <t>SAB LIQ JOHNSONS BABY 400ML GLIC/LAVANDA</t>
  </si>
  <si>
    <t>SAB LIQ JOHNSONS BABY 400ML GLICERINA</t>
  </si>
  <si>
    <t>SAB LIQ JOHNSONS BABY 400ML HORA DO SONO</t>
  </si>
  <si>
    <t>SAB LIQ JOHNSONS KIDS 200ML LIMP PODEROSA</t>
  </si>
  <si>
    <t>SAB LIQ JOHNSONS KIDS 400ML LIMP PODEROSA</t>
  </si>
  <si>
    <t>SAB LIQ LOVE BEATUY PLANET 300ML ENERGIZING DTX</t>
  </si>
  <si>
    <t>SAB LIQ LOVE BEATUY PLANET 300ML TROP HYDRATION</t>
  </si>
  <si>
    <t>SAB LIQ LUX 200ML RF BUQUE DE JASMIM</t>
  </si>
  <si>
    <t>SAB LIQ LUX 200ML RF GARD/OLEO AMEND</t>
  </si>
  <si>
    <t>SAB LIQ LUX 200ML RF LAVANDA</t>
  </si>
  <si>
    <t>SAB LIQ LUX 200ML RF ORQUIDEA NEGRA</t>
  </si>
  <si>
    <t>SAB LIQ LUX 250ML BUQUE DE JASMIM</t>
  </si>
  <si>
    <t>SAB LIQ LUX 250ML GARD/OLEO AMEND</t>
  </si>
  <si>
    <t>SAB LIQ LUX 250ML LAVANDA</t>
  </si>
  <si>
    <t>SAB LIQ LUX 250ML ORQUIDEA NEGRA</t>
  </si>
  <si>
    <t>SAB LIQ LUX 250ML ROSAS FRANCESAS</t>
  </si>
  <si>
    <t>SAB LIQ LUX 300ML BROMELIA</t>
  </si>
  <si>
    <t>SAB LIQ LUX 300ML DAMA DA NOITE</t>
  </si>
  <si>
    <t>SAB LIQ LUX 300ML FLOR CAJUEIRO</t>
  </si>
  <si>
    <t>SAB LIQ LUX 300ML VITORIA REGIA</t>
  </si>
  <si>
    <t>SAB LIQ LUX 900ML RF BUQUE DE JASMIM</t>
  </si>
  <si>
    <t>SAB LIQ LUX 900ML RF ROSAS FRANCESAS</t>
  </si>
  <si>
    <t>SAB LIQ MAOS DOVE 500ML RF NUTRICAO PROFUNDA</t>
  </si>
  <si>
    <t>SAB LIQ MAOS LUX 1L FLOR CEREJ</t>
  </si>
  <si>
    <t>SAB LIQ MAOS LUX 240ML RF BROMELIA</t>
  </si>
  <si>
    <t>SAB LIQ MAOS LUX 240ML RF DAMA DA NOITE</t>
  </si>
  <si>
    <t>SAB LIQ MAOS LUX 240ML RF VITORIA REGIA</t>
  </si>
  <si>
    <t>SAB LIQ MAOS LUX 300ML BROMELIA</t>
  </si>
  <si>
    <t>SAB LIQ MAOS LUX 300ML DAMA DA NOITE</t>
  </si>
  <si>
    <t>SAB LIQ MAOS LUX 300ML FLOR CAJUEIRO</t>
  </si>
  <si>
    <t>SAB LIQ MAOS LUX 300ML VITORIA REGIA</t>
  </si>
  <si>
    <t>SAB LIQ MAOS LUX 500ML CAPIM LIMAO</t>
  </si>
  <si>
    <t>SAB LIQ MAOS LUX 500ML ERVA DOCE</t>
  </si>
  <si>
    <t>SAB LIQ MAOS LUX 500ML FLOR CEREJ</t>
  </si>
  <si>
    <t>SAB LIQ MAOS LUX 500ML RF LV+ PG - CAP LIM/FRANGIP</t>
  </si>
  <si>
    <t>SAB LIQ MAOS LUX 500ML RF LV+ PG - ERVA DOCE</t>
  </si>
  <si>
    <t>SAB LIQ MAOS LUX 500ML RF LV+ PG - FLOR CEREJEIRA</t>
  </si>
  <si>
    <t>SAB LIQ MAOS PALMOLIVE 900ML RF SUAVID DELICADA</t>
  </si>
  <si>
    <t>SAB LIQ MAOS PROTEX 220ML LIMP PROFUNDA</t>
  </si>
  <si>
    <t>SAB LIQ MAOS PROTEX 220ML NUTRI PROTECT</t>
  </si>
  <si>
    <t>SAB LIQ MAOS PROTEX 230ML ANTIBAC HIDRATACAO</t>
  </si>
  <si>
    <t>SAB LIQ MAOS PROTEX 230ML ANTIBAC REGENERACAO</t>
  </si>
  <si>
    <t>SAB LIQ MAOS PROTEX 900ML ANTIBAC DUO PROTECT</t>
  </si>
  <si>
    <t>SAB LIQ MAOS PROTEX 900ML ANTIBAC NUTRI PROTECT</t>
  </si>
  <si>
    <t>SAB LIQ MAOS REXONA 250ML ANTIBAC LIMP PROFUNDA</t>
  </si>
  <si>
    <t>SAB LIQ MAOS REXONA 500ML ANTIBAC ERVA DOCE</t>
  </si>
  <si>
    <t>SAB LIQ MAOS REXONA 500ML ANTIBAC LIMP PROFUNDA</t>
  </si>
  <si>
    <t>SAB LIQ MAOS REXONA 500ML ANTIBAC MULTIVITAMINA</t>
  </si>
  <si>
    <t>SAB LIQ MAOS REXONA 500ML ANTIBAC ROSAS</t>
  </si>
  <si>
    <t>SAB LIQ MAOS REXONA 500ML RF ANTIBA LIMP PROFUNDA</t>
  </si>
  <si>
    <t>SAB LIQ NIVEA 250ML ERVA DOCE</t>
  </si>
  <si>
    <t>SAB LIQ NIVEA RF 200ML CREME CARE</t>
  </si>
  <si>
    <t>SAB LIQ NIVEA RF 200ML CREME SOFT</t>
  </si>
  <si>
    <t>SAB LIQ NIVEA RF 200ML ERVA DOCE</t>
  </si>
  <si>
    <t>SAB LIQ PALMOLIVE 200ML RF CAMELIA</t>
  </si>
  <si>
    <t>SAB LIQ PALMOLIVE 200ML RF JASMIN</t>
  </si>
  <si>
    <t>SAB LIQ PALMOLIVE 200ML RF KIDS MINIONS</t>
  </si>
  <si>
    <t>SAB LIQ PALMOLIVE 250ML LUMINOUS ABACATE E IRIS</t>
  </si>
  <si>
    <t>SAB LIQ PALMOLIVE 250ML LUMINOUS FIGO E ORQUIDEA</t>
  </si>
  <si>
    <t>SAB LIQ PALMOLIVE 250ML OLEO NUTRITIVO</t>
  </si>
  <si>
    <t>SAB LIQ PALMOLIVE 250ML SEGREDO SEDUTOR</t>
  </si>
  <si>
    <t>SAB LIQ PALMOLIVE 500ML NUTRIMILK RF LV+ PG-</t>
  </si>
  <si>
    <t>SAB LIQ PALMOLIVE 500ML RF NATURALS CAMELIA</t>
  </si>
  <si>
    <t>SAB LIQ PALMOLIVE 650ML NUTRIMILK</t>
  </si>
  <si>
    <t>SAB LIQ PALMOLIVE 650ML OLEO NUTRITIVO</t>
  </si>
  <si>
    <t>SAB LIQ PALMOLIVE KIDS 220ML</t>
  </si>
  <si>
    <t>SAB LIQ PALMOLIVE NUTRIMILK 250ML HIDRATANTE</t>
  </si>
  <si>
    <t>SAB LIQ PALMOLIVE NUTRIMILK 250ML NUTRITIVO</t>
  </si>
  <si>
    <t>SAB LIQ PALMOLIVE NUTRIMILK 900ML HID PROLONGADA</t>
  </si>
  <si>
    <t>SAB LIQ PALMOLIVE RF 200ML NUTRIMILK HIDRA</t>
  </si>
  <si>
    <t>SAB LIQ PAMPERS 200ML GLICERINA</t>
  </si>
  <si>
    <t>SAB LIQ PAMPERS 350ML GLICERINA REFIL</t>
  </si>
  <si>
    <t>SAB LIQ PAMPERS 400ML GLICERINA</t>
  </si>
  <si>
    <t>SAB LIQ PHEBO 320ML LIMA DA PERSIA</t>
  </si>
  <si>
    <t>SAB LIQ PHEBO 320ML ODOR DE ROSAS</t>
  </si>
  <si>
    <t>SAB LIQ PHEBO 320ML TOQUE LAVANDA</t>
  </si>
  <si>
    <t>SAB LIQ PROTEX 250ML AVEIA</t>
  </si>
  <si>
    <t>SAB LIQ PROTEX 250ML CARVAO DETOX</t>
  </si>
  <si>
    <t>SAB LIQ PROTEX 250ML CREAM</t>
  </si>
  <si>
    <t>SAB LIQ PROTEX 250ML ERVA DOCE</t>
  </si>
  <si>
    <t>SAB LIQ PROTEX 250ML LIMP PROFUNDA</t>
  </si>
  <si>
    <t>SAB LIQ PROTEX 250ML MEN SPORTS</t>
  </si>
  <si>
    <t>SAB LIQ PROTEX 250ML VITAMINA E</t>
  </si>
  <si>
    <t>SAB LIQ PROTEX 400ML DUO PROTECT</t>
  </si>
  <si>
    <t>SAB LIQ PROTEX 400ML ERVA DOCE</t>
  </si>
  <si>
    <t>SAB LIQ PROTEX 500ML RF VITAMINA E</t>
  </si>
  <si>
    <t>SAB LIQ PROTEX 650ML CREAM</t>
  </si>
  <si>
    <t>SAB LIQ PROTEX 650ML VITAMINA E</t>
  </si>
  <si>
    <t>SAB LIQ PROTEX BABY 180ML RF GLICERINA</t>
  </si>
  <si>
    <t>SAB LIQ PROTEX BABY 180ML RF LAVANDA</t>
  </si>
  <si>
    <t>SAB LIQ PROTEX BABY 180ML RF PROT DELICADA</t>
  </si>
  <si>
    <t>SAB LIQ PROTEX BABY 200ML GLICERINADO</t>
  </si>
  <si>
    <t>SAB LIQ PROTEX BABY 200ML LAVANDA</t>
  </si>
  <si>
    <t>SAB LIQ PROTEX BABY 200ML PROT DELICADA</t>
  </si>
  <si>
    <t>SAB LIQ PROTEX BABY 380ML RF GLICERINADO</t>
  </si>
  <si>
    <t>SAB LIQ PROTEX BABY 380ML RF LAVANDA</t>
  </si>
  <si>
    <t>SAB LIQ PROTEX BABY 380ML RF PROT DELICADA</t>
  </si>
  <si>
    <t>SAB LIQ PROTEX BABY 400ML GLICERINADO</t>
  </si>
  <si>
    <t>SAB LIQ PROTEX BABY 400ML LAVANDA</t>
  </si>
  <si>
    <t>SAB LIQ PROTEX BABY 400ML PROT DELICADA</t>
  </si>
  <si>
    <t>SAB LIQ PROTEX BABY 800ML RF GLICERINA</t>
  </si>
  <si>
    <t>SAB LIQ PROTEX INTIMO 140ML RF DELICATE CARE</t>
  </si>
  <si>
    <t>SAB LIQ PROTEX INTIMUS DELIC CARE 200ML PROMO</t>
  </si>
  <si>
    <t>SAB LIQ PROTEX INTIMUS SOFT FLORAL 200ML PROMO</t>
  </si>
  <si>
    <t>SAB LIQ PROTEX RF 200ML ERVA DOCE</t>
  </si>
  <si>
    <t>SAB LIQ PROTEX RF 200ML VITAMINA E</t>
  </si>
  <si>
    <t>SAB LIQ REXONA 1L RF ANTIBAC ERVA DOCE</t>
  </si>
  <si>
    <t>SAB LIQ REXONA 1L RF ANTIBAC LIMP PROFUNDA</t>
  </si>
  <si>
    <t>SAB LIQ REXONA 200ML RF ANTIBAC ERVA DOCE</t>
  </si>
  <si>
    <t>SAB LIQ REXONA 200ML RF ANTIBAC FRESH</t>
  </si>
  <si>
    <t>SAB LIQ REXONA 200ML RF ANTIBAC LIMP PROFUNDA</t>
  </si>
  <si>
    <t>SAB LIQ REXONA 200ML RF ANTIBAC MULTIVITAMINAS</t>
  </si>
  <si>
    <t>SAB LIQ REXONA 250ML ANTIBAC ERVA DOCE</t>
  </si>
  <si>
    <t>SAB LIQ REXONA 250ML ANTIBAC FRESH</t>
  </si>
  <si>
    <t>SAB LIQ REXONA 250ML ANTIBAC LIMP PROFUNDA</t>
  </si>
  <si>
    <t>SAB LIQ REXONA 250ML ANTIBAC MULTIVITAMINAS</t>
  </si>
  <si>
    <t>SAB LIQ REXONA 250ML ANTIBAC ROSAS</t>
  </si>
  <si>
    <t>SAB LIQ VEGETAL GRANADO 300ML RF TRADICIONAL</t>
  </si>
  <si>
    <t>SAB LIQ VEGETAL PHEBO 320ML RF LIMA DA PERSIA</t>
  </si>
  <si>
    <t>SAB LIQ VEGETAL PHEBO 320ML RF ODOR DE ROSAS</t>
  </si>
  <si>
    <t>SAB LUX 100G BROMELIA</t>
  </si>
  <si>
    <t>SAB LUX 100G DAMA DA NOITE</t>
  </si>
  <si>
    <t>SAB LUX 100G FLOR CAJUEIRO</t>
  </si>
  <si>
    <t>SAB LUX 100G VITORIA REGIA</t>
  </si>
  <si>
    <t>SAB LUX 85G BUQUE DE JASMIM</t>
  </si>
  <si>
    <t>SAB LUX 85G C/6 LV+ PG- BUQUE DE JASMIM</t>
  </si>
  <si>
    <t>SAB LUX 85G C/6 LV+ PG- ROSAS FRANCESAS</t>
  </si>
  <si>
    <t>SAB LUX 85G CAPIM LIMAO</t>
  </si>
  <si>
    <t>SAB LUX 85G FLOR DE LOTUS</t>
  </si>
  <si>
    <t>SAB LUX 85G FLOR DE VERBENA</t>
  </si>
  <si>
    <t>SAB LUX 85G GARD/OLEO AMEND</t>
  </si>
  <si>
    <t>SAB LUX 85G LAVANDA</t>
  </si>
  <si>
    <t>SAB LUX 85G LIRIO AZUL</t>
  </si>
  <si>
    <t>SAB LUX 85G ORQUIDEA NEGRA</t>
  </si>
  <si>
    <t>SAB LUX 85G ROSAS FRANCESAS</t>
  </si>
  <si>
    <t>SAB LUX ROSAS FRANCESAS 125G</t>
  </si>
  <si>
    <t>SAB NIVEA 90G HIDR CREME CARE</t>
  </si>
  <si>
    <t>SAB NIVEA HIDRAT 85G ANTIBACTERIANO</t>
  </si>
  <si>
    <t>SAB NIVEA HIDRAT 85G AVEIA</t>
  </si>
  <si>
    <t>SAB NIVEA HIDRAT 85G ERVA DOCE/OLEOS</t>
  </si>
  <si>
    <t>SAB NIVEA HIDRAT 85G LAVANDA/OLEOS</t>
  </si>
  <si>
    <t>SAB NIVEA HIDRAT 85G ORQUIDEAS</t>
  </si>
  <si>
    <t>SAB NIVEA HIDRAT 85G PROT LEITE</t>
  </si>
  <si>
    <t>SAB NIVEA HIDRAT 85G TOQUE BAUNILHA</t>
  </si>
  <si>
    <t>SAB PALMOLIVE 150G ALOE OLIVIA</t>
  </si>
  <si>
    <t>SAB PALMOLIVE 150G ESFO DELIC</t>
  </si>
  <si>
    <t>SAB PALMOLIVE 150G FRESCOR NUTRIT</t>
  </si>
  <si>
    <t>SAB PALMOLIVE 150G HID REFRESCANTE</t>
  </si>
  <si>
    <t>SAB PALMOLIVE 150G HIDRAT INTENSA</t>
  </si>
  <si>
    <t>SAB PALMOLIVE 150G HIDRAT PERFUM</t>
  </si>
  <si>
    <t>SAB PALMOLIVE 150G OLEO NUTRITIVO</t>
  </si>
  <si>
    <t>SAB PALMOLIVE 150G PURIFC CARVAO</t>
  </si>
  <si>
    <t>SAB PALMOLIVE 150G SENS PUR ARGILA</t>
  </si>
  <si>
    <t>SAB PALMOLIVE 150G SENSAÇAO LUMIN</t>
  </si>
  <si>
    <t>SAB PALMOLIVE 150G TURMALINA</t>
  </si>
  <si>
    <t>SAB PALMOLIVE 85G ALOE E OLIVA</t>
  </si>
  <si>
    <t>SAB PALMOLIVE 85G C/6 MELANCIA/LICHIA</t>
  </si>
  <si>
    <t>SAB PALMOLIVE 85G C/6 SENS PUR ARGILA</t>
  </si>
  <si>
    <t>SAB PALMOLIVE 85G C/6 TANG/ALECRIM</t>
  </si>
  <si>
    <t>SAB PALMOLIVE 85G ESFO DELIC</t>
  </si>
  <si>
    <t>SAB PALMOLIVE 85G FRESCOR NUTRIT</t>
  </si>
  <si>
    <t>SAB PALMOLIVE 85G GELEIA REAL PRO</t>
  </si>
  <si>
    <t>SAB PALMOLIVE 85G HID REFRESCANTE</t>
  </si>
  <si>
    <t>SAB PALMOLIVE 85G HIDRA INTENSIVA</t>
  </si>
  <si>
    <t>SAB PALMOLIVE 85G HIDRA INTENSIVA LEV + PAG- SEDU</t>
  </si>
  <si>
    <t>SAB PALMOLIVE 85G HIDRA INTENSIVA LEVE + PAGUE -</t>
  </si>
  <si>
    <t>SAB PALMOLIVE 85G HIDRAT PERF</t>
  </si>
  <si>
    <t>SAB PALMOLIVE 85G KIDS</t>
  </si>
  <si>
    <t>SAB PALMOLIVE 85G OLEO ARGAN</t>
  </si>
  <si>
    <t>SAB PALMOLIVE 85G OLEO NUTRITIVO</t>
  </si>
  <si>
    <t>SAB PALMOLIVE 85G SEGREDO SEDUT</t>
  </si>
  <si>
    <t>SAB PALMOLIVE 85G SENS PUR ARGILA</t>
  </si>
  <si>
    <t>SAB PALMOLIVE 85G SENS PUR CARVAO</t>
  </si>
  <si>
    <t>SAB PALMOLIVE NUTRIMILK HIDRAT 85G C/4UN LV+ PG-</t>
  </si>
  <si>
    <t>SAB PHEBO 100G ALFAZEMA PROVEN</t>
  </si>
  <si>
    <t>SAB PHEBO 100G GERANIO BOURBON</t>
  </si>
  <si>
    <t>SAB PHEBO 100G LIMAO SICILIANO</t>
  </si>
  <si>
    <t>SAB PHEBO 100G NECTARINA ANDAL</t>
  </si>
  <si>
    <t>SAB PHEBO 90G AMAZONIAN</t>
  </si>
  <si>
    <t>SAB PHEBO 90G NATURELLE</t>
  </si>
  <si>
    <t>SAB PHEBO 90G ODOR DAS ROSAS</t>
  </si>
  <si>
    <t>SAB PHEBO 90G TOQ LAVANDA</t>
  </si>
  <si>
    <t>SAB PROTEX 85G AVEIA</t>
  </si>
  <si>
    <t>SAB PROTEX 85G BALANCE SAUD</t>
  </si>
  <si>
    <t>SAB PROTEX 85G CARVAO DETOX</t>
  </si>
  <si>
    <t>SAB PROTEX 85G COMPLETE 12</t>
  </si>
  <si>
    <t>SAB PROTEX 85G CREAM</t>
  </si>
  <si>
    <t>SAB PROTEX 85G DUO PROTECT</t>
  </si>
  <si>
    <t>SAB PROTEX 85G ERVA DOCE</t>
  </si>
  <si>
    <t>SAB PROTEX 85G FRESH</t>
  </si>
  <si>
    <t>SAB PROTEX 85G LEVE + PAGUE - ACTIVE SPORTS</t>
  </si>
  <si>
    <t>SAB PROTEX 85G LEVE + PAGUE - AVEIA</t>
  </si>
  <si>
    <t>SAB PROTEX 85G LEVE + PAGUE - BALANCE SAUDAVE</t>
  </si>
  <si>
    <t>SAB PROTEX 85G LEVE + PAGUE - CARVAO DETOX</t>
  </si>
  <si>
    <t>SAB PROTEX 85G LEVE + PAGUE - FRESH</t>
  </si>
  <si>
    <t>SAB PROTEX 85G LEVE + PAGUE - LIMPEZA PROFUND</t>
  </si>
  <si>
    <t>SAB PROTEX 85G LEVE + PAGUE - MACADAMIA</t>
  </si>
  <si>
    <t>SAB PROTEX 85G LEVE + PAGUE - VITAMINA E</t>
  </si>
  <si>
    <t>SAB PROTEX 85G LIMP PROFUNDA</t>
  </si>
  <si>
    <t>SAB PROTEX 85G MACADAMIA</t>
  </si>
  <si>
    <t>SAB PROTEX 85G MEN SPORTS</t>
  </si>
  <si>
    <t>SAB PROTEX 85G OMEGA 3</t>
  </si>
  <si>
    <t>SAB PROTEX 85G SUAVE</t>
  </si>
  <si>
    <t>SAB PROTEX 85G VITAMINA E</t>
  </si>
  <si>
    <t>SAB PROTEX BABY 85G GLICERINA</t>
  </si>
  <si>
    <t>SAB PROTEX BABY 85G PROTECAO DELICA</t>
  </si>
  <si>
    <t>SAB REXONA 84G AGUA DE ROSAS</t>
  </si>
  <si>
    <t>SAB REXONA 84G ANTIBAC ERVA DOCE</t>
  </si>
  <si>
    <t>SAB REXONA 84G ANTIBAC FRESH</t>
  </si>
  <si>
    <t>SAB REXONA 84G ANTIBAC FRUT VERMELHAS</t>
  </si>
  <si>
    <t>SAB REXONA 84G ANTIBAC MULTIVITAMINAS</t>
  </si>
  <si>
    <t>SAB REXONA 84G BAMBOO &amp; ALOE</t>
  </si>
  <si>
    <t>SAB REXONA 84G C/6 ANTIBAC LIMPEZA PROFUNDA</t>
  </si>
  <si>
    <t>SAB REXONA 84G C/6 ANTIBAC MULTIVITAMINAS</t>
  </si>
  <si>
    <t>SAB REXONA 84G LIMP PROF</t>
  </si>
  <si>
    <t>SAB REXONA 84G MEN LIMP PROF</t>
  </si>
  <si>
    <t>SAB VEGETAL FLOR DE YPE 85G ALECRIM</t>
  </si>
  <si>
    <t>SABAO BARRA MINUANO 180G GLICERINADO</t>
  </si>
  <si>
    <t>SABAO BARRA MINUANO 180G TIRA MANCHAS</t>
  </si>
  <si>
    <t>SABAO BARRA MINUANO 180G TOQUE AMACIANTE</t>
  </si>
  <si>
    <t>SABAO BARRA MINUANO 1KG COCO</t>
  </si>
  <si>
    <t>SABAO BARRA MINUANO 900G BRANQUEADOR</t>
  </si>
  <si>
    <t>SABAO BARRA MINUANO 900G DESENGORDURANTE</t>
  </si>
  <si>
    <t>SABAO BARRA MINUANO 900G GLICERINADO</t>
  </si>
  <si>
    <t>SABAO BARRA MINUANO 900G TIRA MANCHAS</t>
  </si>
  <si>
    <t>SABAO BARRA UFE COCO 180G</t>
  </si>
  <si>
    <t>SABAO BARRA UFE COCO 450G</t>
  </si>
  <si>
    <t>SABAO BARRA UFE COCO 900G</t>
  </si>
  <si>
    <t>SABAO BARRA URCA 450G COCO</t>
  </si>
  <si>
    <t>SABAO BARRA URCA COCO 180G</t>
  </si>
  <si>
    <t>SABAO BARRA YPE 180G ALOE VERA</t>
  </si>
  <si>
    <t>SABAO BARRA YPE 180G COCO</t>
  </si>
  <si>
    <t>SABAO BARRA YPE 180G FRESH</t>
  </si>
  <si>
    <t>SABAO BARRA YPE 180G NATURAL</t>
  </si>
  <si>
    <t>SABAO BARRA YPE 180G NEUTRO</t>
  </si>
  <si>
    <t>SABAO BARRA YPE 200G MULTIATIVO</t>
  </si>
  <si>
    <t>SABAO BARRA YPE 900G ALOE VERA</t>
  </si>
  <si>
    <t>SABAO BARRA YPE 900G COCO</t>
  </si>
  <si>
    <t>SABAO BARRA YPE 900G FLORES/FRUTA</t>
  </si>
  <si>
    <t>SABAO BARRA YPE 900G FRESH</t>
  </si>
  <si>
    <t>SABAO BARRA YPE 900G MULTIATIVO</t>
  </si>
  <si>
    <t>SABAO BARRA YPE 900G NEUTRO</t>
  </si>
  <si>
    <t>SABAO PASTA ASSOLAN 500G NEUTRO</t>
  </si>
  <si>
    <t>SABAO PASTA UFE 500G COCO</t>
  </si>
  <si>
    <t>SABAO PASTA URCA 200G TRADICIONAL</t>
  </si>
  <si>
    <t>SABAO PASTA URCA 500G TRADICIONAL</t>
  </si>
  <si>
    <t>SABAO PASTA URCA COCO 3 EM 1 500G</t>
  </si>
  <si>
    <t>SACHE PERFUMADO GIORNO 15G ALECRIM</t>
  </si>
  <si>
    <t>SACHE PERFUMADO GIORNO 15G BABY</t>
  </si>
  <si>
    <t>SACHE PERFUMADO GIORNO 15G FLOR BAUNILHA</t>
  </si>
  <si>
    <t>SACHE PERFUMADO GIORNO 15G FLOR LARANJEIRA</t>
  </si>
  <si>
    <t>SACHE PERFUMADO GIORNO 15G ROUPA LAVADA</t>
  </si>
  <si>
    <t>SACO JUTA 16X40CM</t>
  </si>
  <si>
    <t>SACO P/FREEZER EMBA FREEZER 3L C/100</t>
  </si>
  <si>
    <t>SACO P/FREEZER EMBA FREZER 2L 100UN</t>
  </si>
  <si>
    <t>SACO P/LIXO DE BANHEIRO LEAL C/20</t>
  </si>
  <si>
    <t>SACO P/LIXO EMBALIXO 100L C/25</t>
  </si>
  <si>
    <t>SACO P/LIXO EMBALIXO 110L C/25</t>
  </si>
  <si>
    <t>SACO P/LIXO EMBALIXO 15L C/100</t>
  </si>
  <si>
    <t>SACO P/LIXO EMBALIXO 15L C/60 PRETO</t>
  </si>
  <si>
    <t>SACO P/LIXO EMBALIXO 30L C/30 PRETO</t>
  </si>
  <si>
    <t>SACO P/LIXO EMBALIXO 30L C/50</t>
  </si>
  <si>
    <t>SACO P/LIXO EMBALIXO 50L C/30</t>
  </si>
  <si>
    <t>SACO P/LIXO EMBALIXO 50L C/50</t>
  </si>
  <si>
    <t>SACO P/LIXO EMBALIXO C/30 30L PRETO</t>
  </si>
  <si>
    <t>SACO P/LIXO EMBALIXO C/30 50L PRETO</t>
  </si>
  <si>
    <t>SACO P/LIXO EMBALIXO PET C/30</t>
  </si>
  <si>
    <t>SACO P/LIXO EMBALIXO PIA/BANH C/100 LAVANDA</t>
  </si>
  <si>
    <t>SACO P/LIXO EMBALIXO PIA/BANH C/100 ORIGINAL</t>
  </si>
  <si>
    <t>SACO P/LIXO EMBALIXO PRETO 100L C/15</t>
  </si>
  <si>
    <t>SACO P/LIXO EMBALIXO PROMO 50L C/50</t>
  </si>
  <si>
    <t>SACO P/LIXO EMBALIXO VEICULOS C/10</t>
  </si>
  <si>
    <t>SACO P/LIXO LEAL 100L</t>
  </si>
  <si>
    <t>SACO P/LIXO LEAL 100L EX FORTE</t>
  </si>
  <si>
    <t>SACO P/LIXO LEAL 15L</t>
  </si>
  <si>
    <t>SACO P/LIXO LEAL 30L</t>
  </si>
  <si>
    <t>SACO P/LIXO LEAL 50L</t>
  </si>
  <si>
    <t>SACO P/LIXO LEAL 50ML EX FORTE</t>
  </si>
  <si>
    <t>SACO P/LIXO LEAL PIA</t>
  </si>
  <si>
    <t>SACO P/LIXO LEAL PIA/BANH C/60</t>
  </si>
  <si>
    <t>SACO P/LIXO ROLO LEAL BANHEIRO C/60</t>
  </si>
  <si>
    <t>SACO P/LIXO ROLO LEAL C/15 100L AZUL</t>
  </si>
  <si>
    <t>SACO P/LIXO ROLO LEAL C/15 100L PRETO</t>
  </si>
  <si>
    <t>SACO P/LIXO ROLO LEAL C/15 30L</t>
  </si>
  <si>
    <t>SACO P/LIXO ROLO LEAL C/15 50L</t>
  </si>
  <si>
    <t>SACO P/LIXO ROLO LEAL C/30 15L</t>
  </si>
  <si>
    <t>SACO P/LIXO ROLO LEAL C/30 30L</t>
  </si>
  <si>
    <t>SACO P/LIXO ROLO LEAL C/30 30L AZUL</t>
  </si>
  <si>
    <t>SACO P/LIXO ROLO LEAL C/30 50L AZUL</t>
  </si>
  <si>
    <t>SACO P/LIXO ROLO LEAL C/30 50L PRETO</t>
  </si>
  <si>
    <t>SACO P/LIXO ROLO LEAL C/50 15L AZUL</t>
  </si>
  <si>
    <t>SACO P/LIXO ROLO LEAL C/60 15L</t>
  </si>
  <si>
    <t>SACO P/LIXO ROLO LEAL C/60 15L AZUL</t>
  </si>
  <si>
    <t>SACO P/LIXO ROLO LEAL C/8 100L</t>
  </si>
  <si>
    <t>SACO P/LIXO ROLO LEAL DE PIA C/60</t>
  </si>
  <si>
    <t>SACO POL C/FECH HERMETICO G 8UN</t>
  </si>
  <si>
    <t>SACO WYDA POL C/FECH HERMETICO P 15UN</t>
  </si>
  <si>
    <t>SACOLA DE RAFIA LAMINADA</t>
  </si>
  <si>
    <t>SAGU DR OETKER 250G UVA</t>
  </si>
  <si>
    <t>SAGU YOKI 250G UVA</t>
  </si>
  <si>
    <t>SAGU YOKI 500G MANDIOCA</t>
  </si>
  <si>
    <t>SAKE AZUMA COZINHA 500ML</t>
  </si>
  <si>
    <t>SAKE AZUMA MIRIN 500ML</t>
  </si>
  <si>
    <t>SAKE MIRIN KENKO 500ML</t>
  </si>
  <si>
    <t>SAKE SECO KENKO 500ML</t>
  </si>
  <si>
    <t>SAL AJINOMOTO 100G FRASCO</t>
  </si>
  <si>
    <t>SAL AJINOMOTO 1KG CHURRASCO</t>
  </si>
  <si>
    <t>SAL AJINOMOTO 1KG SACO</t>
  </si>
  <si>
    <t>SAL AJINOMOTO 250G</t>
  </si>
  <si>
    <t>SAL ATACAMA BR SPICES 250G FINO</t>
  </si>
  <si>
    <t>SAL BR SPICES CHURRASCO 1,1KG PARRILLA</t>
  </si>
  <si>
    <t>SAL BR SPICES CHURRASCO 330G CARNE</t>
  </si>
  <si>
    <t>SAL CISNE 100G SALEIRO OVO</t>
  </si>
  <si>
    <t>SAL CISNE 1KG REFINADO</t>
  </si>
  <si>
    <t>SAL CISNE 250G LIGHT MAIS MINERAIS</t>
  </si>
  <si>
    <t>SAL CISNE 250ML LIQUIDO</t>
  </si>
  <si>
    <t>SAL CISNE 500G TRAD SALEIRO COZINHA</t>
  </si>
  <si>
    <t>SAL CISNE LIGHT 500G</t>
  </si>
  <si>
    <t>SAL DO ATACAMA FINO BR SPICES SALT SELECTION 100G</t>
  </si>
  <si>
    <t>SAL GROSSO AJINOMOTO 500G CHURRASCO</t>
  </si>
  <si>
    <t>SAL GROSSO AJINOMOTO 500G PARRILLA</t>
  </si>
  <si>
    <t>SAL GROSSO CISNE 1KG CHURRASCO</t>
  </si>
  <si>
    <t>SAL GROSSO DGOIAS 500G CHIMICHURRI</t>
  </si>
  <si>
    <t>SAL GROSSO LEBRE 1KG CHURRASCO</t>
  </si>
  <si>
    <t>SAL LEBRE 1KG REFINADO</t>
  </si>
  <si>
    <t>SAL MARINHO BR SPICES 300G TRAD</t>
  </si>
  <si>
    <t>SAL MARINHO BR SPICES 500G INT FINO</t>
  </si>
  <si>
    <t>SAL MARINHO JASMINE 1KG</t>
  </si>
  <si>
    <t>SAL MARINHO MALDON 125G DEFUMADO</t>
  </si>
  <si>
    <t>SAL MARINHO MALDON 250G</t>
  </si>
  <si>
    <t>SAL MARINHO VITAO 1KG</t>
  </si>
  <si>
    <t>SAL PARRILLA BR SPICES 300G CHIMICHURRI</t>
  </si>
  <si>
    <t>SAL PARRILLA BR SPICES 300G VINAGRETE</t>
  </si>
  <si>
    <t>SAL PARRILLA BR SPICES 370G ALHO</t>
  </si>
  <si>
    <t>SAL PARRILLA BR SPICES 500G CLASSIC</t>
  </si>
  <si>
    <t>SAL PARRILLA GOURMET BOMBAY 500G</t>
  </si>
  <si>
    <t>SAL ROSA FINO BOMBAY 500G</t>
  </si>
  <si>
    <t>SAL ROSA HIMALAIA BR SPICES 500G FINO</t>
  </si>
  <si>
    <t>SAL ROSA HIMALAIA ESP E SAB 100G</t>
  </si>
  <si>
    <t>SAL ROSA HIMALAIA FINO EMPORIO NUTS 500G</t>
  </si>
  <si>
    <t>SAL ROSA HIMALAIA GROSSO EMPORIO NUTS 500G</t>
  </si>
  <si>
    <t>SAL TEMP BR SPICES CHURRASCO 350G SALSA CRIOLLA</t>
  </si>
  <si>
    <t>SAL TEMP BR SPICES CHURRASCO 370G PIMENTA REINO</t>
  </si>
  <si>
    <t>SALADA ATUM GOMES DA COSTA 150G BAT AZEITE</t>
  </si>
  <si>
    <t>SALADA ATUM GOMES DA COSTA 150G BATATA</t>
  </si>
  <si>
    <t>SALADA ATUM GOMES DA COSTA 150G SEL</t>
  </si>
  <si>
    <t>SALADA ATUM MAIONESE GOMES DA COSTA 170G</t>
  </si>
  <si>
    <t>SALG ARROZ OKAKI 100G APIMENTADO</t>
  </si>
  <si>
    <t>SALG ARROZ OKAKI 100G C/ ALGA</t>
  </si>
  <si>
    <t>SALG ARROZ OKAKI 100G NATURAL</t>
  </si>
  <si>
    <t>SALG BACONZITOS 130G</t>
  </si>
  <si>
    <t>SALG BACONZITOS 42G</t>
  </si>
  <si>
    <t>SALG BACONZITOS 86G</t>
  </si>
  <si>
    <t>SALG CEBOLITOS 45G</t>
  </si>
  <si>
    <t>SALG CEBOLITOS 91G</t>
  </si>
  <si>
    <t>SALG CHEETOS 125G BOLA QUEIJO SUICO</t>
  </si>
  <si>
    <t>SALG CHEETOS 131G MIX DE QUEIJOS</t>
  </si>
  <si>
    <t>SALG CHEETOS 143G LUA PARMESAO</t>
  </si>
  <si>
    <t>SALG CHEETOS 160G ONDA REQUEIJAO</t>
  </si>
  <si>
    <t>SALG CHEETOS 270G ONDA REQUEIJAO</t>
  </si>
  <si>
    <t>SALG CHEETOS 33G BOLA QUEIJO SUICO</t>
  </si>
  <si>
    <t>SALG CHEETOS 35G LUA PARMESAO</t>
  </si>
  <si>
    <t>SALG CHEETOS 36G MIX DE QUEIJOS</t>
  </si>
  <si>
    <t>SALG CHEETOS 40G ONDA REQUEIJAO</t>
  </si>
  <si>
    <t>SALG CHEETOS 75G ONDA REQUEIJAO</t>
  </si>
  <si>
    <t>SALG CHEETOS CRUNCHY 48G WHITE CHEDDAR</t>
  </si>
  <si>
    <t>SALG CHEETOS CRUNCHY 78G SUPER CHEDDAR</t>
  </si>
  <si>
    <t>SALG CHEETOS CRUNCHY 78G WHITE CHEDDAR</t>
  </si>
  <si>
    <t>SALG DORITOS 110G KETCHUP</t>
  </si>
  <si>
    <t>SALG DORITOS 110G MOSTARDA</t>
  </si>
  <si>
    <t>SALG DORITOS 120G QUEIJO NACHO</t>
  </si>
  <si>
    <t>SALG DORITOS 120G SWEET CHILI</t>
  </si>
  <si>
    <t>SALG DORITOS 210G QUEIJO NACHO</t>
  </si>
  <si>
    <t>SALG DORITOS 300G QUEIJO NACHO</t>
  </si>
  <si>
    <t>SALG DORITOS 32G QUEIJO NACHO</t>
  </si>
  <si>
    <t>SALG DORITOS 32G SWEET CHILI</t>
  </si>
  <si>
    <t>SALG DORITOS 75G QUEIJO NACHO</t>
  </si>
  <si>
    <t>SALG DORITOS 75G SWEET CHILI</t>
  </si>
  <si>
    <t>SALG DORITOS 78G PIZZA</t>
  </si>
  <si>
    <t>SALG DORITOS DINAMITA 60G FLAMIN HOT</t>
  </si>
  <si>
    <t>SALG DORITOS DINAMITA 60G PIMENT MEXICANA</t>
  </si>
  <si>
    <t>SALG FANDANGOS 160G PRESUNTO</t>
  </si>
  <si>
    <t>SALG FANDANGOS 160G QUEIJO</t>
  </si>
  <si>
    <t>SALG FANDANGOS 270G PRESUNTO</t>
  </si>
  <si>
    <t>SALG FANDANGOS 35G PRESUNTO</t>
  </si>
  <si>
    <t>SALG FANDANGOS 35G QUEIJO</t>
  </si>
  <si>
    <t>SALG FANDANGOS 60G PRESUNTO</t>
  </si>
  <si>
    <t>SALG LAYS 115G CLASSICA</t>
  </si>
  <si>
    <t>SALG LAYS 115G SOUR CREAM</t>
  </si>
  <si>
    <t>SALG LAYS SENSACOES 125G FRANGO GRELHADO</t>
  </si>
  <si>
    <t>SALG LAYS SENSACOES 70G FRANGO GRELHADO</t>
  </si>
  <si>
    <t>SALG LAYS SENSACOES 70G PEITO PERU</t>
  </si>
  <si>
    <t>SALG NONGSHIM 45G BANANA</t>
  </si>
  <si>
    <t>SALG NONGSHIM 50G ANEIS DE CEBOLA</t>
  </si>
  <si>
    <t>SALG NONGSHIM 55G LULA</t>
  </si>
  <si>
    <t>SALG NONGSHIM 60G TAKO CHIPS</t>
  </si>
  <si>
    <t>SALG NONGSHIM 75G CAMARAO</t>
  </si>
  <si>
    <t>SALG NONGSHIM 75G CAMARAO PICANTE</t>
  </si>
  <si>
    <t>SALG NONGSHIM 75G HONEY</t>
  </si>
  <si>
    <t>SALG NONGSHIM 75G SHRIMP CHIPS</t>
  </si>
  <si>
    <t>SALG ORG BIO2 40G CEB/SAL/CURCUMA</t>
  </si>
  <si>
    <t>SALG ORG BIO2 40G ERVAS</t>
  </si>
  <si>
    <t>SALG ORG BIO2 40G LEMON PEPPER</t>
  </si>
  <si>
    <t>SALG ORG BIO2 40G TOM/MANJERICAO</t>
  </si>
  <si>
    <t>SALG ORG MAE TERRA 45G CEBOLA</t>
  </si>
  <si>
    <t>SALG ORG MAE TERRA 45G PITZO</t>
  </si>
  <si>
    <t>SALG ORG ZOORETA 45G QUEIJO</t>
  </si>
  <si>
    <t>SALG PINGO D'OURO 120G PICANHA</t>
  </si>
  <si>
    <t>SALG PINGO D'OURO 160G BACON</t>
  </si>
  <si>
    <t>SALG PINGO D'OURO 30G BACON</t>
  </si>
  <si>
    <t>SALG PINGO D'OURO 55G PICANHA</t>
  </si>
  <si>
    <t>SALG PINGO D'OURO 76G BACON</t>
  </si>
  <si>
    <t>SALG PRINGLES 104G ORIGINAL</t>
  </si>
  <si>
    <t>SALG PRINGLES 105G CHEDDAR/BACON</t>
  </si>
  <si>
    <t>SALG PRINGLES 105G LEMON PEPPER</t>
  </si>
  <si>
    <t>SALG PRINGLES 105G PIZZA CALABRESA</t>
  </si>
  <si>
    <t>SALG PRINGLES 105G PIZZA MARGUERIT</t>
  </si>
  <si>
    <t>SALG PRINGLES 105G PIZZA PORTUG</t>
  </si>
  <si>
    <t>SALG PRINGLES 109G CHURRASCO</t>
  </si>
  <si>
    <t>SALG PRINGLES 109G CREME CEBOLA</t>
  </si>
  <si>
    <t>SALG PRINGLES 109G QUEIJO</t>
  </si>
  <si>
    <t>SALG PRINGLES 141G CREME CEBOLA</t>
  </si>
  <si>
    <t>SALG PRINGLES FREE FIRE 105G COSTELINHA HOT</t>
  </si>
  <si>
    <t>SALG PRINGLES FREE FIRE 105G RANCH FRESH</t>
  </si>
  <si>
    <t>SALG RUFFLES 100G ORIGINAL</t>
  </si>
  <si>
    <t>SALG RUFFLES 115G CEBOLA/SALSA</t>
  </si>
  <si>
    <t>SALG RUFFLES 115G CHURRASCO</t>
  </si>
  <si>
    <t>SALG RUFFLES 115G ORIGINAL</t>
  </si>
  <si>
    <t>SALG RUFFLES 200G CEBOLA/SALSA</t>
  </si>
  <si>
    <t>SALG RUFFLES 200G ORIGINAL</t>
  </si>
  <si>
    <t>SALG RUFFLES 30G OUTBACK STEAKHOUSE</t>
  </si>
  <si>
    <t>SALG RUFFLES 32G CHURRASCO</t>
  </si>
  <si>
    <t>SALG RUFFLES 33G CEBOLA/SALSA</t>
  </si>
  <si>
    <t>SALG RUFFLES 33G ORIGINAL</t>
  </si>
  <si>
    <t>SALG RUFFLES 65G OUTBACK STEAKHOUSE</t>
  </si>
  <si>
    <t>SALG RUFFLES 68G CEBOLA/SALSA</t>
  </si>
  <si>
    <t>SALG RUFFLES 68G CHURRASCO</t>
  </si>
  <si>
    <t>SALG RUFFLES 68G ORIGINAL</t>
  </si>
  <si>
    <t>SALG STIKSY 160G</t>
  </si>
  <si>
    <t>SALG STIKSY 76G</t>
  </si>
  <si>
    <t>SALG TAKIS 56G FUEGO</t>
  </si>
  <si>
    <t>SALG TAKIS 56G HOT CHILLI</t>
  </si>
  <si>
    <t>SALG TAKIS 56G XPLOSION</t>
  </si>
  <si>
    <t>SALG TAKIS 90G FUEGO</t>
  </si>
  <si>
    <t>SALG TAKIS 90G HOT CHILLI</t>
  </si>
  <si>
    <t>SALG TAKIS 90G XPLOSION</t>
  </si>
  <si>
    <t>SALG TORCIDA 100G CEBOLA</t>
  </si>
  <si>
    <t>SALG TORCIDA 100G CHURRASCO</t>
  </si>
  <si>
    <t>SALG TORCIDA 100G PIMENTA MEXICANA</t>
  </si>
  <si>
    <t>SALG TORCIDA 100G QUEIJO</t>
  </si>
  <si>
    <t>SALG TORCIDA 100G VINAGRETE</t>
  </si>
  <si>
    <t>SALG TOSTITOS 110G PIMENT MEXICANA</t>
  </si>
  <si>
    <t>SALG TOSTITOS 110G SAL MARINHO</t>
  </si>
  <si>
    <t>SALG TOSTITOS 260G PIMENT MEXICANA</t>
  </si>
  <si>
    <t>SALG TOSTITOS 260G SAL MARINHO</t>
  </si>
  <si>
    <t>SALSA CEBOLA ALHO ESP E SAB 30G</t>
  </si>
  <si>
    <t>SALSA CEBOLA BACON ESP E SAB 30G</t>
  </si>
  <si>
    <t>SALSA CEBOLA TOMATE ESP E SAB 30G</t>
  </si>
  <si>
    <t>SALSA DESIDRATADA ESP E SAB 15G</t>
  </si>
  <si>
    <t>SALSA KITANO 8G</t>
  </si>
  <si>
    <t>SALSICHA VEG MEICA 200G</t>
  </si>
  <si>
    <t>SALSICHA VEGETAL SUPERBOM 300G LT</t>
  </si>
  <si>
    <t>SALSICHA VIENA 180G BORDON</t>
  </si>
  <si>
    <t>SALVIA ESP E SAB 20G</t>
  </si>
  <si>
    <t>SANIT PO BRILHANTE 1,6KG LIMPEZA TOTAL</t>
  </si>
  <si>
    <t>SANIT PO BRILHANTE 2,2KG LIMP TOTAL</t>
  </si>
  <si>
    <t>SANIT PO BRILHANTE LIMP TOTAL 1,6KG CX PROMO</t>
  </si>
  <si>
    <t>SANIT PO BRILHANTE LIMPEZA TOTAL 1,6KG PROMO</t>
  </si>
  <si>
    <t>SANIT PO SURF 1,6 KG FLOR DE LIZ</t>
  </si>
  <si>
    <t>SANIT PO SURF 800G LIMAO/BICARB</t>
  </si>
  <si>
    <t>SANIT PO SURF 800G ROSAS/FLOR LIZ</t>
  </si>
  <si>
    <t>SAPONACEO CIF 250ML CREM LIMAO</t>
  </si>
  <si>
    <t>SAPONACEO CIF 250ML CREM ORIGINAL</t>
  </si>
  <si>
    <t>SAPONACEO CIF 450ML CREM FLORAL</t>
  </si>
  <si>
    <t>SAPONACEO CIF 450ML CREM LIMAO</t>
  </si>
  <si>
    <t>SAPONACEO CIF 450ML ORIGINAL</t>
  </si>
  <si>
    <t>SAPONACEO CIF LV250ML PG200ML ORIGINAL</t>
  </si>
  <si>
    <t>SAPONACEO CIF LV450 PG360 ORIGINAL</t>
  </si>
  <si>
    <t>SAPONACEO CREMOSO YPE 300ML CITRUS</t>
  </si>
  <si>
    <t>SAPONACEO SAPOLIO RADIUM 250ML 20% CLASSICO</t>
  </si>
  <si>
    <t>SAPONACEO SAPOLIO RADIUM 250ML CREM ANTIBAC</t>
  </si>
  <si>
    <t>SAPONACEO SAPOLIO RADIUM 250ML CREM LIMAO</t>
  </si>
  <si>
    <t>SAPONACEO SAPOLIO RADIUM 250ML LIMPA ALUMINIO</t>
  </si>
  <si>
    <t>SAPONACEO SAPOLIO RADIUM 250ML LIMPA INOX</t>
  </si>
  <si>
    <t>SAPONACEO SAPOLIO RADIUM 300G CLASSICO</t>
  </si>
  <si>
    <t>SAPONACEO SAPOLIO RADIUM 300G LIMAO</t>
  </si>
  <si>
    <t>SAPONACEO SAPOLIO RADIUM 450ML CLASSICO</t>
  </si>
  <si>
    <t>SAPONACEO SAPOLIO RADIUM CREM LAVAN 250ML</t>
  </si>
  <si>
    <t>SAPONACEO SAPOLIO RADIUM PO CLORO 300G</t>
  </si>
  <si>
    <t>SAPONACEO SAPOLIO RADIUM PO LAVANDA 300G</t>
  </si>
  <si>
    <t>SAPONACEO SAPOLIO YPE 300ML LAV</t>
  </si>
  <si>
    <t>SAPONACEO SAPOLIO YPE 300ML ORIG</t>
  </si>
  <si>
    <t>SARD COQUEIRO 125G OLEO</t>
  </si>
  <si>
    <t>SARD GOMES DA COSTA 125G C/ERVAS</t>
  </si>
  <si>
    <t>SARD GOMES DA COSTA 125G C/MOLHO MOQUECA</t>
  </si>
  <si>
    <t>SARD GOMES DA COSTA 125G DEFUMADO</t>
  </si>
  <si>
    <t>SARD GOMES DA COSTA 125G LIMAO</t>
  </si>
  <si>
    <t>SARD GOMES DA COSTA 125G PICANTE</t>
  </si>
  <si>
    <t>SARD GOMES DA COSTA 125G TOMATE</t>
  </si>
  <si>
    <t>SARD GOMES DA COSTA 125G TRADICIONAL</t>
  </si>
  <si>
    <t>SARD GOMES DA COSTA 250G</t>
  </si>
  <si>
    <t>SATIS ALMONDEGAS 60G TRAD</t>
  </si>
  <si>
    <t>SECADOR LIMPOL 100ML ABRILHANTADOR</t>
  </si>
  <si>
    <t>SECANTE CIF ABRILHANTADOR 100ML</t>
  </si>
  <si>
    <t>SECANTE FINISH ABRILHANTADOR 250ML</t>
  </si>
  <si>
    <t>SELETA DE LEGUMES QUERO 170G</t>
  </si>
  <si>
    <t>SELETA KNORR 170G</t>
  </si>
  <si>
    <t>SEMBEI SHIRAYU PAULISTA 65G</t>
  </si>
  <si>
    <t>SEMENTE DE CHIA JASMINE 120G</t>
  </si>
  <si>
    <t>SEMENTE DE GIRASSOL 60G</t>
  </si>
  <si>
    <t>SEMENTE LINHACA DOURADA CAMPO VERDE MOIDA 200G</t>
  </si>
  <si>
    <t>SEMENTE LINHACA DOURADA JASMINE 150G</t>
  </si>
  <si>
    <t>SEMENTE LINHACA DOURADA VITAO 150G</t>
  </si>
  <si>
    <t>SEMENTE LINHACA MARROM VITAO 150G</t>
  </si>
  <si>
    <t>SERUM FACIAL NIVEA 30ML DIA E NOITE</t>
  </si>
  <si>
    <t>SERUM GEL ANTIFRIZZ SEDA BOOM 190ML DEFINICAO FLEX</t>
  </si>
  <si>
    <t>SH CAT SANOL 500ML S/PERFUME</t>
  </si>
  <si>
    <t>SH CLEAR 200ML 2/1 LIMP DIARIA</t>
  </si>
  <si>
    <t>SH CLEAR 200ML ANTI CASPA DTX DIARIO</t>
  </si>
  <si>
    <t>SH CLEAR 200ML ANTI CASPA HIDRAT INTENSA</t>
  </si>
  <si>
    <t>SH CLEAR 200ML ANTIC QUEDA CONTROL</t>
  </si>
  <si>
    <t>SH CLEAR 200ML ANTICOCEIRA</t>
  </si>
  <si>
    <t>SH CLEAR 200ML CONTRO COCEIRA</t>
  </si>
  <si>
    <t>SH CLEAR 200ML LIMP PROFUNDA SPORTS</t>
  </si>
  <si>
    <t>SH CLEAR 400ML ANTICOCEIRA LV+PG-</t>
  </si>
  <si>
    <t>SH CLEAR 400ML DETOX DIARIO LV400ML PG330ML</t>
  </si>
  <si>
    <t>SH CLEAR 400ML HIDRATACAO INTENSA</t>
  </si>
  <si>
    <t>SH CLEAR 400ML SP LIMP PROF ME</t>
  </si>
  <si>
    <t>SH CLEAR 400ML WOMEN ANTICASPA HID LV400ML PG330ML</t>
  </si>
  <si>
    <t>SH CLEAR MEN 200ML CABELO/BARBA</t>
  </si>
  <si>
    <t>SH CLEAR MEN 200ML HIDRAT CAMPEA</t>
  </si>
  <si>
    <t>SH CLEAR MEN 400ML HIDRAT CAMPEA</t>
  </si>
  <si>
    <t>SH CLEAR MEN 400ML ICE COOL</t>
  </si>
  <si>
    <t>SH CLEAR MEN 400ML LIMP DIARIA</t>
  </si>
  <si>
    <t>SH CLEAR MEN 400ML QUEDA CONT</t>
  </si>
  <si>
    <t>SH CLEAR MEN ICE COOL LV400 PG330ML</t>
  </si>
  <si>
    <t>SH CLEAR MEN LIMP DIARIA LV400ML PG330ML</t>
  </si>
  <si>
    <t>SH DARLING 2X1 650ML TAM FAM ORIG</t>
  </si>
  <si>
    <t>SH DARLING 350ML 2X1</t>
  </si>
  <si>
    <t>SH DARLING 350ML CERAMIDAS</t>
  </si>
  <si>
    <t>SH DARLING 350ML DETOX</t>
  </si>
  <si>
    <t>SH DARLING 350ML TILIA</t>
  </si>
  <si>
    <t>SH DARLING 650ML CERAMIDAS</t>
  </si>
  <si>
    <t>SH DOG SANOL 500ML ANTIPULGAS</t>
  </si>
  <si>
    <t>SH DOG SANOL 500ML FILHOTES</t>
  </si>
  <si>
    <t>SH DOG SANOL 500ML NEUTRO</t>
  </si>
  <si>
    <t>SH DOVE 175ML BOND INTENSE REPAIR</t>
  </si>
  <si>
    <t>SH DOVE 200ML OLEO NUTRICAO</t>
  </si>
  <si>
    <t>SH DOVE 200ML RECONSTRUCAO COMPLETA</t>
  </si>
  <si>
    <t>SH DOVE 350ML BOND INTENSE REPAIR</t>
  </si>
  <si>
    <t>SH DOVE 400ML 2/1 FORCA RESIS</t>
  </si>
  <si>
    <t>SH DOVE 400ML HIDRA LISO</t>
  </si>
  <si>
    <t>SH DOVE 400ML HIDRAT INTENSA</t>
  </si>
  <si>
    <t>SH DOVE 400ML LIMP REFRES</t>
  </si>
  <si>
    <t>SH DOVE 400ML OLEO MICELAR</t>
  </si>
  <si>
    <t>SH DOVE 400ML OLEO NUTR</t>
  </si>
  <si>
    <t>SH DOVE 400ML PROT ANTICASPA</t>
  </si>
  <si>
    <t>SH DOVE 400ML RECON COMPLETA</t>
  </si>
  <si>
    <t>SH DOVE BABY 200ML CAB CACHEADO</t>
  </si>
  <si>
    <t>SH DOVE BABY 200ML CAB CLAROS</t>
  </si>
  <si>
    <t>SH DOVE BABY 200ML GLICERINADO</t>
  </si>
  <si>
    <t>SH DOVE BABY 200ML HID ENRIQUECIDA</t>
  </si>
  <si>
    <t>SH DOVE BABY 400ML HID ENRIQUECIDA</t>
  </si>
  <si>
    <t>SH DOVE BABY 400ML HID GLICE/CAMOM</t>
  </si>
  <si>
    <t>SH DOVE BABY 400ML HID GLICERINADA</t>
  </si>
  <si>
    <t>SH DOVE MEN 200ML 2/1 FOR RES</t>
  </si>
  <si>
    <t>SH DOVE MEN 200ML CARE 3 EM 1 SPORTS</t>
  </si>
  <si>
    <t>SH DOVE MEN 200ML LIMP REFRE</t>
  </si>
  <si>
    <t>SH DOVE RITUAL 200ML REPARACAO</t>
  </si>
  <si>
    <t>SH DOVE RITUAL 400ML REPARACAO</t>
  </si>
  <si>
    <t>SH DOVE TAM FAMILIA 670ML OLEO NUTR</t>
  </si>
  <si>
    <t>SH DOVE TAM FAMILIA 670ML RECONS COMPLETA</t>
  </si>
  <si>
    <t>SH DOVE TEXTURAS REAIS 355ML CRESPO</t>
  </si>
  <si>
    <t>SH DOVE TEXTURAS REAIS 400ML CACHEADOS</t>
  </si>
  <si>
    <t>SH EUDORA SIAGE 250ML ACELERA CRESCIM</t>
  </si>
  <si>
    <t>SH EUDORA SIAGE 250ML CAUTERIZA LISOS</t>
  </si>
  <si>
    <t>SH EUDORA SIAGE 250ML CICA THERAPY</t>
  </si>
  <si>
    <t>SH EUDORA SIAGE 250ML GLOW EXPERT</t>
  </si>
  <si>
    <t>SH EUDORA SIAGE 250ML HAIR PLASTIA</t>
  </si>
  <si>
    <t>SH EUDORA SIAGE 250ML HIDRAT MICELAR</t>
  </si>
  <si>
    <t>SH EUDORA SIAGE 250ML LISO INTENSO</t>
  </si>
  <si>
    <t>SH EUDORA SIAGE 250ML NUTRI ROSE</t>
  </si>
  <si>
    <t>SH EUDORA SIAGE 250ML PRO CRONOLOGY</t>
  </si>
  <si>
    <t>SH EUDORA SIAGE 250ML RECONSTROI FIOS</t>
  </si>
  <si>
    <t>SH EUDORA SIAGE 250ML RESGATE IMEDIAT</t>
  </si>
  <si>
    <t>SH EUDORA SIAGE MEN 250ML COMBATE CASPA</t>
  </si>
  <si>
    <t>SH EUDORA SIAGE MEN 250ML CRESCIMENTO</t>
  </si>
  <si>
    <t>SH EUDORA SIAGE MEN 250ML LIMP PURIF</t>
  </si>
  <si>
    <t>SH GRANADO 180ML SETE ERVAS</t>
  </si>
  <si>
    <t>SH GRANADO BEBE 250ML RF SUAVE</t>
  </si>
  <si>
    <t>SH GRANADO BEBE 250ML SEM CORANTE</t>
  </si>
  <si>
    <t>SH JOHNSONS BABY 180ML RF GLICERINA</t>
  </si>
  <si>
    <t>SH JOHNSONS BABY 200ML CAMOMILA</t>
  </si>
  <si>
    <t>SH JOHNSONS BABY 200ML GLICERINA</t>
  </si>
  <si>
    <t>SH JOHNSONS BABY 400ML CAMOMILA</t>
  </si>
  <si>
    <t>SH JOHNSONS BABY 400ML GLICERINA</t>
  </si>
  <si>
    <t>SH JOHNSONS KIDS 180ML RF CHEIRINHO PROLONGADO</t>
  </si>
  <si>
    <t>SH JOHNSONS KIDS 200ML BLACKINHO PODER</t>
  </si>
  <si>
    <t>SH JOHNSONS KIDS 200ML CACHOS SONHOS</t>
  </si>
  <si>
    <t>SH JOHNSONS KIDS 200ML CHEIRO PROLONG</t>
  </si>
  <si>
    <t>SH JOHNSONS KIDS 200ML GOTAS DE BRILHO</t>
  </si>
  <si>
    <t>SH JOHNSONS KIDS 400ML CHEIRO PROLONG</t>
  </si>
  <si>
    <t>SH JOHNSONS KIDS 400ML GOTAS DE BRILHO</t>
  </si>
  <si>
    <t>SH LOVE BEAUTY PLANET 300ML CRESC SAUDAVEL</t>
  </si>
  <si>
    <t>SH LOVE BEAUTY PLANET 300ML CURLS INTENSIFY</t>
  </si>
  <si>
    <t>SH LOVE BEAUTY PLANET 300ML ENERGIZING DTX</t>
  </si>
  <si>
    <t>SH LOVE BEAUTY PLANET 300ML HOPE/REPAIR</t>
  </si>
  <si>
    <t>SH OX 240ML COLAGENO</t>
  </si>
  <si>
    <t>SH OX 240ML MICELAR</t>
  </si>
  <si>
    <t>SH OX MARI MARIA 240ML VITA GLOW</t>
  </si>
  <si>
    <t>SH PALMOLIVE 350ML ANTICASPA</t>
  </si>
  <si>
    <t>SH PALMOLIVE 350ML BOOM HIDRAT</t>
  </si>
  <si>
    <t>SH PALMOLIVE 350ML CER FORC</t>
  </si>
  <si>
    <t>SH PALMOLIVE 350ML FORT/PROT</t>
  </si>
  <si>
    <t>SH PALMOLIVE 350ML FRIZZ RES</t>
  </si>
  <si>
    <t>SH PALMOLIVE 350ML LIMP BAL</t>
  </si>
  <si>
    <t>SH PALMOLIVE 350ML LISOS RAD</t>
  </si>
  <si>
    <t>SH PALMOLIVE 350ML NUTRE/HID</t>
  </si>
  <si>
    <t>SH PALMOLIVE 350ML NUTRI EXT</t>
  </si>
  <si>
    <t>SH PALMOLIVE 350ML PRETO VIB</t>
  </si>
  <si>
    <t>SH PALMOLIVE 650ML TAM FAM CERAMIDAS FORCE</t>
  </si>
  <si>
    <t>SH PALMOLIVE 650ML TAM FAM LIMP BALANCEADA</t>
  </si>
  <si>
    <t>SH PALMOLIVE 650ML TAM FAM NUTRI EXTRAORD</t>
  </si>
  <si>
    <t>SH PALMOLIVE KIDS 350ML CAB CACHEADO</t>
  </si>
  <si>
    <t>SH PALMOLIVE KIDS 350ML FRUT TROPICAIS</t>
  </si>
  <si>
    <t>SH PALMOLIVE KIDS 350ML TRADICIONAL</t>
  </si>
  <si>
    <t>SH PALMOLIVE KIDS 350ML TROLLS 3</t>
  </si>
  <si>
    <t>SH PALMOLIVE MEN 350ML ANTICASPA</t>
  </si>
  <si>
    <t>SH PALMOLIVE MEN 350ML ANTICOCEIRA</t>
  </si>
  <si>
    <t>SH PALMOLIVE MEN 350ML C/2 ALGAS MARINHAS</t>
  </si>
  <si>
    <t>SH PALMOLIVE SOS 350ML DETOX ENE</t>
  </si>
  <si>
    <t>SH PALMOLIVE SOS 350ML FORCE</t>
  </si>
  <si>
    <t>SH PALMOLIVE SOS 350ML HYDRATE</t>
  </si>
  <si>
    <t>SH PAMPERS 200ML GLICERINA</t>
  </si>
  <si>
    <t>SH PAMPERS 350ML GLICERINA REFIL</t>
  </si>
  <si>
    <t>SH PAMPERS 400ML GLICERINA</t>
  </si>
  <si>
    <t>SH SEDA 300ML LUMINOUS UV</t>
  </si>
  <si>
    <t>SH SEDA 325ML ANTICASPA HID DIARIA</t>
  </si>
  <si>
    <t>SH SEDA 325ML BABOSA OLEOS</t>
  </si>
  <si>
    <t>SH SEDA 325ML BAMBU/BIOTINA</t>
  </si>
  <si>
    <t>SH SEDA 325ML BOMBA COCO</t>
  </si>
  <si>
    <t>SH SEDA 325ML CACHO DEFINIDO</t>
  </si>
  <si>
    <t>SH SEDA 325ML CERAMIDAS</t>
  </si>
  <si>
    <t>SH SEDA 325ML COLAGENO+VIT C</t>
  </si>
  <si>
    <t>SH SEDA 325ML FORCA ANTIQUEBR</t>
  </si>
  <si>
    <t>SH SEDA 325ML HIDRAT ANTI NOS</t>
  </si>
  <si>
    <t>SH SEDA 325ML LISO EXTREMO</t>
  </si>
  <si>
    <t>SH SEDA 325ML LISO PERFEITO</t>
  </si>
  <si>
    <t>SH SEDA 325ML MICELAR/HIALU</t>
  </si>
  <si>
    <t>SH SEDA 325ML OLEO HIDRATACAO</t>
  </si>
  <si>
    <t>SH SEDA 325ML PREB + BIOTINA</t>
  </si>
  <si>
    <t>SH SEDA 325ML PRETOS LUMINOSO</t>
  </si>
  <si>
    <t>SH SEDA 325ML PUREZA DETOX</t>
  </si>
  <si>
    <t>SH SEDA 325ML RESTA INSTANT</t>
  </si>
  <si>
    <t>SH SEDA BOOM 250ML HIDRA DURADOURA</t>
  </si>
  <si>
    <t>SH SEDA BOOM 250ML NUTRI INTENSA</t>
  </si>
  <si>
    <t>SH SEDA BOOM 300ML REVITALIZACAO</t>
  </si>
  <si>
    <t>SH SEDA FROZEN 300ML BRILHO ENCANTA</t>
  </si>
  <si>
    <t>SH SEDA MOANA 300ML CACHOS ENCANTA</t>
  </si>
  <si>
    <t>SH SEDA TAM FAMILIA 670ML CERAMIDAS</t>
  </si>
  <si>
    <t>SH SEDA TAM FAMILIA 670ML LISO PERF</t>
  </si>
  <si>
    <t>SH SEDA TIANA 300ML CRESPOS JUNT</t>
  </si>
  <si>
    <t>SH TRESEMME 400 ML HIDRAT PROF</t>
  </si>
  <si>
    <t>SH TRESEMME 400ML BLINDAGEM ANTIUMIDADE</t>
  </si>
  <si>
    <t>SH TRESEMME 400ML DETOX CAPILAR</t>
  </si>
  <si>
    <t>SH TRESEMME 650ML BLIND ANTIFRIZZ</t>
  </si>
  <si>
    <t>SH TRESEMME 650ML BLIND ANTIUMIDADE</t>
  </si>
  <si>
    <t>SH TRESEMME 650ML BRILHO LAMELAR</t>
  </si>
  <si>
    <t>SH TRESEMME 650ML DETOX CAPILAR</t>
  </si>
  <si>
    <t>SH TRESEMME 650ML HIDRAT PROFUNDA</t>
  </si>
  <si>
    <t>SH TRESEMME 650ML RECONST E FORCA</t>
  </si>
  <si>
    <t>SH TRESEMME TRESPLEX 400ML BLIND ANTIFRIZZ</t>
  </si>
  <si>
    <t>SH TRESEMME TRESPLEX 400ML BRILHO LAMELAR</t>
  </si>
  <si>
    <t>SH TRESEMME TRESPLEX 400ML RECON FORCA</t>
  </si>
  <si>
    <t>SH TRESEMME TRESPLEX 400ML REGENERACAO</t>
  </si>
  <si>
    <t>SH TRESEMME TRESPLEX 650ML REGENERACAO</t>
  </si>
  <si>
    <t>SH VULT CABELOS 350ML CACHOS</t>
  </si>
  <si>
    <t>SH VULT CABELOS 350ML CHOQUE RECONST</t>
  </si>
  <si>
    <t>SH VULT CABELOS 350ML LISO PROFUNDO</t>
  </si>
  <si>
    <t>SH VULT CABELOS 350ML RECARGA HIDRAT</t>
  </si>
  <si>
    <t>SHITAKE DASHI 48G KANESHICHI</t>
  </si>
  <si>
    <t>SKITTLES 38G ORIGINAL</t>
  </si>
  <si>
    <t>SKITTLES 38G WILD BERRY</t>
  </si>
  <si>
    <t>SKITTLES ORIGINAL 95G</t>
  </si>
  <si>
    <t>SMIRNOFF ICE 269ML LTA</t>
  </si>
  <si>
    <t>SMIRNOFF ICE 275ML</t>
  </si>
  <si>
    <t>SNACK ALGA REPEAT 5G BARBECUE</t>
  </si>
  <si>
    <t>SNACK ALGA REPEAT 5G TRADICIONAL</t>
  </si>
  <si>
    <t>SNACK ALGA REPEAT 5G WASABI</t>
  </si>
  <si>
    <t>SNACK ARROZ CROC REPEAT 40G QUEIJO</t>
  </si>
  <si>
    <t>SNACK ARROZ CROC REPEAT 40G SHOYU</t>
  </si>
  <si>
    <t>SNACK ARROZ CROC REPEAT 40G TOMATE</t>
  </si>
  <si>
    <t>SNACK CELIVITA 30G S/GLUTEN CEBOLA/SALSA</t>
  </si>
  <si>
    <t>SNACK CHEEZ IT 65G CHEDDAR</t>
  </si>
  <si>
    <t>SNACK CHEEZ IT 65G PARMESAO</t>
  </si>
  <si>
    <t>SNACK CLUB SOCIAL 68G BARBECUE</t>
  </si>
  <si>
    <t>SNACK CLUB SOCIAL 68G QUEIJO PARMESAO</t>
  </si>
  <si>
    <t>SNACK DE ALGAS CHOIS 10G NATURAL</t>
  </si>
  <si>
    <t>SNACK DE ALGAS CHOIS 10G ORIGINAL</t>
  </si>
  <si>
    <t>SNACK DE BATATA PIRAQUE 60G ORIGINAL</t>
  </si>
  <si>
    <t>SNACK PULLMAN CROCANTISSIMO 40G CHURRASCO</t>
  </si>
  <si>
    <t>SNACK PULLMAN CROCANTISSIMO 40G PEITO PERU/REQ</t>
  </si>
  <si>
    <t>SNACK PULLMAN CROCANTISSIMO 40G QJ/CEB</t>
  </si>
  <si>
    <t>SNACK PULLMAN CROCANTISSIMO 40G SALAME C/LIMAO</t>
  </si>
  <si>
    <t>SNACK SEMBEI 100G SALGADO MISSO C/GERG</t>
  </si>
  <si>
    <t>SNACK TAI KALASSI RICE CRACKER 100G BARBECUE</t>
  </si>
  <si>
    <t>SNACK TAI KALASSI RICE CRACKER 100G CHESSE</t>
  </si>
  <si>
    <t>SNACK TAI KALASSI RICE CRACKER 100G ORIGINAL</t>
  </si>
  <si>
    <t>SNACK TAI KALASSI RICE CRACKER 100G PAPRICA</t>
  </si>
  <si>
    <t>SNACK TAI KALASSI RICE CRACKER 100G SOUR CREAM ONI</t>
  </si>
  <si>
    <t>SNACK TAI KALASSI RICE CRACKER 100G SWEET CHILLI</t>
  </si>
  <si>
    <t>SOJA CAMIL 500G</t>
  </si>
  <si>
    <t>SOJA GRAO KYOKA NATTO 100G</t>
  </si>
  <si>
    <t>SOPA AJINOMOTO VONO 35G FEIJAO/COUVE</t>
  </si>
  <si>
    <t>SOPA AJINOMOTO VONO 35G LEGUMES/CHIA</t>
  </si>
  <si>
    <t>SOPA AJINOMOTO VONO 35G MANDIOQ/FRANGO</t>
  </si>
  <si>
    <t>SOPA KNORR CREME CEBOLA 60G</t>
  </si>
  <si>
    <t>SOPA MAGGI 63G CARNE CONCHAS</t>
  </si>
  <si>
    <t>SOPA MAGGI 68G CEBOLA</t>
  </si>
  <si>
    <t>SOPA VONO ABOB/CARN 17G</t>
  </si>
  <si>
    <t>SOPA VONO ABOBO/CARN MENOS SODIO 17G</t>
  </si>
  <si>
    <t>SOPA VONO AIPIM/COST 18G</t>
  </si>
  <si>
    <t>SOPA VONO BAT/CARNE 17G</t>
  </si>
  <si>
    <t>SOPA VONO BAT/CARNE MENOS SODIO 18G</t>
  </si>
  <si>
    <t>SOPA VONO CALD FEIJAO 18G</t>
  </si>
  <si>
    <t>SOPA VONO CHEF 53G CREME CEBOLA</t>
  </si>
  <si>
    <t>SOPA VONO CHEF 53G CREME QUEIJO</t>
  </si>
  <si>
    <t>SOPA VONO CHEF MENOS SODIO 58G CREME CEBOLA</t>
  </si>
  <si>
    <t>SOPA VONO FRANGO/QJ 17G</t>
  </si>
  <si>
    <t>SOPA VONO MAND/CEB/SALS MENOS SODIO 17G</t>
  </si>
  <si>
    <t>SOPA VONO MANDIOQ/CEB 17G</t>
  </si>
  <si>
    <t>SOPA VONO MILHO/FRANG 17G</t>
  </si>
  <si>
    <t>SOPAO KNORR 183G BAT CEN/MAN/MAC</t>
  </si>
  <si>
    <t>SOPAO KNORR 194G GAL C/LEG</t>
  </si>
  <si>
    <t>SOPAO KNORR 195G GALINHA+MAC</t>
  </si>
  <si>
    <t>SOPAO MAGGI 200G CARNE</t>
  </si>
  <si>
    <t>SOPAO MAGGI 200G CARNE DE PANELA</t>
  </si>
  <si>
    <t>SOPAO MAGGI 200G GALINHA CAIPIRA</t>
  </si>
  <si>
    <t>SOPAO MAGGI 200G GALINHA/LEGUMES</t>
  </si>
  <si>
    <t>SOPAO MAGGI EQUILIBRIUM 150G CARNE/LEGUMES</t>
  </si>
  <si>
    <t>SOPAO MAGGI EQUILIBRIUM 150G GALINHA/LEGUMES</t>
  </si>
  <si>
    <t>SORO DAY AFTER SEDA BOOM 200ML VOLUMAO POWER</t>
  </si>
  <si>
    <t>SPRAY EMPORIO DO MEL PROPOLIS 35ML</t>
  </si>
  <si>
    <t>SPRAY EMPORIO DO MEL PROPOLIS 35ML GENGIBRE</t>
  </si>
  <si>
    <t>SPRAY EMPORIO DO MEL PROPOLIS 35ML ROMA</t>
  </si>
  <si>
    <t>SPRAY EXTRATO DE PROPOLIS KORIN 30ML HORTELA</t>
  </si>
  <si>
    <t>SPRAY PROTETOR TERM TRESEMME 110ML ANTIUMIDADE</t>
  </si>
  <si>
    <t>SPRAY TRAT NOTURNO DOVE 175ML NUTRICAO</t>
  </si>
  <si>
    <t>SPRAY TRESEMME 180ML IMPERMEABILIZA</t>
  </si>
  <si>
    <t>STICK SUP ALIM ULTRACOFFEE 10G CAPPUCCINO</t>
  </si>
  <si>
    <t>STICK SUP ALIM ULTRACOFFEE 10G CHOCOLATE</t>
  </si>
  <si>
    <t>SUCO CAMPO LARGO 250ML LARANJA</t>
  </si>
  <si>
    <t>SUCO CAMPO LARGO 250ML UVA LEV</t>
  </si>
  <si>
    <t>SUCO CAMPO LARGO 900ML GOIABA/MACA</t>
  </si>
  <si>
    <t>SUCO CAMPO LARGO 900ML MANGA/MACA</t>
  </si>
  <si>
    <t>SUCO CAMPO LARGO 900ML PESSEGO</t>
  </si>
  <si>
    <t>SUCO CAMPO LARGO 900ML TANGERINA/MACA</t>
  </si>
  <si>
    <t>SUCO CASA DE BENTO 1L UVA</t>
  </si>
  <si>
    <t>SUCO DEL VALLE 100% 1L LARANJA</t>
  </si>
  <si>
    <t>SUCO DEL VALLE 100% 1L MACA</t>
  </si>
  <si>
    <t>SUCO DEL VALLE 100% 1L UVA</t>
  </si>
  <si>
    <t>SUCO DEL VALLE 100% 200ML MACA</t>
  </si>
  <si>
    <t>SUCO DEL VALLE 1L ABACAXI</t>
  </si>
  <si>
    <t>SUCO DEL VALLE 1L LARANJA</t>
  </si>
  <si>
    <t>SUCO DEL VALLE 1L MARACUJA</t>
  </si>
  <si>
    <t>SUCO DEL VALLE 1L S/ACUCAR GOIABA</t>
  </si>
  <si>
    <t>SUCO DEL VALLE 1L S/CONS PESSEGO</t>
  </si>
  <si>
    <t>SUCO DEL VALLE 1L S/CONSERVANTES CAJU</t>
  </si>
  <si>
    <t>SUCO DEL VALLE 1L S/CONSERVANTES MANGA</t>
  </si>
  <si>
    <t>SUCO DEL VALLE 1L S/CONSERVANTES S/AC PESSEGO</t>
  </si>
  <si>
    <t>SUCO DEL VALLE 1L UVA</t>
  </si>
  <si>
    <t>SUCO DEL VALLE 200ML LARANJA</t>
  </si>
  <si>
    <t>SUCO DEL VALLE 200ML PESSEGO</t>
  </si>
  <si>
    <t>SUCO DEL VALLE 200ML UVA</t>
  </si>
  <si>
    <t>SUCO DEL VALLE 450ML FRUT CITRICAS</t>
  </si>
  <si>
    <t>SUCO DEL VALLE FRUT 1L LARANJA</t>
  </si>
  <si>
    <t>SUCO DEL VALLE FRUT 1L UVA</t>
  </si>
  <si>
    <t>SUCO DEL VALLE FRUT 450ML LARANJA</t>
  </si>
  <si>
    <t>SUCO DEL VALLE FRUT 450ML UVA</t>
  </si>
  <si>
    <t>SUCO DEL VALLE S/ACUCAR 1L UVA</t>
  </si>
  <si>
    <t>SUCO HAITAI BONBON 238ML ABACAXI</t>
  </si>
  <si>
    <t>SUCO HAITAI BONBON 238ML MORANGO</t>
  </si>
  <si>
    <t>SUCO HAITAI BONBON 238ML PERA</t>
  </si>
  <si>
    <t>SUCO HAITAI BONBON 238ML UVA VERDE</t>
  </si>
  <si>
    <t>SUCO HAITAI BONBON 340ML PESSEGO</t>
  </si>
  <si>
    <t>SUCO HAITAI COCO PALM 238ML</t>
  </si>
  <si>
    <t>SUCO HAPPY DAY 1L MACA</t>
  </si>
  <si>
    <t>SUCO INT AURORA 1,5L TP UVA BRANCO</t>
  </si>
  <si>
    <t>SUCO INT AURORA 1,5L TP UVA TINTO</t>
  </si>
  <si>
    <t>SUCO INT AURORA 1,5L UVA</t>
  </si>
  <si>
    <t>SUCO INT AURORA 1,5L UVA BRANCO</t>
  </si>
  <si>
    <t>SUCO INT AURORA 1,5ML MACA</t>
  </si>
  <si>
    <t>SUCO INT CAMPO LARGO 1,5L UVA</t>
  </si>
  <si>
    <t>SUCO INT CAMPO LARGO 1350ML LARANJA</t>
  </si>
  <si>
    <t>SUCO INT CAMPO LARGO 1350ML MACA</t>
  </si>
  <si>
    <t>SUCO INT CAMPO LARGO 1350ML UVA</t>
  </si>
  <si>
    <t>SUCO INT CAMPO LARGO 200ML LAR</t>
  </si>
  <si>
    <t xml:space="preserve">SUCO INT CAMPO LARGO 200ML MACA </t>
  </si>
  <si>
    <t>SUCO INT CAMPO LARGO 200ML UVA</t>
  </si>
  <si>
    <t>SUCO INT CAMPO LARGO 900ML LARANJA</t>
  </si>
  <si>
    <t>SUCO INT CAMPO LARGO 900ML MACA</t>
  </si>
  <si>
    <t>SUCO INT CAMPO LARGO 900ML UVA</t>
  </si>
  <si>
    <t>SUCO INT CASA MADEIRA 1L UVA</t>
  </si>
  <si>
    <t>SUCO INT ORGANOBIO 1L MACA</t>
  </si>
  <si>
    <t>SUCO INT ORGANOBIO 1L TANG/MACA</t>
  </si>
  <si>
    <t>SUCO INT ORGANOVITA 300ML GOIABA/MACA</t>
  </si>
  <si>
    <t>SUCO INT ORGANOVITA 300ML MANGA/MACA</t>
  </si>
  <si>
    <t>SUCO INT SUPERBOM 1L UVA</t>
  </si>
  <si>
    <t>SUCO INT SUPERBOM 1L UVA BRANCO</t>
  </si>
  <si>
    <t>SUCO JUMJU 238ML UVA</t>
  </si>
  <si>
    <t>SUCO KAPO 200ML ABACAXI</t>
  </si>
  <si>
    <t>SUCO KAPO 200ML FRUTAS CITRICAS</t>
  </si>
  <si>
    <t>SUCO KAPO 200ML LARANJA</t>
  </si>
  <si>
    <t>SUCO KAPO 200ML MACA</t>
  </si>
  <si>
    <t>SUCO KAPO 200ML MARACUJA</t>
  </si>
  <si>
    <t>SUCO KAPO 200ML MORANGO</t>
  </si>
  <si>
    <t>SUCO KAPO 200ML UVA</t>
  </si>
  <si>
    <t>SUCO MAGUARY 500ML ABACAXI</t>
  </si>
  <si>
    <t>SUCO MAGUARY 500ML CAJU</t>
  </si>
  <si>
    <t>SUCO MAGUARY 500ML GOIABA</t>
  </si>
  <si>
    <t>SUCO MAGUARY 500ML MANGA</t>
  </si>
  <si>
    <t>SUCO MAGUARY 500ML MARACUJA</t>
  </si>
  <si>
    <t>SUCO MAGUARY 500ML UVA</t>
  </si>
  <si>
    <t>SUCO MOSTEIRO MIX 1,5ML MACA/UVA/CEN</t>
  </si>
  <si>
    <t>SUCO ORG NATIVE 1L GOIABA</t>
  </si>
  <si>
    <t>SUCO ORG NATIVE 1L LARANJA</t>
  </si>
  <si>
    <t>SUCO ORG NATIVE 1L MANGA</t>
  </si>
  <si>
    <t>SUCO ORG NATIVE 200ML GOIABA</t>
  </si>
  <si>
    <t>SUCO ORG NATIVE 200ML LARANJA</t>
  </si>
  <si>
    <t>SUCO ORG NATIVE 200ML MANGA</t>
  </si>
  <si>
    <t>SUCO ORG NATIVE 200ML MARACUJA</t>
  </si>
  <si>
    <t>SUCO ORG NATIVE 200ML UVA</t>
  </si>
  <si>
    <t>SUCO ORG NATIVE CAJU 1L</t>
  </si>
  <si>
    <t>SUCO ORG NATIVE CAJU 200ML</t>
  </si>
  <si>
    <t>SUCO ORG NATIVE MARACUJA 1L</t>
  </si>
  <si>
    <t>SUCO ORG NATIVE TANGERINA 1L</t>
  </si>
  <si>
    <t>SUCO ORG NATIVE TANGERINA 200ML</t>
  </si>
  <si>
    <t>SUCO ORGANICO BORDO 2012 300ML UVA</t>
  </si>
  <si>
    <t>SUCO ORGANICO UVA SO BORDO 1L</t>
  </si>
  <si>
    <t>SUCO RAIOLA 1L TOMATE</t>
  </si>
  <si>
    <t>SUCO RAIOLA 200ML TOMATE</t>
  </si>
  <si>
    <t>SUCO SOJA ADES 1L UVA</t>
  </si>
  <si>
    <t>SUCO SOJA ADES 200ML ABACAXI</t>
  </si>
  <si>
    <t>SUCO SOJA ADES 200ML LARANJA</t>
  </si>
  <si>
    <t>SUCO SOJA ADES 200ML MACA</t>
  </si>
  <si>
    <t>SUCO SOJA ADES 200ML PESSEGO</t>
  </si>
  <si>
    <t>SUCO SOJA ADES 200ML UVA</t>
  </si>
  <si>
    <t>SUCO SOJA MUPY 1L ABACAXI</t>
  </si>
  <si>
    <t>SUCO SOJA MUPY 1L LARANJA</t>
  </si>
  <si>
    <t>SUCO SOJA MUPY 1L MACA</t>
  </si>
  <si>
    <t>SUCO SOJA MUPY 1L MARACUJA</t>
  </si>
  <si>
    <t>SUCO SOJA MUPY 1L MORANGO</t>
  </si>
  <si>
    <t>SUCO SOJA MUPY 1L PESSEGO</t>
  </si>
  <si>
    <t>SUCO SOJA MUPY 1L UVA</t>
  </si>
  <si>
    <t>SUCO SOJA MUPY 200ML TP ABACAXI</t>
  </si>
  <si>
    <t>SUCO SOJA MUPY 200ML TP LARANJA</t>
  </si>
  <si>
    <t>SUCO SOJA MUPY 200ML TP MACA</t>
  </si>
  <si>
    <t>SUCO SOJA MUPY 200ML TP MARACUJA</t>
  </si>
  <si>
    <t>SUCO SOJA MUPY 200ML TP MORANGO</t>
  </si>
  <si>
    <t>SUCO SOJA MUPY 200ML TP PESSEGO</t>
  </si>
  <si>
    <t>SUCO SOJA MUPY 200ML TP UVA</t>
  </si>
  <si>
    <t>SUCO SUPERBOM 1L TOMATE</t>
  </si>
  <si>
    <t>SUCO TONYU YAKULT 200ML LARANJA</t>
  </si>
  <si>
    <t>SUCO TONYU YAKULT 200ML MACA</t>
  </si>
  <si>
    <t>SUCO TONYU YAKULT 200ML MORANGO</t>
  </si>
  <si>
    <t>SUCO TONYU YAKULT 200ML UVA</t>
  </si>
  <si>
    <t>SUCO YAKULT 200ML MACA</t>
  </si>
  <si>
    <t>SUDARE CAMPO VERDE C/1UN</t>
  </si>
  <si>
    <t>SUMO DE LIMAO CASTELO 500ML</t>
  </si>
  <si>
    <t>SUP ALIM JUNGLE LOW CARB 500ML ABACAXI/HORTELA</t>
  </si>
  <si>
    <t>SUP ALIM JUNGLE LOW CARB 500ML LIMONADA ENDUR</t>
  </si>
  <si>
    <t>SUP ALIM JUNGLE LOW CARB 500ML MELANC E LIMAO</t>
  </si>
  <si>
    <t>SUP ALIM JUNGLE LOW CARB 500ML MORANGO E LIMAO</t>
  </si>
  <si>
    <t>SUP ALIM JUNGLE LOW CARB 500ML UVA</t>
  </si>
  <si>
    <t>SUP ALIM REIGN 473ML LEMON</t>
  </si>
  <si>
    <t>SUP ALIM REIGN 473ML MELON</t>
  </si>
  <si>
    <t>SUP ALIM ULTRACOFFEE LT 220G CAPPUCINO</t>
  </si>
  <si>
    <t>SUP ALIM ULTRACOFFEE LT 220G CHOCOLATE</t>
  </si>
  <si>
    <t>SUP ALIMENTAR MAXXI OVOS 500G BAUNILHA</t>
  </si>
  <si>
    <t>SUP ALIMENTAR MAXXI OVOS 500G CHOCOLATE</t>
  </si>
  <si>
    <t>SUP ALIMENTAR MAXXI OVOS 500G MORANGO</t>
  </si>
  <si>
    <t>SUP ALIMENTAR MAXXI OVOS 500G NAT</t>
  </si>
  <si>
    <t>SUP PROT PARMALAT WHEY FIT 450G BAUNILHA</t>
  </si>
  <si>
    <t>SUP PROT PARMALAT WHEY FIT 450G CHOCOLATE</t>
  </si>
  <si>
    <t>SUP PROT PARMALAT WHEY FIT 450G MORANGO</t>
  </si>
  <si>
    <t>SUPER COND DOVE 170ML FATOR NUTRIC 50</t>
  </si>
  <si>
    <t>SUPER COND DOVE 170ML FATOR NUTRIC 60</t>
  </si>
  <si>
    <t>SUPER COND TRESEMME 170ML CACHOS/CRESPOS</t>
  </si>
  <si>
    <t>SUPORTE FILTRO MELITTA 100</t>
  </si>
  <si>
    <t>SUPORTE FILTRO MELITTA 102 ESTACOES</t>
  </si>
  <si>
    <t>SUPORTE FILTRO MELITTA 103 ESTACOES</t>
  </si>
  <si>
    <t>SUPORTE P/ESPONJA ESFREBOM</t>
  </si>
  <si>
    <t>SUSPIRO BOMBOCADO 150G</t>
  </si>
  <si>
    <t>TABUA MADEIRA TRAMONTINA CHURRASCO</t>
  </si>
  <si>
    <t>TABUA STEAK TRAMONTINA PROVENCE COM CABO 40X27</t>
  </si>
  <si>
    <t>TACO CANTINA MEXICANA 150G</t>
  </si>
  <si>
    <t xml:space="preserve">TAKUAN CASEIRO MARU NAKA 240G </t>
  </si>
  <si>
    <t>TALCO JOHNSONS BABY 100G HORA DO SONO</t>
  </si>
  <si>
    <t>TALCO JOHNSONS BABY 100G ORIGINAL</t>
  </si>
  <si>
    <t>TALCO PES REXONA 100G ANTIBAC SPORT</t>
  </si>
  <si>
    <t>TALCO PES REXONA 100G ANTIBAC WOMEN</t>
  </si>
  <si>
    <t>TALHARIM CASEIRO UDON 3 500G</t>
  </si>
  <si>
    <t>TALHARIM CASEIRO UDON 4 500G</t>
  </si>
  <si>
    <t>TAPETE HIG DOG SANOL C/14UN</t>
  </si>
  <si>
    <t>TAPETE HIG DOG SANOL C/7UN</t>
  </si>
  <si>
    <t>TAPIOCA AKIO 500G</t>
  </si>
  <si>
    <t>TAPIOCA DA TERRINHA 1KG</t>
  </si>
  <si>
    <t>TAPIOCA DA TERRINHA 500G</t>
  </si>
  <si>
    <t>TAPIOCA DELIOCA PREMIUM 560G</t>
  </si>
  <si>
    <t>TAPIOCA YOKI 500G</t>
  </si>
  <si>
    <t>TEMP AJINOMOTO FRASCO 100G</t>
  </si>
  <si>
    <t>TEMP AJINOMOTO RF 100G</t>
  </si>
  <si>
    <t>TEMP AJINOMOTO SACO 200G</t>
  </si>
  <si>
    <t>TEMP AJINOMOTO SACO 500G</t>
  </si>
  <si>
    <t>TEMP AJINOMOTO SAZON MEU TOQUE 20G ERVAS</t>
  </si>
  <si>
    <t>TEMP AJINOMOTO SAZON MEU TOQUE 32G CASEIRO</t>
  </si>
  <si>
    <t>TEMP ANA MARIA BRAGA ESP SAB 45G</t>
  </si>
  <si>
    <t>TEMP ARISCO COMPLETO 300G ALHO/SAL</t>
  </si>
  <si>
    <t>TEMP ARISCO COMPLETO 300G C/PIMENTA</t>
  </si>
  <si>
    <t>TEMP ARISCO COMPLETO 300G SEM PIMENTA</t>
  </si>
  <si>
    <t>TEMP BAIANO ESP E SAB 50G</t>
  </si>
  <si>
    <t>TEMP BR SPICES 100G LEMON PEPPER</t>
  </si>
  <si>
    <t>TEMP BR SPICES 50G FIT COMPLETO</t>
  </si>
  <si>
    <t>TEMP BR SPICES 70G CHIMICHURRI</t>
  </si>
  <si>
    <t>TEMP BR SPICES 75G FIT FRANGO</t>
  </si>
  <si>
    <t>TEMP BR SPICES 90G FIT CARNES</t>
  </si>
  <si>
    <t>TEMP BR SPICES HEINZ 70G BATATA FRITA</t>
  </si>
  <si>
    <t>TEMP CASEIRO KENKO 300G</t>
  </si>
  <si>
    <t>TEMP DO CHEFF ESP E SAB 30G</t>
  </si>
  <si>
    <t>TEMP ESP PAELLERO MARINERA 12G</t>
  </si>
  <si>
    <t>TEMP HONDASHI 60G</t>
  </si>
  <si>
    <t>TEMP KENKO SUSHI 750ML</t>
  </si>
  <si>
    <t>TEMP KITANO BAIANO 40G</t>
  </si>
  <si>
    <t>TEMP KITANO CHURRASQUEAR DRY RUB 115G AVES</t>
  </si>
  <si>
    <t>TEMP KITANO CHURRASQUEAR DRY RUB 115G CARNE</t>
  </si>
  <si>
    <t>TEMP KNORR 32G ZERO SAL CARNE</t>
  </si>
  <si>
    <t>TEMP KNORR 32G ZERO SAL FRANGO</t>
  </si>
  <si>
    <t>TEMP KNORR 32G ZERO SAL LEGUMES</t>
  </si>
  <si>
    <t>TEMP KNORR MEU ASSADO 25G CEBOLA/ALHO</t>
  </si>
  <si>
    <t>TEMP KNORR MEU ASSADO 25G LIM/OREG</t>
  </si>
  <si>
    <t>TEMP KNORR MEU ASSADO 25G SABOR CASEIRO</t>
  </si>
  <si>
    <t>TEMP MAGGI 120G AMACIANTE CARNES</t>
  </si>
  <si>
    <t>TEMP MAGGI 120G FONDOR</t>
  </si>
  <si>
    <t>TEMP MAGGI 120G GRIL</t>
  </si>
  <si>
    <t>TEMP MAGGI 50G AMACIA/TEMPERA</t>
  </si>
  <si>
    <t>TEMP MAGGI 50G AVES</t>
  </si>
  <si>
    <t>TEMP MAGGI 50G CARNE</t>
  </si>
  <si>
    <t>TEMP MAGGI 50G FEIJAO</t>
  </si>
  <si>
    <t>TEMP MAGGI 50G LEGUMES</t>
  </si>
  <si>
    <t>TEMP MAGGI MEU SEGREDO 49G ALH/CEB/SAL</t>
  </si>
  <si>
    <t>TEMP MAGGI MEU SEGREDO 49G CEBOLA/ALHO</t>
  </si>
  <si>
    <t>TEMP MAGGI MEU SEGREDO 49G CHEIRO VERDE</t>
  </si>
  <si>
    <t>TEMP MAGGI MEU SEGREDO 49G TOMATE/ERVAS</t>
  </si>
  <si>
    <t>TEMP MILANESA SATIS 60G TRAD</t>
  </si>
  <si>
    <t>TEMP P/CARNES ESP E SAB 30G</t>
  </si>
  <si>
    <t>TEMP P/CHURRASCO ESP E SAB 30G</t>
  </si>
  <si>
    <t>TEMP P/FEIJAO ESP E SAB 30G</t>
  </si>
  <si>
    <t>TEMP P/PEIXE ESP E SAB 30G</t>
  </si>
  <si>
    <t>TEMP RECEITA DA CASA 450G C/PIMENTA</t>
  </si>
  <si>
    <t>TEMP RECEITA DA CASA 450G CLASSICO</t>
  </si>
  <si>
    <t>TEMP SABOR AMI 300G ALHO/SAL</t>
  </si>
  <si>
    <t>TEMP SABOR AMI 300G COMPL</t>
  </si>
  <si>
    <t>TEMP SABOR AMI 300G S/PIMENTA</t>
  </si>
  <si>
    <t>TEMP SAZON 40G CARNES</t>
  </si>
  <si>
    <t>TEMP SAZON 60G CARNES</t>
  </si>
  <si>
    <t>TEMP SAZON 60G FRANGO</t>
  </si>
  <si>
    <t>TEMP SAZON 60G LEGUMES</t>
  </si>
  <si>
    <t>TEMP SAZON 60G MARROM</t>
  </si>
  <si>
    <t>TEMP SAZON 60G MASSAS</t>
  </si>
  <si>
    <t>TEMP SAZON 60G SABOR NORDESTE</t>
  </si>
  <si>
    <t>TEMP SAZON 60G SALADAS</t>
  </si>
  <si>
    <t>TEMP SAZON 60G TOQUE DE ALECRIM</t>
  </si>
  <si>
    <t>TEMP SAZON 60G TOQUE DE ALHO</t>
  </si>
  <si>
    <t>TEMP SAZON 60G TOQUE DE LIMAO</t>
  </si>
  <si>
    <t>TEMP SAZON NA MEDIDA 30G 10 VEGETAIS</t>
  </si>
  <si>
    <t>TEMP SAZON NA MEDIDA 30G CHEIRO VERDE</t>
  </si>
  <si>
    <t>TEMP SAZON PIPOCA 60G CEBOLA/SALSA</t>
  </si>
  <si>
    <t>TEMP SAZON PIPOCA 60G CHURRASCO</t>
  </si>
  <si>
    <t>TEMP SAZON PIPOCA 60G MANTEIGA</t>
  </si>
  <si>
    <t>TEMP SIRIO ESP E SAB 40G</t>
  </si>
  <si>
    <t>TEMP SUSHI NO KO TAMANOI 75G</t>
  </si>
  <si>
    <t>TEMP TURCI 60ML SPRAY ALECRIM</t>
  </si>
  <si>
    <t>TEMP TURCI 60ML SPRAY ALHO</t>
  </si>
  <si>
    <t>TEMP TURCI 60ML SPRAY MANJERICAO</t>
  </si>
  <si>
    <t>TEMP TURCI 60ML SPRAY PIMENTA CHILI</t>
  </si>
  <si>
    <t>TEMP ZATHAR ESP E SAB 40G</t>
  </si>
  <si>
    <t>TEMPERO KNORR PO 50G ARROZ</t>
  </si>
  <si>
    <t>TEMPERO KNORR PO 50G CARNE</t>
  </si>
  <si>
    <t>TEMPERO KNORR PO 50G FEIJAO</t>
  </si>
  <si>
    <t>TEMPERO KNORR PO 50G FRANGO</t>
  </si>
  <si>
    <t>TEMPURA PANKO SEIWA 200G</t>
  </si>
  <si>
    <t>TERERE LEAO 500G TRADICIONAL</t>
  </si>
  <si>
    <t>TIKUWA KA-HO 200G</t>
  </si>
  <si>
    <t>TIRA FERRUGENS MON BIJOU 50ML</t>
  </si>
  <si>
    <t>TIRA MANCHAS BRILHANTE 380G UTILE FLORAL</t>
  </si>
  <si>
    <t>TIRA MANCHAS BRILHANTE 380G UTILE FRESH</t>
  </si>
  <si>
    <t>TIRA MANCHAS GEL MON BIJOU 500ML RF BRANCA/COLORID</t>
  </si>
  <si>
    <t>TIRA MANCHAS OMO 380G EXT PODER BG</t>
  </si>
  <si>
    <t>TIRA MANCHAS OMO 380G EXT PODER BRANCAS</t>
  </si>
  <si>
    <t>TIRA MANCHAS OMO 450ML RF BRANCAS</t>
  </si>
  <si>
    <t>TIRA MANCHAS OMO 450ML RF COLORIDA</t>
  </si>
  <si>
    <t>TIRA MANCHAS OMO GF ULT ESP 135ML EXTRA PODER</t>
  </si>
  <si>
    <t>TIRA MANCHAS TIXAN YPE 420G BRANCA</t>
  </si>
  <si>
    <t>TIRA MANCHAS TIXAN YPE 420G COLORID</t>
  </si>
  <si>
    <t>TIRA MANCHAS TIXAN YPE 420G RF BCA</t>
  </si>
  <si>
    <t>TIRA MANCHAS TIXAN YPE 420G RF COLORIDAS</t>
  </si>
  <si>
    <t>TIRA MANCHAS VANISH 240G RF ROUPA BRANCA</t>
  </si>
  <si>
    <t>TIRA MANCHAS VANISH 240G RF ROUPA COLORIDA</t>
  </si>
  <si>
    <t>TIRA MANCHAS VANISH 330G OXI ADVANCE RF</t>
  </si>
  <si>
    <t>TIRA MANCHAS VANISH 390G OXI ADVANCE</t>
  </si>
  <si>
    <t>TIRA MANCHAS VANISH 400G RF OXI ACTION</t>
  </si>
  <si>
    <t>TIRA MANCHAS VANISH 400G RF WHITE</t>
  </si>
  <si>
    <t>TIRA MANCHAS VANISH 450G POD O2</t>
  </si>
  <si>
    <t>TIRA MANCHAS VANISH 450G PODER O2 CRY WHITE</t>
  </si>
  <si>
    <t>TIRA MANCHAS VANISH 450ML RESOL WHITE</t>
  </si>
  <si>
    <t>TIRA MANCHAS VANISH 450ML RESOLV PRE LAVAGEM</t>
  </si>
  <si>
    <t>TIRA MANCHAS VANISH 500ML PODER O2</t>
  </si>
  <si>
    <t>TIRA MANCHAS VANISH 75G SUPER BARRA</t>
  </si>
  <si>
    <t>TIRA MANCHAS VANISH 870G OXI ADVANC LV+ PG-</t>
  </si>
  <si>
    <t>TIRA MANCHAS VANISH OXI ACTION 120G TRAD</t>
  </si>
  <si>
    <t>TIRA MANCHAS VANISH OXI ACTION 120G WHITE</t>
  </si>
  <si>
    <t>TIRA MANCHAS VANISH OXI ACTION 1KG TRAD</t>
  </si>
  <si>
    <t>TIRA MANCHAS VANISH OXI ACTION 1KG WHITE</t>
  </si>
  <si>
    <t>TIRA MANCHAS VANISH SUPER BARRA 75G WHITE</t>
  </si>
  <si>
    <t>TOAST BAUDUCCO 128G CEREALE AZEITE</t>
  </si>
  <si>
    <t>TOAST BAUDUCCO 128G CEREALE INTEGRAL</t>
  </si>
  <si>
    <t>TOAST BAUDUCCO 128G CEREALE MULTICEREAIS</t>
  </si>
  <si>
    <t>TOFU NIPPO KINUGOSHI 400G</t>
  </si>
  <si>
    <t>TOFU NIPPO SOFT 400G</t>
  </si>
  <si>
    <t>TOFU NIPPO TRAD 400G</t>
  </si>
  <si>
    <t>TOMATE PELADO CIRIO 400G</t>
  </si>
  <si>
    <t>TOMATE PELADO CUBO LA PASTINA 400G</t>
  </si>
  <si>
    <t>TOMATE PELADO CUBOS CIRIO 400G</t>
  </si>
  <si>
    <t>TOMATE PELADO CUBOS OLE 240G</t>
  </si>
  <si>
    <t>TOMATE PELADO ITALIANO RAIOLA 400G</t>
  </si>
  <si>
    <t>TOMATE PELATI COLAVITA 400G</t>
  </si>
  <si>
    <t>TOMATE SECO COLAVITA 340G</t>
  </si>
  <si>
    <t>TOMATE SECO LA PASTINA 280G</t>
  </si>
  <si>
    <t>TOMATES PELADOS INTEIRO OLE 240G</t>
  </si>
  <si>
    <t>TOMATES PELADOS LA PASTINA 400G</t>
  </si>
  <si>
    <t>TOMATES PELADOS PAGANINI 400G</t>
  </si>
  <si>
    <t>TOMILHO ESP E SAB 20G</t>
  </si>
  <si>
    <t>TONICO FACIAL NIVEA 200ML ACNE CONTROL</t>
  </si>
  <si>
    <t>TORRADA ADRIA 142G INTEGRAL</t>
  </si>
  <si>
    <t>TORRADA ADRIA 142G LIGHT</t>
  </si>
  <si>
    <t>TORRADA ADRIA 142G MULTIGRAOS</t>
  </si>
  <si>
    <t>TORRADA ADRIA 142G TRADICIONAL</t>
  </si>
  <si>
    <t>TORRADA BAUDUCCO 110G CANAPE</t>
  </si>
  <si>
    <t>TORRADA BAUDUCCO 142G INT</t>
  </si>
  <si>
    <t>TORRADA BAUDUCCO 142G MULTI GRAOS</t>
  </si>
  <si>
    <t>TORRADA BAUDUCCO 142G TRADICIONAL</t>
  </si>
  <si>
    <t>TORRADA BAUDUCCO 284G INTEGRAL</t>
  </si>
  <si>
    <t>TORRADA BAUDUCCO 284G MULTIGRAOS</t>
  </si>
  <si>
    <t>TORRADA BAUDUCCO 284G TRADICIONAL</t>
  </si>
  <si>
    <t>TORRADA CROC SCHAR 150G S/LACT</t>
  </si>
  <si>
    <t>TORRADA LEVE SCHAR 125G S/LACT CEREAIS</t>
  </si>
  <si>
    <t>TORRADA LEVE SCHAR 150G S/LACT TRAD</t>
  </si>
  <si>
    <t>TORRADA MARILAN MAGICTOAST 110G CACAU/CEREAIS</t>
  </si>
  <si>
    <t>TORRADA MARILAN MAGICTOAST 110G INTEGRAL</t>
  </si>
  <si>
    <t>TORRADA MARILAN MAGICTOAST 110G LIGHT</t>
  </si>
  <si>
    <t>TORRADA MARILAN MAGICTOAST 110G MULTI CEREAIS</t>
  </si>
  <si>
    <t>TORRADA MARILAN MAGICTOAST 110G ORIGINAL</t>
  </si>
  <si>
    <t>TORRADA MARILAN MAGICTOAST 110G PEITO PERU</t>
  </si>
  <si>
    <t>TORRADA MILHO OKOSHI 75G C/COCO</t>
  </si>
  <si>
    <t>TORRADA SCHAR 87G FETTE BISCOTTATE</t>
  </si>
  <si>
    <t>TORRADA TAPIOCA OKOSHI 75G C/COCO</t>
  </si>
  <si>
    <t>TORRADA VISCONTI INTEGRAL 120G</t>
  </si>
  <si>
    <t>TORRADA VISCONTI TRADICIONAL 120G</t>
  </si>
  <si>
    <t>TORRESMINHO DGOIAS 90G</t>
  </si>
  <si>
    <t>TORRESMO PEG PIG 45G</t>
  </si>
  <si>
    <t>TORRESMO PEG PIG CAIPIRA 80G</t>
  </si>
  <si>
    <t>TORRESMO PEG PIG GOURMET 95G</t>
  </si>
  <si>
    <t>TORRESMO PEG PIG GOURMET 95G APIMEN</t>
  </si>
  <si>
    <t>TORRESMO PEG PIG POP 60G</t>
  </si>
  <si>
    <t>TORRONE ESP EL BELEN BLANDO 200G</t>
  </si>
  <si>
    <t>TORTILLA FRONTERA 85G SAL</t>
  </si>
  <si>
    <t>TREMOCO RAIOLA 200G</t>
  </si>
  <si>
    <t>TRIGO P/KIBE YOKI 500G</t>
  </si>
  <si>
    <t>TRUFA CHOC BELGIAN 150G AVELA</t>
  </si>
  <si>
    <t>TRUFA CHOC BELGIAN 150G CAFE</t>
  </si>
  <si>
    <t>TRUFA CHOC BELGIAN 150G CARAMELO</t>
  </si>
  <si>
    <t>TRUFA CHOC BELGIAN 150G CHAMPAGNE</t>
  </si>
  <si>
    <t>TRUFA CHOC BELGIAN 150G LARANJA</t>
  </si>
  <si>
    <t>TRUFA CHOC BELGIAN 150G TRADICIONAL</t>
  </si>
  <si>
    <t>TRUFA CHOC DIVINE 96G 37% CACAU AVELA/CHOC BCO</t>
  </si>
  <si>
    <t>TRUFA CHOC DIVINE 96G 50% CACAU C/CREME AVELA</t>
  </si>
  <si>
    <t>TRUFA CHOC MAITRE 250G AZUL CONCHAS</t>
  </si>
  <si>
    <t>TRUFA CHOC MAITRE 250G BRANCO CONCHAS</t>
  </si>
  <si>
    <t>TUBES NATURAL LIFE 50G S/G RECH C/CREME CHOCO</t>
  </si>
  <si>
    <t xml:space="preserve">TYOSEN ESPECIAL MARU NAKA 500G </t>
  </si>
  <si>
    <t>TYOSEN ZUKE 300G</t>
  </si>
  <si>
    <t>UME ZUKE 180G</t>
  </si>
  <si>
    <t>UNTA FORMA ADKO 180ML SPRAY</t>
  </si>
  <si>
    <t>UVA PASSA CHOCO SOY 40G</t>
  </si>
  <si>
    <t>VASILHAME COCA COLA 1L</t>
  </si>
  <si>
    <t>VASILHAME COCA COLA 2L</t>
  </si>
  <si>
    <t>VASILHAME COCA COLA ZERO 2L</t>
  </si>
  <si>
    <t>VASILHAME FANTA LARANJA 2L</t>
  </si>
  <si>
    <t>VASILHAME FANTA UVA 2L</t>
  </si>
  <si>
    <t>VASSOURA CONDOR MADRI</t>
  </si>
  <si>
    <t>VASSOURA CONDOR UTILITY V3</t>
  </si>
  <si>
    <t>VASSOURA CONDOR V9</t>
  </si>
  <si>
    <t>VASSOURA CONDOR VARRE TUDO V52</t>
  </si>
  <si>
    <t>VASSOURA NOVICA EXTERNA C/CABO</t>
  </si>
  <si>
    <t>VASSOURA NOVICA MULTIUSO C/CABO</t>
  </si>
  <si>
    <t>VASSOURA NOVICA PISO DELICADO C/CABO</t>
  </si>
  <si>
    <t>VASSOURA NOVICA VARRY 1000 C/CABO</t>
  </si>
  <si>
    <t>VELA ANIVER ESTRELAR JUNCO</t>
  </si>
  <si>
    <t>VELA ANIVER FONTE ESTRELAR JUNCO</t>
  </si>
  <si>
    <t>VELA ANIVER INTERROGACAO JUNCO GLITTER DOURADO</t>
  </si>
  <si>
    <t>VELA ANIVER INTERROGACAO JUNCO GLITTER PRATA</t>
  </si>
  <si>
    <t>VELA ANIVER JUNCO GLITER OURO N.0</t>
  </si>
  <si>
    <t>VELA ANIVER JUNCO GLITER OURO N.1</t>
  </si>
  <si>
    <t>VELA ANIVER JUNCO GLITER OURO N.2</t>
  </si>
  <si>
    <t>VELA ANIVER JUNCO GLITER OURO N.3</t>
  </si>
  <si>
    <t>VELA ANIVER JUNCO GLITER OURO N.4</t>
  </si>
  <si>
    <t>VELA ANIVER JUNCO GLITER OURO N.5</t>
  </si>
  <si>
    <t>VELA ANIVER JUNCO GLITER OURO N.6</t>
  </si>
  <si>
    <t>VELA ANIVER JUNCO GLITER OURO N.7</t>
  </si>
  <si>
    <t>VELA ANIVER JUNCO GLITER OURO N.8</t>
  </si>
  <si>
    <t>VELA ANIVER JUNCO GLITER OURO N.9</t>
  </si>
  <si>
    <t>VELA ANIVER JUNCO GLITER PRATA N.0</t>
  </si>
  <si>
    <t>VELA ANIVER JUNCO GLITER PRATA N.1</t>
  </si>
  <si>
    <t>VELA ANIVER JUNCO GLITER PRATA N.2</t>
  </si>
  <si>
    <t>VELA ANIVER JUNCO GLITER PRATA N.3</t>
  </si>
  <si>
    <t>VELA ANIVER JUNCO GLITER PRATA N.4</t>
  </si>
  <si>
    <t>VELA ANIVER JUNCO GLITER PRATA N.5</t>
  </si>
  <si>
    <t>VELA ANIVER JUNCO GLITER PRATA N.6</t>
  </si>
  <si>
    <t>VELA ANIVER JUNCO GLITER PRATA N.7</t>
  </si>
  <si>
    <t>VELA ANIVER JUNCO GLITER PRATA N.8</t>
  </si>
  <si>
    <t>VELA ANIVER JUNCO GLITER PRATA N.9</t>
  </si>
  <si>
    <t>VELA ANIVER PALITO ESPIRAL JUNCO AZUL</t>
  </si>
  <si>
    <t>VELA ANIVER PALITO ESPIRAL JUNCO BRANCA</t>
  </si>
  <si>
    <t>VELA ANIVER PALITO ESPIRAL JUNCO ROSA</t>
  </si>
  <si>
    <t>VELA ANIVER PALITO JUNCO AZUL</t>
  </si>
  <si>
    <t>VELA ANIVER PALITO JUNCO CHAMA COLORIDA</t>
  </si>
  <si>
    <t>VELA ANIVER PALITO JUNCO METALIZADA DOURADA</t>
  </si>
  <si>
    <t>VELA ANIVER PALITO JUNCO METALIZADA PRATA</t>
  </si>
  <si>
    <t>VELA BRANCA FIAT LUX N3 C/8</t>
  </si>
  <si>
    <t>VELA BRANCA FIAT LUX N5 C/8</t>
  </si>
  <si>
    <t>VELA PRATA N4</t>
  </si>
  <si>
    <t>VELA PRATA N5</t>
  </si>
  <si>
    <t>VINAGRE ALMAROMI 400ML MACA</t>
  </si>
  <si>
    <t>VINAGRE BALSAMICO ANDORINHA 250ML</t>
  </si>
  <si>
    <t>VINAGRE BALSAMICO CASTELO 230ML CREME TRAD</t>
  </si>
  <si>
    <t>VINAGRE BALSAMICO CASTELO 230ML FRAMBOESA</t>
  </si>
  <si>
    <t>VINAGRE BALSAMICO CASTELO 500ML</t>
  </si>
  <si>
    <t>VINAGRE BALSAMICO COLAVITA 250ML</t>
  </si>
  <si>
    <t>VINAGRE BALSAMICO GALLO 250ML</t>
  </si>
  <si>
    <t>VINAGRE BALSAMICO ORG UVASO 250ML TRADICIONAL</t>
  </si>
  <si>
    <t>VINAGRE CASTELO 500ML MACA</t>
  </si>
  <si>
    <t>VINAGRE CASTELO 500ML MACA S/CONSERVANTES</t>
  </si>
  <si>
    <t>VINAGRE CASTELO 500ML TINTO CLASSICO</t>
  </si>
  <si>
    <t>VINAGRE CASTELO 750ML ALHO</t>
  </si>
  <si>
    <t>VINAGRE CASTELO 750ML ARROZ</t>
  </si>
  <si>
    <t>VINAGRE CASTELO 750ML C/ALCOOL</t>
  </si>
  <si>
    <t>VINAGRE CASTELO 750ML COLORIDO</t>
  </si>
  <si>
    <t>VINAGRE CASTELO 750ML ERVAS FINAS</t>
  </si>
  <si>
    <t>VINAGRE CASTELO 750ML HORTELA</t>
  </si>
  <si>
    <t>VINAGRE CASTELO 750ML LIMAO</t>
  </si>
  <si>
    <t>VINAGRE CASTELO 750ML MACA</t>
  </si>
  <si>
    <t>VINAGRE CASTELO 750ML VINHO BRANCO</t>
  </si>
  <si>
    <t>VINAGRE CASTELO 750ML VINHO TINTO</t>
  </si>
  <si>
    <t>VINAGRE ESPORAO 500ML VINHO TINTO</t>
  </si>
  <si>
    <t>VINAGRE GALLO 250ML VINHO BRANCO</t>
  </si>
  <si>
    <t>VINAGRE GALLO 250ML VINHO TINTO</t>
  </si>
  <si>
    <t>VINAGRE KENKO 750ML ARROZ</t>
  </si>
  <si>
    <t>VINAGRE LA PASTINA 250ML MACA</t>
  </si>
  <si>
    <t>VINAGRE LA PASTINA 500ML VINHO BCO</t>
  </si>
  <si>
    <t>VINAGRE LA PASTINA 500ML VINHO TINT</t>
  </si>
  <si>
    <t>VINAGRE NATURAL LIFE 500ML S/G MACA</t>
  </si>
  <si>
    <t>VINAGRE ORG ROSANI 250ML MACA</t>
  </si>
  <si>
    <t>VINAGRE ORG UVASO 250ML VINHO TINTO</t>
  </si>
  <si>
    <t>VINAGRE ORG VICCINO 500ML MACA</t>
  </si>
  <si>
    <t>VINAGRE ORGANOBIO 250ML MACA</t>
  </si>
  <si>
    <t>VINAGRE ORGANOBIO 250ML VINHO</t>
  </si>
  <si>
    <t>VINAGRE ORGANOBIO 500ML MACA</t>
  </si>
  <si>
    <t>VINAGRE ORGANOVITA 250ML MACA</t>
  </si>
  <si>
    <t>VINAGRE ROSANI 500ML ARROZ</t>
  </si>
  <si>
    <t>VINAGRE ROSANI 500ML C/ALCOOL</t>
  </si>
  <si>
    <t>VINAGRE ROSANI 500ML MACA</t>
  </si>
  <si>
    <t>VINAGRE VICCINO 500ML ZERO MACA</t>
  </si>
  <si>
    <t>VINAGRETE ESP E SAB 30G</t>
  </si>
  <si>
    <t>WAFER AMANDITA 200G</t>
  </si>
  <si>
    <t>WARIBASHI SEKI C/40</t>
  </si>
  <si>
    <t>WASABI PASTA KENKO 43G</t>
  </si>
  <si>
    <t>XAROPE BOLDUC 250ML MAPLE</t>
  </si>
  <si>
    <t>YAKI BRANCO CASTELLA 300G</t>
  </si>
  <si>
    <t>YAKI PRETO CASTELLA 300G</t>
  </si>
  <si>
    <t>ANALISE DE PROMOÇÕES</t>
  </si>
  <si>
    <t>PRODUTO</t>
  </si>
  <si>
    <t>CODIGO</t>
  </si>
  <si>
    <t>PR BASE</t>
  </si>
  <si>
    <t>PR PROMO</t>
  </si>
  <si>
    <t>PMZ</t>
  </si>
  <si>
    <t>LUCRO BASE</t>
  </si>
  <si>
    <t>LUCRO PROMO</t>
  </si>
  <si>
    <t>.EQL</t>
  </si>
  <si>
    <t>SELL OUT</t>
  </si>
  <si>
    <t>M% BASE</t>
  </si>
  <si>
    <t>PREÇO</t>
  </si>
  <si>
    <t>INFO PRODUTO</t>
  </si>
  <si>
    <t xml:space="preserve">LUCRO </t>
  </si>
  <si>
    <t>!</t>
  </si>
  <si>
    <t>M% PROMO</t>
  </si>
  <si>
    <t>MARGEM</t>
  </si>
  <si>
    <t>TOTAL: 1872 linhas</t>
  </si>
  <si>
    <t>ABSINTO HABITUE 700ML</t>
  </si>
  <si>
    <t>AGUARDENTE BAGACEIRA NETO COSTA 1L</t>
  </si>
  <si>
    <t>AGUARDENTE PIRASSUNUNGA 51 965ML</t>
  </si>
  <si>
    <t>AGUARDENTE SAO FRANCISCO 970ML</t>
  </si>
  <si>
    <t>AGUARDENTE YPIOCA 150 ANOS 700ML</t>
  </si>
  <si>
    <t>AGUARDENTE YPIOCA 160 ANOS MALTE 700ML</t>
  </si>
  <si>
    <t>AGUARDENTE YPIOCA OURO 965ML</t>
  </si>
  <si>
    <t>AGUARDENTE YPIOCA OURO PALHA 960ML</t>
  </si>
  <si>
    <t>AGUARDENTE YPIOCA PRATA 965ML</t>
  </si>
  <si>
    <t>APARELHO FONDUE QJ CERAMICA C/7 PECAS</t>
  </si>
  <si>
    <t>APERITIVO APEROL 750ML</t>
  </si>
  <si>
    <t>APERITIVO ARAK HABITUE 750ML</t>
  </si>
  <si>
    <t>APERITIVO BUSCA VIDA 670ML</t>
  </si>
  <si>
    <t>APERITIVO CAMPARI BITTER 748ML</t>
  </si>
  <si>
    <t>APERITIVO CAMPARI NEGRONI 500ML</t>
  </si>
  <si>
    <t>APERITIVO CYNAR 900ML</t>
  </si>
  <si>
    <t>APERITIVO GIFT UNDERBERG 20ML LATA C/12</t>
  </si>
  <si>
    <t>APERITIVO LILLET BRANCO 750ML</t>
  </si>
  <si>
    <t>APERITIVO LILLET ROSE 750ML</t>
  </si>
  <si>
    <t>APERITIVO NEGRONI APOGEE 1L</t>
  </si>
  <si>
    <t>APERITIVO ST REMY 750ML</t>
  </si>
  <si>
    <t>APERITIVO UNDERBERG BRASILBERG 920ML</t>
  </si>
  <si>
    <t>BALDE DE GELO BRANCO 2,5L</t>
  </si>
  <si>
    <t>BALDE OPEN BAR ACO INOX 1,25L</t>
  </si>
  <si>
    <t>BEB BITTER ANGOSTURA AROMATIC 100ML</t>
  </si>
  <si>
    <t>BEB BITTER ANGOSTURA ORANGE 100ML</t>
  </si>
  <si>
    <t>BEB KEEP Z/ALCOOL 275ML BRANCO</t>
  </si>
  <si>
    <t>BEB KEEP Z/ALCOOL 275ML TINTO</t>
  </si>
  <si>
    <t>BEB MIST JOAO MENDES 500ML CAFE</t>
  </si>
  <si>
    <t>BEB MIST JOAO MENDES 500ML CRAVO/CANELA</t>
  </si>
  <si>
    <t>BEB MISTA BANANAZINHA 900ML</t>
  </si>
  <si>
    <t>BEB MISTA CATUABA SELVAGEM 900ML</t>
  </si>
  <si>
    <t>BEB MISTA EU GARANTO 670ML ASAS</t>
  </si>
  <si>
    <t>BEB MISTA JOAO MENDES 500ML BANANA</t>
  </si>
  <si>
    <t>BEB MISTA SELETA EU GARANTO 500 ML</t>
  </si>
  <si>
    <t>BEBIDA COMPOSTA DE ANIS WEBER HAUS 500ML</t>
  </si>
  <si>
    <t>BEBIDA WEBER HAUS MISTA 500ML C/BANANA</t>
  </si>
  <si>
    <t>BOMBA VACUO C/2 TAMPA PRETA</t>
  </si>
  <si>
    <t>BRANDY ALEXANDRION 5 STARS 1,75L</t>
  </si>
  <si>
    <t>BRANDY ALEXANDRION 7 STARS 1L</t>
  </si>
  <si>
    <t>BRANDY CASA VALDUGA 700ML</t>
  </si>
  <si>
    <t>BRANDY DOMECQ 1L</t>
  </si>
  <si>
    <t>BRANDY DREHER 900ML</t>
  </si>
  <si>
    <t>BRANDY MACIEIRA 5 ESTRELAS 700ML</t>
  </si>
  <si>
    <t>BRANDY OSBORNE 700ML</t>
  </si>
  <si>
    <t>CACHA BUCCO BALSAMO 700ML</t>
  </si>
  <si>
    <t>CACHACA ALZIRA 750ML</t>
  </si>
  <si>
    <t>CACHACA ANISIO SANTIAGO 500ML</t>
  </si>
  <si>
    <t>CACHACA ANISIO SANTIAGO 600ML</t>
  </si>
  <si>
    <t>CACHACA ANTONIO RODRIGUES 750 ML</t>
  </si>
  <si>
    <t>CACHACA BALUARTE 600ML</t>
  </si>
  <si>
    <t>CACHACA BALUARTE 670ML</t>
  </si>
  <si>
    <t>CACHACA BOAZINHA 1L</t>
  </si>
  <si>
    <t>CACHACA BOAZINHA 700ML</t>
  </si>
  <si>
    <t>CACHACA BUCCO 8 MADEIRAS 700ML</t>
  </si>
  <si>
    <t>CACHACA BUCCO AMBURANA 700ML</t>
  </si>
  <si>
    <t>CACHACA BUCCO CALOR BRASILIS 700ML</t>
  </si>
  <si>
    <t>CACHACA BUCCO CARVALHO 700ML</t>
  </si>
  <si>
    <t>CACHACA BUCCO EXTRA PREM VI 700ML</t>
  </si>
  <si>
    <t>CACHACA BUCCO PRATA 700ML</t>
  </si>
  <si>
    <t>CACHACA BUCCO PREMIUM BLEND MADEIRAS 750ML</t>
  </si>
  <si>
    <t>CACHACA BUCCO SASSAFRAS 700ML</t>
  </si>
  <si>
    <t>CACHACA CABARE AMBURANA 700ML</t>
  </si>
  <si>
    <t>CACHACA CABARE OURO 700ML</t>
  </si>
  <si>
    <t>CACHACA CABARE PRATA 700ML</t>
  </si>
  <si>
    <t>CACHACA CABARE PREMIUM 15 ANOS 700ML</t>
  </si>
  <si>
    <t>CACHACA CANELAZINHA 900ML</t>
  </si>
  <si>
    <t>CACHACA CHICO MINEIRO PRATA 670ML</t>
  </si>
  <si>
    <t>CACHACA ESPIRITO DE MINAS 700ML TRAD</t>
  </si>
  <si>
    <t>CACHACA ESPIRITO DE MINAS OURO 700ML</t>
  </si>
  <si>
    <t>CACHACA GERMANA PALHA 1L</t>
  </si>
  <si>
    <t>CACHACA HAVANA 500ML</t>
  </si>
  <si>
    <t>CACHACA HAVANA 600ML</t>
  </si>
  <si>
    <t>CACHACA JOAO MENDES AMBURANA 670ML</t>
  </si>
  <si>
    <t>CACHACA JOAO MENDES CANA 500ML</t>
  </si>
  <si>
    <t>CACHACA JOAO MENDES CANA 600ML</t>
  </si>
  <si>
    <t>CACHACA JOAO MENDES CANA PRATA 600ML</t>
  </si>
  <si>
    <t>CACHACA JOAO MENDES CARROCAO 970ML</t>
  </si>
  <si>
    <t>CACHACA JOAO MENDES DUAS MAD 750ML</t>
  </si>
  <si>
    <t>CACHACA JOAO MENDES OURO 670ML</t>
  </si>
  <si>
    <t>CACHACA JOAO MENDES PRATA 670ML</t>
  </si>
  <si>
    <t>CACHACA JOAO MENDES PREMIUM OURO 750ML</t>
  </si>
  <si>
    <t>CACHACA JOAO MENDES SERIE OURO 500ML</t>
  </si>
  <si>
    <t>CACHACA JOAO MENDES TRES MAD 750ML</t>
  </si>
  <si>
    <t>CACHACA LEBLON 750ML</t>
  </si>
  <si>
    <t>CACHACA LUA NOVA 700ML</t>
  </si>
  <si>
    <t>CACHACA MARIA AUGUSTA OROBO OURO 700ML</t>
  </si>
  <si>
    <t>CACHACA MARIA AUGUSTA TINGA PRATA 700ML</t>
  </si>
  <si>
    <t>CACHACA MEIA LUA AMBURANA 670ML</t>
  </si>
  <si>
    <t>CACHACA MEIA LUA BALSAMO 670ML</t>
  </si>
  <si>
    <t>CACHACA MEIA LUA CARVALHO 670ML</t>
  </si>
  <si>
    <t>CACHACA MEIA LUA JEQUITIBA 670ML</t>
  </si>
  <si>
    <t>CACHACA RESERVA 51 700ML CARVALHO AMERIC</t>
  </si>
  <si>
    <t>CACHACA RESERVA 51 RARA 700ML</t>
  </si>
  <si>
    <t>CACHACA RESERVA 51 SINGULAR 700ML</t>
  </si>
  <si>
    <t>CACHACA SABOR DE MINAS 600ML</t>
  </si>
  <si>
    <t>CACHACA SALINAS 700ML</t>
  </si>
  <si>
    <t>CACHACA SALINAS ARARIBA 700ML</t>
  </si>
  <si>
    <t>CACHACA SALINAS BALSAMO 700ML</t>
  </si>
  <si>
    <t>CACHACA SALINAS BLACK 750ML</t>
  </si>
  <si>
    <t>CACHACA SALINAS CARVALHO 700ML</t>
  </si>
  <si>
    <t>CACHACA SALINAS CERAMICA 670ML</t>
  </si>
  <si>
    <t>CACHACA SALINAS CRISTALINA 700ML</t>
  </si>
  <si>
    <t>CACHACA SALINAS IPE 700ML</t>
  </si>
  <si>
    <t>CACHACA SALINAS ORGANICA 750ML</t>
  </si>
  <si>
    <t>CACHACA SALINAS UMBURANA 700ML</t>
  </si>
  <si>
    <t>CACHACA SALINISSIMA 670ML BALSAMO</t>
  </si>
  <si>
    <t>CACHACA SALINISSIMA AMBURANA 670ML</t>
  </si>
  <si>
    <t>CACHACA SALINISSIMA PRATA 670ML</t>
  </si>
  <si>
    <t>CACHACA SANTO GRAU RESERVA CHAVES 750ML</t>
  </si>
  <si>
    <t>CACHACA SANTO GRAU RESERVA ITIRAPUA 750ML</t>
  </si>
  <si>
    <t>CACHACA SANTO GRAU RESERVA PARATY 750ML</t>
  </si>
  <si>
    <t>CACHACA SELETA 1L</t>
  </si>
  <si>
    <t>CACHACA SELETA 600ML</t>
  </si>
  <si>
    <t>CACHACA SELETA 700ML</t>
  </si>
  <si>
    <t>CACHACA SELETA ASAS 670ML</t>
  </si>
  <si>
    <t>CACHACA SELETA PRATA 1L</t>
  </si>
  <si>
    <t>CACHACA SELETA PRATA 700ML</t>
  </si>
  <si>
    <t>CACHACA STO GRAU CORONEL CHAV 750ML</t>
  </si>
  <si>
    <t>CACHACA STO GRAU ITIRAPUA 750ML</t>
  </si>
  <si>
    <t>CACHACA STO GRAU PARATY 750ML</t>
  </si>
  <si>
    <t>CACHACA UNNA EXTRA PREMIUM 700ML</t>
  </si>
  <si>
    <t>CACHACA UNNA OURO 750ML</t>
  </si>
  <si>
    <t>CACHACA VALE VERDE OURO 700ML</t>
  </si>
  <si>
    <t>CACHACA VB ALAMBIQUE 700ML</t>
  </si>
  <si>
    <t>CACHACA VELHO BARREIRO 600ML</t>
  </si>
  <si>
    <t>CACHACA VELHO BARREIRO 910ML</t>
  </si>
  <si>
    <t>CACHACA VELHO BARREIRO CAFE 910ML</t>
  </si>
  <si>
    <t>CACHACA VELHO BARREIRO DIAMOND 700ML</t>
  </si>
  <si>
    <t>CACHACA VELHO BARREIRO PLATINUM 700ML</t>
  </si>
  <si>
    <t>CACHACA VELHO BARREIRO RESERVA OURO 700ML</t>
  </si>
  <si>
    <t>CACHACA VELHO BARREIRO RESERVA PRATA 700ML</t>
  </si>
  <si>
    <t>CACHACA WEBER HAUS 7 MADEIRAS 750ML</t>
  </si>
  <si>
    <t>CACHACA WEBER HAUS AMBURANA ORG 700ML</t>
  </si>
  <si>
    <t>CACHACA WEBER HAUS BALSAMO ORG 700ML</t>
  </si>
  <si>
    <t>CACHACA WEBER HAUS EX PREMIUM GOLD ORG 750ML</t>
  </si>
  <si>
    <t>CACHACA WEBER HAUS EXTRA PREMIUM 750ML 6 ANOS</t>
  </si>
  <si>
    <t>CACHACA WEBER HAUS PREMIUM BLACK 750ML</t>
  </si>
  <si>
    <t>CACHACA WEBER HAUS PREMIUM CARVALHO CABRIUVA 700ML</t>
  </si>
  <si>
    <t>CACHACA WEBER HAUS SASSAFRAS CANELA 700ML</t>
  </si>
  <si>
    <t>CACHACA YPIOCA 5 CHAVES 700ML</t>
  </si>
  <si>
    <t>CANECA ACO INOX COBRE 550ML</t>
  </si>
  <si>
    <t>CANECA P/CERVEJA BEER MUG 350ML</t>
  </si>
  <si>
    <t>CHA P/DRINKS LEAO 20G MORANGO/HORTELA</t>
  </si>
  <si>
    <t>CHA P/DRINKS LEAO 20G PESSEGO</t>
  </si>
  <si>
    <t>CHAMP DEUTZ BRUT CLASSIC 750ML</t>
  </si>
  <si>
    <t>CHAMP DEUTZ BRUT ROSE 750ML</t>
  </si>
  <si>
    <t>CHAMP DOM PERIGNON VINTAGE 750ML</t>
  </si>
  <si>
    <t>CHAMP G.H. MUMM ROSE 750ML</t>
  </si>
  <si>
    <t>CHAMP MOET CHANDON BRUT IMPERIAL 3L</t>
  </si>
  <si>
    <t>CHAMP MOET CHANDON BRUT IMPERIAL 750 ML</t>
  </si>
  <si>
    <t>CHAMP MOET CHANDON NECTAR IMP 750ML</t>
  </si>
  <si>
    <t>CHAMP MOET CHANDON ROSE IMP 750ML</t>
  </si>
  <si>
    <t>CHAMP MOET ICE IMPERIAL 750ML</t>
  </si>
  <si>
    <t>CHAMP MOET ICE IMPERIAL ROSE 750ML</t>
  </si>
  <si>
    <t>CHAMP PERRIER JOUET BLANC 750ML</t>
  </si>
  <si>
    <t>CHAMP VEUVE BRUT NEW ICE JACKET 750ML</t>
  </si>
  <si>
    <t>CHAMP VEUVE CLICQUOT 750ML BRUT</t>
  </si>
  <si>
    <t>CHAMP VEUVE CLICQUOT 750ML DEMI-SEC</t>
  </si>
  <si>
    <t>CHAMP VEUVE CLICQUOT BRUT 3L</t>
  </si>
  <si>
    <t>CHAMP VEUVE CLICQUOT BRUT FRIDGE 750ML</t>
  </si>
  <si>
    <t>CHAMP VEUVE CLICQUOT ICE BOX 750ML</t>
  </si>
  <si>
    <t>CHAMP VEUVE CLICQUOT ROSE 750ML</t>
  </si>
  <si>
    <t>CHAMP VEUVE CLICQUOT ROSE FRIDGE 750ML</t>
  </si>
  <si>
    <t>CHAMPAGNE KRUG GRAND CUVEE 750ML</t>
  </si>
  <si>
    <t>CHAMPAGNE MUMM GRAND BRUT 750ML</t>
  </si>
  <si>
    <t>CHAMPAGNE PERRIER JOUET GRAND BRUT 750ML</t>
  </si>
  <si>
    <t>CHAMPAGNE RUINART BLANC DE BLANCS 750ML</t>
  </si>
  <si>
    <t>CHAMPAGNE RUINART ROSE 750ML</t>
  </si>
  <si>
    <t>CHAMPAGNE TAITTINGER BRUT 750ML</t>
  </si>
  <si>
    <t>CHAMPAGNE VEUVE CLICQUOT ROSE 2002 750ML</t>
  </si>
  <si>
    <t>CHAMPANHEIRA 4 GARRAFAS PRETA</t>
  </si>
  <si>
    <t>CHAMPANHEIRA 4 GARRAFAS TRANSPARENTE</t>
  </si>
  <si>
    <t>CHAMPANHEIRA 5 GARRAFAS PRETA</t>
  </si>
  <si>
    <t>COGNAC HENNESSY V.S.O.P 700ML</t>
  </si>
  <si>
    <t>COGNAC HENNESSY VERY SPECIAL 700ML</t>
  </si>
  <si>
    <t>COGNAC REMY MARTIN VSOP 700ML</t>
  </si>
  <si>
    <t>COPO ALTO BIERGARTEN 500ML</t>
  </si>
  <si>
    <t>COPO BRAHMA DUPLO MALTE 330ML</t>
  </si>
  <si>
    <t>COPO BUDWEISER 400ML</t>
  </si>
  <si>
    <t>COPO BUDWEISER VIDRO 350ML</t>
  </si>
  <si>
    <t>COPO CERVEJA PILSNER CRISTAL 300ML</t>
  </si>
  <si>
    <t>COPO CERVEJA PRAGUE 300ML</t>
  </si>
  <si>
    <t>COPO CERVEJA WEISEN CRISTAL 400ML</t>
  </si>
  <si>
    <t>COPO ERDINGER SOMMERWEISSE 300ML</t>
  </si>
  <si>
    <t>COPO PARA WHISKY 290ML</t>
  </si>
  <si>
    <t>COPO PARA WHISKY 400ML CRISTAL ECO</t>
  </si>
  <si>
    <t>COPO PAULANER WEISSBIER 500ML</t>
  </si>
  <si>
    <t>COQUETEL DON LUIZ DULCE DE LECHE CREAM 750ML</t>
  </si>
  <si>
    <t>COQUETEL SEAGERS NEGRONI 1L</t>
  </si>
  <si>
    <t>COQUETELEIRA ACO INOX DYNASTY 500ML</t>
  </si>
  <si>
    <t>DECANTER 1,4L CRISTAL ECO</t>
  </si>
  <si>
    <t>DECANTER HAND MADE EM CRISTAL 1,1L</t>
  </si>
  <si>
    <t>DECANTER VIOLA COM ALCA 1,5L</t>
  </si>
  <si>
    <t>ESP ALIANCA SERRA GAUCHA BRUT ROSE 750ML</t>
  </si>
  <si>
    <t>ESP ALIANCA SERRA GAUCHA MOSCATEL BRANCO 750ML</t>
  </si>
  <si>
    <t>ESP AURORA MOSCATEL 750ML</t>
  </si>
  <si>
    <t>ESP AURORA MOSCATEL ROSE 750ML</t>
  </si>
  <si>
    <t>ESP AURORA S/ALCOOL 750ML</t>
  </si>
  <si>
    <t>ESP AURORA Z/ALCOOL ROSE 750ML</t>
  </si>
  <si>
    <t>ESP BRILLANCE CREMANT BRUT 750ML</t>
  </si>
  <si>
    <t>ESP CAMPO LARGO BRUT 750ML</t>
  </si>
  <si>
    <t>ESP CAMPO LARGO FESTY 660ML S/ALCOOL</t>
  </si>
  <si>
    <t>ESP CAMPO LARGO MOSCATEL 750ML</t>
  </si>
  <si>
    <t>ESP CAMPO LARGO MOSCATEL ROSE 750ML</t>
  </si>
  <si>
    <t>ESP CASA PERINI 750ML BRUT</t>
  </si>
  <si>
    <t>ESP CASA PERINI 750ML BRUT ROSE</t>
  </si>
  <si>
    <t>ESP CASA PERINI 750ML MOSCATEL</t>
  </si>
  <si>
    <t>ESP CASA PERINI 750ML MOSCATEL AQUA</t>
  </si>
  <si>
    <t>ESP CASA PERINI 750ML PROSECCO</t>
  </si>
  <si>
    <t>ESP CASA VALDUGA 130 BRUT BLANC 750ML</t>
  </si>
  <si>
    <t>ESP CASA VALDUGA 130 BRUT NOIR 750ML</t>
  </si>
  <si>
    <t>ESP CASA VALDUGA 130 BRUT ROSE 750ML</t>
  </si>
  <si>
    <t>ESP CASA VALDUGA 750ML ARTE BRUT</t>
  </si>
  <si>
    <t>ESP CASA VALDUGA 750ML ARTE DEMI SEC</t>
  </si>
  <si>
    <t>ESP CASA VALDUGA 750ML BRUT ROSE</t>
  </si>
  <si>
    <t>ESP CASA VALDUGA 750ML EXTRA BRUT</t>
  </si>
  <si>
    <t>ESP CASA VALDUGA 750ML NATURELLE MOSCATEL</t>
  </si>
  <si>
    <t>ESP CASA VALDUGA 750ML SUR LIE</t>
  </si>
  <si>
    <t>ESP CASA VALDUGA ARTE 750ML ROSE</t>
  </si>
  <si>
    <t>ESP CASA VALDUGA BRUT 130 ANOS 750ML</t>
  </si>
  <si>
    <t>ESP CASA VALDUGA PREMIVM BRUT 750ML</t>
  </si>
  <si>
    <t>ESP CASA VALDUGA PREMIVM NATURE 750ML</t>
  </si>
  <si>
    <t>ESP CASA VALDUGA RESERV BLUSH 750ML</t>
  </si>
  <si>
    <t>ESP CAVA CODORNIU BRUT 750ML</t>
  </si>
  <si>
    <t>ESP CAVA CODORNIU BRUT ROSADO 750ML</t>
  </si>
  <si>
    <t>ESP CAVA CODORNIU DEMI 750ML</t>
  </si>
  <si>
    <t>ESP CAVA FREIXENET CARTA NEVADA 750ML</t>
  </si>
  <si>
    <t>ESP CAVA FREIXENET CORDON 200ML CARTA NEVADA</t>
  </si>
  <si>
    <t>ESP CAVA FREIXENET CORDON 200ML NEGRO BRUT</t>
  </si>
  <si>
    <t>ESP CAVA FREIXENET CORDON 200ML ROSADO</t>
  </si>
  <si>
    <t>ESP CAVA FREIXENET CORDON 750ML NEGRO</t>
  </si>
  <si>
    <t>ESP CAVA FREIXENET CORDON 750ML ROSADO</t>
  </si>
  <si>
    <t>ESP CAVA FREIXENET CORDON NEGRO BRUT 1,5L</t>
  </si>
  <si>
    <t>ESP CAVA FREIXENET ICE ROSE 750ML</t>
  </si>
  <si>
    <t>ESP CAVA FREIXENET NEVADA DEMI SEC 1,5L</t>
  </si>
  <si>
    <t>ESP CAVA PATA NEGRA BRUT 750ML</t>
  </si>
  <si>
    <t>ESP CAVE GEISSE BLANC DE NOIR 750ML</t>
  </si>
  <si>
    <t>ESP CAVE GEISSE BRUT 750ML</t>
  </si>
  <si>
    <t>ESP CAVE GEISSE NATURE 750ML</t>
  </si>
  <si>
    <t>ESP CAVE GEISSE ROSE 750ML</t>
  </si>
  <si>
    <t>ESP CHANDON BABY BRUT 187ML</t>
  </si>
  <si>
    <t>ESP CHANDON BABY BRUT ROSE 187ML</t>
  </si>
  <si>
    <t>ESP CHANDON BLANC DE NOIR 750ML</t>
  </si>
  <si>
    <t>ESP CHANDON BRUT ROSE 750ML</t>
  </si>
  <si>
    <t>ESP CHANDON CUVEE 50 ANOS 750ML</t>
  </si>
  <si>
    <t>ESP CHANDON NEVOA DAS ENCANTADAS 750ML</t>
  </si>
  <si>
    <t>ESP CHANDON PASSION 750ML</t>
  </si>
  <si>
    <t>ESP CHANDON RESERVE 750ML BRUT</t>
  </si>
  <si>
    <t>ESP CHARLES PELLETIER GRAND 750ML</t>
  </si>
  <si>
    <t>ESP CHARLES PELLETIER ROSE 750ML</t>
  </si>
  <si>
    <t>ESP CONDE FOUCAULD BRUT 750ML</t>
  </si>
  <si>
    <t>ESP CONDE FOUCAULD DEMI 750ML</t>
  </si>
  <si>
    <t>ESP CONDE FOUCAULD ROSE BRUT 750ML</t>
  </si>
  <si>
    <t>ESP CONDE FOUCAULD ROSE DEMI 750ML</t>
  </si>
  <si>
    <t>ESP DON GUERINO BRUT 750ML</t>
  </si>
  <si>
    <t>ESP DON GUERINO BRUT ROSE 750ML</t>
  </si>
  <si>
    <t>ESP DON GUERINO DEMI-SEC 750ML</t>
  </si>
  <si>
    <t>ESP DON GUERINO EXTRA BRUT 750ML</t>
  </si>
  <si>
    <t>ESP DON GUERINO LUM BRUT ROSE 750ML</t>
  </si>
  <si>
    <t>ESP DON GUERINO LUMEN BRUT 750ML</t>
  </si>
  <si>
    <t>ESP DON GUERINO MOSCATEL 750ML</t>
  </si>
  <si>
    <t>ESP DON GUERINO MOSCATEL ROSE 750ML</t>
  </si>
  <si>
    <t>ESP DON GUERINO NATURE 750ML</t>
  </si>
  <si>
    <t>ESP DON GUERINO PROSECCO 750ML</t>
  </si>
  <si>
    <t>ESP EXCELLENCE CUVEE PRESTIGE BRUT 750ML</t>
  </si>
  <si>
    <t>ESP EXCELLENCE CUVEE PRESTIGE ROSE 750ML</t>
  </si>
  <si>
    <t>ESP FAUSTO BRUT 750ML</t>
  </si>
  <si>
    <t>ESP FAUSTO BRUT ROSE 750ML</t>
  </si>
  <si>
    <t>ESP FERRARI MAXIMUM BRUT 750ML</t>
  </si>
  <si>
    <t>ESP FERRARI MAXIMUM ROSE 750ML</t>
  </si>
  <si>
    <t>ESP FREIXENET ASTI DOCG 750ML</t>
  </si>
  <si>
    <t>ESP FREIXENET ICE BRANCO 750ML</t>
  </si>
  <si>
    <t>ESP FREIXENET ITALIAN ROSE 1,5L</t>
  </si>
  <si>
    <t>ESP FREIXENET KOSHER BRUT 750ML</t>
  </si>
  <si>
    <t>ESP FREIXENET PROSECCO 750ML</t>
  </si>
  <si>
    <t>ESP FREIXENET PROSECCO D.O.C. SECO 1,5L</t>
  </si>
  <si>
    <t>ESP FREIXENET ROSE 750ML</t>
  </si>
  <si>
    <t>ESP FREIXENET S/ALCOOL 750ML</t>
  </si>
  <si>
    <t>ESP HENKELL BRUT 750ML</t>
  </si>
  <si>
    <t>ESP JAUME SERRA CAVA BRUT 750ML</t>
  </si>
  <si>
    <t>ESP JAUME SERRA CAVA BRUT ROSE 750ML</t>
  </si>
  <si>
    <t>ESP JAUME SERRA CAVA SEMI SECO 750ML</t>
  </si>
  <si>
    <t>ESP LA ROCHE BRUT 750ML</t>
  </si>
  <si>
    <t>ESP LA ROCHE DEMI SEC 750ML</t>
  </si>
  <si>
    <t>ESP LA ROCHE ROSE 750ML</t>
  </si>
  <si>
    <t>ESP LUIZ ARGENTA BRUT JOVEM 750ML</t>
  </si>
  <si>
    <t>ESP LUIZ ARGENTA BRUT ROSE JOVEM 750ML</t>
  </si>
  <si>
    <t>ESP LUIZ ARGENTA BUBBLE AUDREY JOVEM 750ML</t>
  </si>
  <si>
    <t>ESP LUIZ ARGENTA TERROIR XXVII BRUT 750ML</t>
  </si>
  <si>
    <t>ESP LUIZ ARGENTA TERROIR XXVII MOSCATEL 750ML</t>
  </si>
  <si>
    <t>ESP LUIZ ARGENTA TERROIR XXVII ROSE 750ML</t>
  </si>
  <si>
    <t>ESP MARIA VALDUGA BRUT 750ML</t>
  </si>
  <si>
    <t>ESP MIOLO CUVEE BRUT 750ML</t>
  </si>
  <si>
    <t>ESP MOSCATEL AURORA 187ML</t>
  </si>
  <si>
    <t>ESP P.N. SO2 FREE BRUT 750ML</t>
  </si>
  <si>
    <t>ESP PIZZATO BRUT BRANCO 750ML</t>
  </si>
  <si>
    <t>ESP PIZZATO BRUT ROSE 750ML</t>
  </si>
  <si>
    <t>ESP PN CELEBRATION 750ML MOSCATEL</t>
  </si>
  <si>
    <t>ESP PN CELEBRATION BRUT 750ML</t>
  </si>
  <si>
    <t>ESP PN CELEBRATION BRUT ROSE 750ML</t>
  </si>
  <si>
    <t>ESP PN CELEBRATION GLERA 750ML</t>
  </si>
  <si>
    <t>ESP PN CELEBRATION MOSCATEL ROSE 750ML</t>
  </si>
  <si>
    <t>ESP PONTO NERO LIVE DREAMS MOSCATO 750ML</t>
  </si>
  <si>
    <t>ESP PONTO NERO LIVE MOSCATO 750ML Z/ALCOOL</t>
  </si>
  <si>
    <t>ESP PROSECCO AURORA 187ML</t>
  </si>
  <si>
    <t>ESP PROSECCO MIONETTO D.O.C. BRUT 750ML</t>
  </si>
  <si>
    <t>ESP PROSECCO SAINT GERMAIN BRUT 660ML</t>
  </si>
  <si>
    <t>ESP SAINT GERMAIN BRUT 660ML</t>
  </si>
  <si>
    <t>ESP SAINT GERMAIN ROSE DEMI 660ML</t>
  </si>
  <si>
    <t>ESP SALTON 750ML BRUT</t>
  </si>
  <si>
    <t>ESP SALTON 750ML DEMI SEC</t>
  </si>
  <si>
    <t>ESP SALTON 750ML MOSC</t>
  </si>
  <si>
    <t>ESP SALTON BRUT ROSE 750ML</t>
  </si>
  <si>
    <t>ESP SALTON PROSECCO BRUT 750ML</t>
  </si>
  <si>
    <t>ESP SALTON PROSECCO BRUT ROSE 750ML</t>
  </si>
  <si>
    <t>ESP SEGURA VIUDAS RESERVA 750ML</t>
  </si>
  <si>
    <t>ESP SEGURA VIUDAS RESERVA BRUT 750ML</t>
  </si>
  <si>
    <t>ESP SEGURA VIUDAS ROSE BRUT 750ML</t>
  </si>
  <si>
    <t>ESP TOSTI NOTTE DI BOLLICINE GRAN CUVE BRUT 750ML</t>
  </si>
  <si>
    <t>ESPECIARIAS EASY DRINKS 16G FRUTAS CITRICAS</t>
  </si>
  <si>
    <t>ESPECIARIAS EASY DRINKS 16G FRUTAS VERMELHAS</t>
  </si>
  <si>
    <t>ESPUMA EASY DRINKS 260G LIMAO SICILIANO</t>
  </si>
  <si>
    <t>ESPUMA EASY DRINKS 260G MOCHA &amp; VANILLA</t>
  </si>
  <si>
    <t>ESPUMA EASY DRINKS 260G MOSCOW</t>
  </si>
  <si>
    <t>GIN AMAZZONI 750ML</t>
  </si>
  <si>
    <t>GIN AMAZZONI MANIUARA 750ML</t>
  </si>
  <si>
    <t>GIN AMAZZONI RIO NEGRO 750ML</t>
  </si>
  <si>
    <t>GIN APOGEE CITRUS 1L</t>
  </si>
  <si>
    <t>GIN APOGEE ROSE 1L</t>
  </si>
  <si>
    <t>GIN APOGEE TRADICIONAL 1L</t>
  </si>
  <si>
    <t>GIN BECOSA 1L</t>
  </si>
  <si>
    <t>GIN BEEFEATER BOTANICS 750ML</t>
  </si>
  <si>
    <t>GIN BEEFEATER LONDON 750ML</t>
  </si>
  <si>
    <t>GIN BEEFEATER PINK 700ML</t>
  </si>
  <si>
    <t>GIN BOMBAY BRAMBLE 700ML</t>
  </si>
  <si>
    <t>GIN BOMBAY SAPPHIRE 1,75L</t>
  </si>
  <si>
    <t>GIN BOMBAY SAPPHIRE 750ML</t>
  </si>
  <si>
    <t>GIN FLOR DE SEVILLA TANQUERAY 50ML</t>
  </si>
  <si>
    <t>GIN GORDON'S DRY SICILIAN LEMON 700ML</t>
  </si>
  <si>
    <t>GIN GORDONS 750ML</t>
  </si>
  <si>
    <t>GIN GORDONS PINK 700ML</t>
  </si>
  <si>
    <t>GIN HENDRICKS 750ML</t>
  </si>
  <si>
    <t>GIN LARIOS 12 PREMIUM 700ML</t>
  </si>
  <si>
    <t>GIN LARIOS ORIGINAL 700ML</t>
  </si>
  <si>
    <t>GIN LARIOS ROSE 700ML</t>
  </si>
  <si>
    <t>GIN LONDON DRY BEEFEATER 24 750ML</t>
  </si>
  <si>
    <t>GIN LONDON DRY TANQUERAY 50ML</t>
  </si>
  <si>
    <t>GIN NORDES ATLANTIC GALICIAN 700ML</t>
  </si>
  <si>
    <t>GIN RANGPUR TANQUERAY 700ML</t>
  </si>
  <si>
    <t>GIN ROKU 700ML</t>
  </si>
  <si>
    <t>GIN SEAGERS DRY 1L</t>
  </si>
  <si>
    <t>GIN SEAGRAMS 750ML</t>
  </si>
  <si>
    <t>GIN SILVER SEAGERS 750ML</t>
  </si>
  <si>
    <t>GIN SPECIAL DRY GILBEYS 700ML</t>
  </si>
  <si>
    <t>GIN TANQUERAY 750ML</t>
  </si>
  <si>
    <t>GIN TANQUERAY 750ML + TACA</t>
  </si>
  <si>
    <t>GIN TANQUERAY 750ML TEN</t>
  </si>
  <si>
    <t>GIN TANQUERAY ROYALE 700ML</t>
  </si>
  <si>
    <t>GIN TANQUERAY SEVILLA 700ML</t>
  </si>
  <si>
    <t>GIN TANQUERAY TEN 50ML</t>
  </si>
  <si>
    <t>GIN VILLA ASCENTI 700ML</t>
  </si>
  <si>
    <t>GRAPA DI MOSCATO VILLA ADRIANA 500ML</t>
  </si>
  <si>
    <t>GRAPPA CASA BUCCO BRANCA 500ML</t>
  </si>
  <si>
    <t>JOGO C/2 TACAS BEATRIZ CRISTAL 770ML</t>
  </si>
  <si>
    <t>JOGO C/2 TACAS SOMMELIER 850ML CRISTAL ECO</t>
  </si>
  <si>
    <t>JOGO JARRA DECANTER 1,5L + 2 TACAS 450ML</t>
  </si>
  <si>
    <t>KIT 2 TACAS VINHO + SACA ROLHAS GTS ESCOVA</t>
  </si>
  <si>
    <t>KIT BRANDY OSBORNE 700ML</t>
  </si>
  <si>
    <t>KIT CACHACA MEIA LUA</t>
  </si>
  <si>
    <t>KIT CACHACA SANTO GRAU 375ML</t>
  </si>
  <si>
    <t>KIT CAIPIRINHA JOAO MENDES PRATA 270ML</t>
  </si>
  <si>
    <t>KIT CAIPIRINHA JOAO MENDES PRATA 700ML</t>
  </si>
  <si>
    <t>KIT CHANDON RESERVE BRUT 6+1</t>
  </si>
  <si>
    <t>KIT CHICO MINEIRO CAIPIRINHA</t>
  </si>
  <si>
    <t>KIT ESP CASA PERINI AQUARELA 750ML C/7 + BALDE</t>
  </si>
  <si>
    <t>KIT ESP CASA PERINI BRUT 750ML C/7 + BALDE</t>
  </si>
  <si>
    <t>KIT ESP CASA PERINI BRUT ROSE 750ML C/7 + BALDE</t>
  </si>
  <si>
    <t>KIT ESP CASA PERINI MOSCATEL 750ML C/7 + BALDE</t>
  </si>
  <si>
    <t>KIT ESP FREIXENET 750ML 6+1 CARTA NEVADA 1,5L</t>
  </si>
  <si>
    <t>KIT ESP FREIXENET 750ML 6+1 CORDON NEGRO 1,5L</t>
  </si>
  <si>
    <t>KIT ESP FREIXENET 750ML 6+1 ITALIAN ROSE</t>
  </si>
  <si>
    <t>KIT ESP FREIXENET 750ML 6+1 PROSECCO</t>
  </si>
  <si>
    <t>KIT GIN HENDRICKS 750ML</t>
  </si>
  <si>
    <t>KIT GIN TANQUERAY+WHISKY J WALK BLONDE 750ML</t>
  </si>
  <si>
    <t>KIT VINHO ESPORAO RES VERTICAL 750ML</t>
  </si>
  <si>
    <t>KIT VINHO REGUENGOS TINTO 750ML C/6</t>
  </si>
  <si>
    <t>KIT WHISKY J WALK 18 ANOS 50ML</t>
  </si>
  <si>
    <t>LICOR 750ML DOCE DE LEITE MEIA LUA</t>
  </si>
  <si>
    <t>LICOR AMARETTO DELL' ORSO 700ML</t>
  </si>
  <si>
    <t>LICOR AMARULA CHOCOLATE 750ML</t>
  </si>
  <si>
    <t>LICOR AMARULA COFFEE 750ML</t>
  </si>
  <si>
    <t>LICOR AMARULA CREAM 750ML</t>
  </si>
  <si>
    <t>LICOR AMARULA VANILLA 750ML</t>
  </si>
  <si>
    <t>LICOR AMENDOA AMARGUINHA 700ML</t>
  </si>
  <si>
    <t>LICOR BAILEYS 750ML</t>
  </si>
  <si>
    <t>LICOR CACHACA WEBER HAUS ORG 500ML</t>
  </si>
  <si>
    <t>LICOR CAFE BUCCO 500ML</t>
  </si>
  <si>
    <t>LICOR CAN FIREBALL 750ML</t>
  </si>
  <si>
    <t>LICOR CARAVELLA LIMONCELLO 750ML</t>
  </si>
  <si>
    <t>LICOR COINTREAU 700ML</t>
  </si>
  <si>
    <t>LICOR DIEGO ZAMORA 43 700ML CREME BRULEE</t>
  </si>
  <si>
    <t>LICOR DIEGO ZAMORA 43 BARISTO 700ML</t>
  </si>
  <si>
    <t>LICOR DIEGO ZAMORA 43 CHOCOLATE 700ML</t>
  </si>
  <si>
    <t>LICOR DIEGO ZAMORA 43 HORCHATA 700ML</t>
  </si>
  <si>
    <t>LICOR DRAMBUIE 750ML</t>
  </si>
  <si>
    <t>LICOR ESP DIEGO ZAMORA 43 700ML</t>
  </si>
  <si>
    <t>LICOR FRANGELICO 700ML</t>
  </si>
  <si>
    <t>LICOR JAGERMEISTER 700ML</t>
  </si>
  <si>
    <t>LICOR JOAO MENDES 500ML DOCE DE LEITE</t>
  </si>
  <si>
    <t>LICOR LARANJA BUCCO 500ML</t>
  </si>
  <si>
    <t>LICOR PASSPORT HONEY 670ML</t>
  </si>
  <si>
    <t>LICOR PREMIUM GURKTALER 700ML</t>
  </si>
  <si>
    <t>LICOR STOCK 720ML ANISETE</t>
  </si>
  <si>
    <t>LICOR STOCK 720ML CACAU</t>
  </si>
  <si>
    <t>LICOR STOCK 720ML CHERRY</t>
  </si>
  <si>
    <t>LICOR STOCK 720ML CHOCOLATE</t>
  </si>
  <si>
    <t>LICOR STOCK 720ML CURACAU</t>
  </si>
  <si>
    <t>LICOR STOCK 720ML CURACAU BLUE</t>
  </si>
  <si>
    <t>LICOR STOCK 720ML MARULA</t>
  </si>
  <si>
    <t>LICOR STOCK 720ML MENTA</t>
  </si>
  <si>
    <t>LICOR STOCK 720ML PEACH</t>
  </si>
  <si>
    <t>LICOR STOCK CASSIS 720ML</t>
  </si>
  <si>
    <t>LICOR STOCK KIWI 720ML</t>
  </si>
  <si>
    <t>MOCHILA TERMICA BUDWEISER 15L</t>
  </si>
  <si>
    <t>PREPARO EASY DRINKS 100G FRUT TROPICAIS</t>
  </si>
  <si>
    <t>PREPARO EASY DRINKS 100G FRUT VERMELHAS</t>
  </si>
  <si>
    <t>PREPARO EASY DRINKS 100G LICHIA</t>
  </si>
  <si>
    <t>PREPARO EASY DRINKS 100G MARACUJA</t>
  </si>
  <si>
    <t>PREPARO EASY DRINKS 100G MORANGO PITAYA</t>
  </si>
  <si>
    <t>PREPARO EASY DRINKS 100G PINA COLADA</t>
  </si>
  <si>
    <t>PREPARO EASY DRINKS 270G MOSC MULE</t>
  </si>
  <si>
    <t>PREPARO EASY DRINKS 300ML PALOMA MIXER</t>
  </si>
  <si>
    <t>PREPARO EASY DRINKS 450G PENICILLIN</t>
  </si>
  <si>
    <t>PREPARO EASY DRINKS COSMOPOLITAN 240G FRUTAS</t>
  </si>
  <si>
    <t>PREPARO EASY DRINKS WHISKY SOUR &amp; APPLE 240G</t>
  </si>
  <si>
    <t>QUENTAO CAMPO LARGO 750ML</t>
  </si>
  <si>
    <t>RUM BACARDI BIG APPLE 980ML</t>
  </si>
  <si>
    <t>RUM BACARDI CARTA BLANCA 980ML</t>
  </si>
  <si>
    <t>RUM BACARDI CARTA DE OURO 980ML</t>
  </si>
  <si>
    <t>RUM BACARDI MOJITO 980ML</t>
  </si>
  <si>
    <t>RUM HAVANA 3 ANOS 700ML</t>
  </si>
  <si>
    <t>RUM HAVANA 7 ANOS 750ML</t>
  </si>
  <si>
    <t>RUM MALIBU 750ML COCO</t>
  </si>
  <si>
    <t>RUM MONTILLA CARTA BRANCA 1L</t>
  </si>
  <si>
    <t>RUM MONTILLA CARTA OURO 1L</t>
  </si>
  <si>
    <t>RUM MONTILLA CRISTAL 1L</t>
  </si>
  <si>
    <t>RUM ZACAPA CENTENARIO 23 ANOS 750ML</t>
  </si>
  <si>
    <t>RUM ZACAPA CENTENARIO XO 750ML</t>
  </si>
  <si>
    <t>SACA - ROLHAS INOX TRADICIONAL</t>
  </si>
  <si>
    <t>SACA ROLHAS ZAMAC/PLASTICO PRETO</t>
  </si>
  <si>
    <t>SAKE AZUMA 600ML</t>
  </si>
  <si>
    <t>SAKE AZUMA 740ML DOURADO TOZAN</t>
  </si>
  <si>
    <t>SAKE AZUMA 740ML GUINJO</t>
  </si>
  <si>
    <t>SAKE AZUMA 740ML MIX &amp; TANGERINA C/PIMENTA ROSA</t>
  </si>
  <si>
    <t>SAKE AZUMA 740ML SOFT</t>
  </si>
  <si>
    <t>SAKE THIKARA 745ML GOLD</t>
  </si>
  <si>
    <t>SAKE THIKARA 745ML KAMPAI</t>
  </si>
  <si>
    <t>SAKE THIKARA 745ML RYUUJIN</t>
  </si>
  <si>
    <t>SAKE THIKARA 745ML SILVER</t>
  </si>
  <si>
    <t>SIDRA CELEBRATE 660ML</t>
  </si>
  <si>
    <t>SIDRA CHUVA DE PRATA 660ML S/ALCOOL BRANCO</t>
  </si>
  <si>
    <t>SOCADOR OPEN BAR PLASTICO PRETO</t>
  </si>
  <si>
    <t>STEINHAEGER BECOSA 980ML</t>
  </si>
  <si>
    <t>TACA AGUA LOXIA CRISTAL 510ML</t>
  </si>
  <si>
    <t>TACA BORDEAUX CRISTAL 610ML</t>
  </si>
  <si>
    <t>TACA CHAMPANHE GASTRO 220ML CRISTAL ECO</t>
  </si>
  <si>
    <t>TACA CHAMPANHE LOXIA CRISTAL 210ML</t>
  </si>
  <si>
    <t>TACA CHAMPANHE STRIX CRISTAL ECOLOG 200ML</t>
  </si>
  <si>
    <t>TACA CHAMPANHE XTRA CRISTAL 210ML</t>
  </si>
  <si>
    <t>TACA CONHAQUE CRISTAL 690ML</t>
  </si>
  <si>
    <t>TACA COQUETEL XTRA CRISTAL 220ML</t>
  </si>
  <si>
    <t>TACA DE CERVEJA 380ML CRISTAL ECO</t>
  </si>
  <si>
    <t>TACA EM CRISTAL ANNA 580ML</t>
  </si>
  <si>
    <t>TACA GASTRO 580ML CRISTAL ECO</t>
  </si>
  <si>
    <t>TACA GIN ANNA 600ML CRISTAL</t>
  </si>
  <si>
    <t>TACA MADISON PATAGONIA 300ML</t>
  </si>
  <si>
    <t>TACA P/GIN BEATRIZ 740ML</t>
  </si>
  <si>
    <t>TACA P/LICOR CRISTAL 50ML</t>
  </si>
  <si>
    <t>TACA VINHO GASTRO 350ML CRISTAL ECO</t>
  </si>
  <si>
    <t>TACA VINHO XTRA CRISTAL 460ML</t>
  </si>
  <si>
    <t>TACA VINHO XTRA CRISTAL QUAD 360ML</t>
  </si>
  <si>
    <t>TAMPA DE ESPUMANTE</t>
  </si>
  <si>
    <t>TAPADA DO FIDALGO RES 750ML</t>
  </si>
  <si>
    <t>TEQUILA DON JULIO 1942 750ML</t>
  </si>
  <si>
    <t>TEQUILA DON JULIO ANEJO 750ML</t>
  </si>
  <si>
    <t>TEQUILA DON JULIO BLANCO 750ML</t>
  </si>
  <si>
    <t>TEQUILA DON JULIO REPOSADO 750ML</t>
  </si>
  <si>
    <t>TEQUILA EL JIMADOR BLANCO 750ML</t>
  </si>
  <si>
    <t>TEQUILA EL JIMADOR REPOSADO 750ML</t>
  </si>
  <si>
    <t>TEQUILA MEX JOSE CUERVO ESPECIAL 750ML</t>
  </si>
  <si>
    <t>TEQUILA MEX JOSE CUERVO SILVER 750ML</t>
  </si>
  <si>
    <t>TEQUILA PATRON ANEJO 375ML</t>
  </si>
  <si>
    <t>TEQUILA PATRON REPOSADO 375ML</t>
  </si>
  <si>
    <t>TEQUILA PATRON SILVER 750ML</t>
  </si>
  <si>
    <t>VERMOUTH MARTINI BIANCO 750ML</t>
  </si>
  <si>
    <t>VERMOUTH MARTINI EXTRA DRY 750ML</t>
  </si>
  <si>
    <t>VERMOUTH MARTINI ROSATO 750ML</t>
  </si>
  <si>
    <t>VERMOUTH MARTINI ROSSO 750ML</t>
  </si>
  <si>
    <t>VINHO 12 E MEZZO PRIMITIVO 750ML</t>
  </si>
  <si>
    <t>VINHO 19 CRIMES CAB SAUV 750ML</t>
  </si>
  <si>
    <t>VINHO A BICHOT CEST LA VIE 750ML</t>
  </si>
  <si>
    <t>VINHO A BICHOT CEST LA VIE BRANCO 750ML</t>
  </si>
  <si>
    <t>VINHO A BICHOT CEST LA VIE ROSE 750ML</t>
  </si>
  <si>
    <t>VINHO A BICHOT CHABLIS D L DEPAQUIT 750ML</t>
  </si>
  <si>
    <t>VINHO A MARE PRIMITIVO PUGLIA 750ML</t>
  </si>
  <si>
    <t>VINHO A MARE ROSATO ROSE PUGLIA 750ML</t>
  </si>
  <si>
    <t>VINHO AFRICAN KING CHENIN BLANC 750ML</t>
  </si>
  <si>
    <t>VINHO AFRICAN KING PINOTAGE 750ML</t>
  </si>
  <si>
    <t>VINHO AGUILA NERA CAB SAUV 750ML</t>
  </si>
  <si>
    <t>VINHO AGUILA NERA CHARDONNAY 750ML</t>
  </si>
  <si>
    <t>VINHO AGUILA NERA MALBEC 750ML</t>
  </si>
  <si>
    <t>VINHO AGUILA NERA RES CAB FRANC 750ML</t>
  </si>
  <si>
    <t>VINHO AGUILA NERA RES CAB SAUV 750ML</t>
  </si>
  <si>
    <t>VINHO AGUILA NERA RES MALBEC 750ML</t>
  </si>
  <si>
    <t>VINHO ALABASTRO 750ML</t>
  </si>
  <si>
    <t>VINHO ALAMOS 750ML MALBEC ROSE</t>
  </si>
  <si>
    <t>VINHO ALAMOS CABERNET SAUV 750ML</t>
  </si>
  <si>
    <t>VINHO ALAMOS MALBEC 750ML</t>
  </si>
  <si>
    <t>VINHO ALAMOS TEMPRANILLO 750ML</t>
  </si>
  <si>
    <t>VINHO ALANDRA 750ML TINTO</t>
  </si>
  <si>
    <t>VINHO ALANDRA BRANCO 750ML</t>
  </si>
  <si>
    <t>VINHO ALBA VERO 15 MALBEC 750ML</t>
  </si>
  <si>
    <t>VINHO ALIANCA CAMP GAUCHA CAB SAUV 750ML</t>
  </si>
  <si>
    <t>VINHO ALIANCA CAMP GAUCHA MERLOT 750ML</t>
  </si>
  <si>
    <t>VINHO ALIANCA CAMP GAUCHA TANNAT 750ML</t>
  </si>
  <si>
    <t>VINHO ALLAN SCOTT ESTATE PINOT NOIR ROSE 750ML</t>
  </si>
  <si>
    <t>VINHO ALLAN SCOTT ESTATE RIESLING 750ML</t>
  </si>
  <si>
    <t>VINHO ALLEGRINI PALAZZO DELLA TORRE VERONESE 750ML</t>
  </si>
  <si>
    <t>VINHO ALLUME CABERNET FRANC 750ML</t>
  </si>
  <si>
    <t>VINHO ALLUME CHARDONNAY 750ML</t>
  </si>
  <si>
    <t>VINHO ALLUME PINOT NOIR 750ML</t>
  </si>
  <si>
    <t>VINHO ALMA DO TEJO 750ML</t>
  </si>
  <si>
    <t>VINHO ALMA DO TEJO BCO 750ML</t>
  </si>
  <si>
    <t>VINHO ALMA DO TEJO RESERVA 750ML</t>
  </si>
  <si>
    <t>VINHO ALMA DO TEJO SYRAH 750ML</t>
  </si>
  <si>
    <t>VINHO ALMA MIA TEMPRANILLO 750ML</t>
  </si>
  <si>
    <t>VINHO ALMA NEGRA M BLEND 750ML</t>
  </si>
  <si>
    <t>VINHO ALMA NEGRA MISTERIO 750ML</t>
  </si>
  <si>
    <t>VINHO ALMA NEGRA PINOT NOIR 750ML</t>
  </si>
  <si>
    <t>VINHO ALMAVIVA TINTO 750ML 2012</t>
  </si>
  <si>
    <t>VINHO ALMAVIVA TINTO 750ML 2017</t>
  </si>
  <si>
    <t>VINHO ALMAVIVA TINTO 750ML 2018</t>
  </si>
  <si>
    <t>VINHO ALMAVIVA TINTO 750ML 2019</t>
  </si>
  <si>
    <t>VINHO ALMAVIVA TINTO 750ML 2020</t>
  </si>
  <si>
    <t>VINHO ALTIVO CRIANZA 750ML</t>
  </si>
  <si>
    <t>VINHO ALTIVO RESERVA 750ML</t>
  </si>
  <si>
    <t>VINHO ALTIVO TEMPRANILLO 750ML</t>
  </si>
  <si>
    <t>VINHO ALTOS DEL PLATA CABERNET 750ML</t>
  </si>
  <si>
    <t>VINHO ALTOS DEL PLATA MALBEC 750ML</t>
  </si>
  <si>
    <t>VINHO ALTOS LAS HORMIGAS BLEND TINTO 750ML</t>
  </si>
  <si>
    <t>VINHO ALTOS LAS HORMIGAS LA DANZA MALBEC 750ML</t>
  </si>
  <si>
    <t>VINHO ALTOS LAS HORMIGAS MALBEC CLASSICO 750ML</t>
  </si>
  <si>
    <t>VINHO AMARONE 750ML TOMMASI</t>
  </si>
  <si>
    <t>VINHO AMARONE VILLA ARVEDI BERTANI 750ML</t>
  </si>
  <si>
    <t>VINHO AMAYAN CAB FRANC 750ML</t>
  </si>
  <si>
    <t>VINHO AMAYAN CAB SAUV 750ML</t>
  </si>
  <si>
    <t>VINHO AMAYAN MALBEC 750ML</t>
  </si>
  <si>
    <t>VINHO AMAYAN RED BLEND 750ML</t>
  </si>
  <si>
    <t>VINHO AMAYAN RESERVA CAB FRANC 750ML</t>
  </si>
  <si>
    <t>VINHO AMAYAN RESERVA CAB SAUV 750ML</t>
  </si>
  <si>
    <t>VINHO AMAYAN RESERVA CHARD 750ML</t>
  </si>
  <si>
    <t>VINHO AMAYAN RESERVA MALBEC 750ML</t>
  </si>
  <si>
    <t>VINHO AMAYAN TORRONTES 750ML</t>
  </si>
  <si>
    <t>VINHO AMAYAN WHITE BLEND 750ML</t>
  </si>
  <si>
    <t>VINHO AMAYNA SAUV BLANC 750ML</t>
  </si>
  <si>
    <t>VINHO AMEAL BICO AMARELO BCO 750ML</t>
  </si>
  <si>
    <t>VINHO ANCIENS TEMPS RES CABERNET SYRAH 750ML</t>
  </si>
  <si>
    <t>VINHO ANCIENS TEMPS RES COLOMBA SAUV 750ML</t>
  </si>
  <si>
    <t>VINHO ANDELUNA 1300 CAB SAUV 750ML</t>
  </si>
  <si>
    <t>VINHO ANDELUNA 1300 CHARDONNAY 750ML</t>
  </si>
  <si>
    <t>VINHO ANDELUNA 1300 MALBEC 750ML</t>
  </si>
  <si>
    <t>VINHO ANGELICA ZAPATA CABER SAUV 750ML</t>
  </si>
  <si>
    <t>VINHO ANGELICA ZAPATA MALBEC 750ML</t>
  </si>
  <si>
    <t>VINHO ANSELMANN DORNFELDER CLASSIC 750ML</t>
  </si>
  <si>
    <t>VINHO ANSELMANN GEWURZ SPATLESE 750ML</t>
  </si>
  <si>
    <t>VINHO ANSELMANN RIESLING TROCKEN 750ML</t>
  </si>
  <si>
    <t>VINHO ANSELMANN SPATBURGUNDER PINOT NOIR 750ML</t>
  </si>
  <si>
    <t>VINHO ANSELMANN SPATLESE TROCKEN RIESLING 750ML</t>
  </si>
  <si>
    <t>VINHO ANSELMANN TROCKEN 750ML</t>
  </si>
  <si>
    <t>VINHO ANTINORI SOLAIA 750ML 1990</t>
  </si>
  <si>
    <t>VINHO ANTU BLEND 750ML</t>
  </si>
  <si>
    <t>VINHO ANTU CAB CARM SAUV 750ML</t>
  </si>
  <si>
    <t>VINHO ANTU SYRAH 750ML</t>
  </si>
  <si>
    <t>VINHO ARBOLEDA BRISA BLEND 750ML</t>
  </si>
  <si>
    <t>VINHO ARBOLEDA CABERNET SAUVIGNON 750ML</t>
  </si>
  <si>
    <t>VINHO ARBOLEDA CARMENERE 750ML</t>
  </si>
  <si>
    <t>VINHO ARBOLEDA CHARDONNAY 750ML</t>
  </si>
  <si>
    <t>VINHO ARBOLEDA PINOT NOIR 750ML</t>
  </si>
  <si>
    <t>VINHO ARBOLEDA SYRAH 750ML</t>
  </si>
  <si>
    <t>VINHO ARCA NOVA VERDE 750ML</t>
  </si>
  <si>
    <t>VINHO ARCA NOVA VERDE ALVARINHO 750ML</t>
  </si>
  <si>
    <t>VINHO ARCO DA TORRE BCO GRANDE ESCOLHA 750ML</t>
  </si>
  <si>
    <t>VINHO ARCO DA TORRE BRANCO 750ML</t>
  </si>
  <si>
    <t>VINHO ARCO DA TORRE GRANDE ESCOLHA 750ML</t>
  </si>
  <si>
    <t>VINHO ARCO DA TORRE SELECAO BARRICAS 750ML</t>
  </si>
  <si>
    <t>VINHO ARCO DA TORRE TINTO 750ML</t>
  </si>
  <si>
    <t>VINHO ARGENTO ESTATE CAB SAUVIGNON 750ML</t>
  </si>
  <si>
    <t>VINHO ARGIANO ROSSO DI MONTALCINO DOC 750ML</t>
  </si>
  <si>
    <t>VINHO AROMO BARREL SEL THE BLEND 750ML</t>
  </si>
  <si>
    <t>VINHO AROMO BARREL SEL THE WHITE 750ML</t>
  </si>
  <si>
    <t>VINHO AROMO CAB SAUV 750ML</t>
  </si>
  <si>
    <t>VINHO AROMO CARMENERE 750ML</t>
  </si>
  <si>
    <t>VINHO AROMO CHARDONNAY 750ML</t>
  </si>
  <si>
    <t>VINHO AROMO MERLOT 750ML</t>
  </si>
  <si>
    <t>VINHO AROMO RES CAB SAUV 750ML</t>
  </si>
  <si>
    <t>VINHO AROMO RES CARMERE 750ML</t>
  </si>
  <si>
    <t>VINHO AROMO RES CHARDONNAY 750ML</t>
  </si>
  <si>
    <t>VINHO AROMO RES MALBEC 750ML</t>
  </si>
  <si>
    <t>VINHO AROMO RES SAUVIGNON 750ML</t>
  </si>
  <si>
    <t>VINHO AROMO RES SYRAH 750ML</t>
  </si>
  <si>
    <t>VINHO AROMO RESERVADO CAB SAUV 750ML</t>
  </si>
  <si>
    <t>VINHO AROMO RESERVADO CARMENERE 750ML</t>
  </si>
  <si>
    <t>VINHO AROMO RESERVADO MERLOT 750ML</t>
  </si>
  <si>
    <t>VINHO AROMO RESERVADO SAUV BLANC 750ML</t>
  </si>
  <si>
    <t>VINHO AROMO SAUVIGNON 750ML</t>
  </si>
  <si>
    <t>VINHO AROMO SYRAH ROSE 750ML</t>
  </si>
  <si>
    <t>VINHO AROMO WINEMAKERS PINOT NOIR 750ML</t>
  </si>
  <si>
    <t>VINHO ARTE DE ARGENTO MALBEC 750ML</t>
  </si>
  <si>
    <t>VINHO ARTEMISA LATE HARVEST 500ML</t>
  </si>
  <si>
    <t>VINHO ASSOBIO DOURO TINTO 750ML</t>
  </si>
  <si>
    <t>VINHO ATLANTICO ALENTEJO 750ML</t>
  </si>
  <si>
    <t>VINHO AURORA COLHEITA TARDIA 500ML TINTO</t>
  </si>
  <si>
    <t>VINHO AURORA COLHEITA TARDIA BLANC 500ML</t>
  </si>
  <si>
    <t>VINHO AURORA MILLESIME 1,5L CAB SAUV</t>
  </si>
  <si>
    <t>VINHO AURORA RESERVA CABERNET SAUV 750ML</t>
  </si>
  <si>
    <t>VINHO AURORA RESERVA CHARDONNAY 750ML</t>
  </si>
  <si>
    <t>VINHO AURORA RESERVA MERLOT 750ML</t>
  </si>
  <si>
    <t>VINHO AURORA RESERVA ROSE 750ML</t>
  </si>
  <si>
    <t>VINHO AURORA RESERVA TANNAT 750ML</t>
  </si>
  <si>
    <t>VINHO AURORA VARIETAL CABERNET SAUV 750ML</t>
  </si>
  <si>
    <t>VINHO AURORA VARIETAL MALVASIA 750ML</t>
  </si>
  <si>
    <t>VINHO AURORA VARIETAL MARSELAN 750ML</t>
  </si>
  <si>
    <t>VINHO AURORA VARIETAL MERLOT 750ML</t>
  </si>
  <si>
    <t>VINHO AURORA VARIETAL PETIT VERDOT 750ML</t>
  </si>
  <si>
    <t>VINHO AURORA VARIETAL PINOT NOIR 750ML</t>
  </si>
  <si>
    <t>VINHO AURORA VARIETAL REBO 750ML</t>
  </si>
  <si>
    <t>VINHO AURORA VARIETAL VIOGNIER 750ML</t>
  </si>
  <si>
    <t>VINHO AURORA Z/ALCOOL CAB SAUV 750ML</t>
  </si>
  <si>
    <t>VINHO AURORA Z/ALCOOL RIESLING 750ML</t>
  </si>
  <si>
    <t>VINHO B BELHARA MALBEC 750ML</t>
  </si>
  <si>
    <t>VINHO B BELHARA RED BLEND 750ML</t>
  </si>
  <si>
    <t>VINHO B BELHARA ROSE 750ML</t>
  </si>
  <si>
    <t>VINHO BARCA VELHA 2011 750ML</t>
  </si>
  <si>
    <t>VINHO BARCA VELHA 2015 750ML</t>
  </si>
  <si>
    <t>VINHO BAREFOOT CAB SAUV 750ML</t>
  </si>
  <si>
    <t>VINHO BAREFOOT MERLOT 750ML</t>
  </si>
  <si>
    <t>VINHO BAREFOOT MOSCATO 750ML</t>
  </si>
  <si>
    <t>VINHO BAREFOOT SAUV BLANC 750ML</t>
  </si>
  <si>
    <t>VINHO BARRABAS 750ML CABERNET FRANC</t>
  </si>
  <si>
    <t>VINHO BATASIOLO D.O.C. NEBBIOLO 750ML</t>
  </si>
  <si>
    <t>VINHO BEAUJOLAIS ABEL PINCHARD VILLAGES 750ML</t>
  </si>
  <si>
    <t>VINHO BELHARA ESTATE BLOCK CAB FRANC 750ML</t>
  </si>
  <si>
    <t>VINHO BELHARA ESTATE BLOCK CAB SAUV 750ML</t>
  </si>
  <si>
    <t>VINHO BELHARA ESTATE BLOCK MALBEC 750ML</t>
  </si>
  <si>
    <t>VINHO BELHARA ESTATE CAB FRAN 750ML</t>
  </si>
  <si>
    <t>VINHO BELHARA ESTATE CAB SAUV 750ML</t>
  </si>
  <si>
    <t>VINHO BELHARA ESTATE MALBEC 750ML</t>
  </si>
  <si>
    <t>VINHO BENMARCO EXPRESSIVO 750ML</t>
  </si>
  <si>
    <t>VINHO BERNE AOP EMOTION ROSE 750ML</t>
  </si>
  <si>
    <t>VINHO BERNE ESPRIT DI MEDITERRANEE</t>
  </si>
  <si>
    <t>VINHO BICHOT VIEILLES VIGNES PNOIR 750ML</t>
  </si>
  <si>
    <t>VINHO BLACK TOWER RIVANER 750ML</t>
  </si>
  <si>
    <t>VINHO BODEGAS CENTENARIAS CAB SAUV 750ML</t>
  </si>
  <si>
    <t>VINHO BODEGAS CENTENARIAS CAR 750ML 750ML</t>
  </si>
  <si>
    <t>VINHO BODEGAS CENTENARIAS SAUV BLAN 750ML</t>
  </si>
  <si>
    <t>VINHO BOM JUIZ 750ML</t>
  </si>
  <si>
    <t>VINHO BONS VENTOS SUPERIOR 750ML</t>
  </si>
  <si>
    <t>VINHO BOSIO BARBERA D'ALBA EGIDIO BARRIQUE 750ML</t>
  </si>
  <si>
    <t>VINHO BOSIO BAROLO DOCG 750ML</t>
  </si>
  <si>
    <t>VINHO BOSIO LANGHE ROSSO DOC 750 ML</t>
  </si>
  <si>
    <t>VINHO BOUGAINVILLE PETITE SYRAH 750ML</t>
  </si>
  <si>
    <t>VINHO BOUZA TANNAT 750ML</t>
  </si>
  <si>
    <t>VINHO BRACCOBOSCA LACERTILIA TANNAT 750ML</t>
  </si>
  <si>
    <t>VINHO BRACCOBOSCA MOSCATEL 750ML</t>
  </si>
  <si>
    <t>VINHO BRACCOBOSCA OMBU TANNAT 750ML</t>
  </si>
  <si>
    <t>VINHO BRACCOBOSCA RESERVE TANNAT 750ML</t>
  </si>
  <si>
    <t>VINHO BRANCO SUAVE OLARIA 750ML</t>
  </si>
  <si>
    <t>VINHO BRANCOTT LETTER PINOT NOIR 750ML</t>
  </si>
  <si>
    <t>VINHO BRESTOVITSA MAVRUD 750ML</t>
  </si>
  <si>
    <t>VINHO BRESTOVITSA MERLOT/MAVRUD 750ML</t>
  </si>
  <si>
    <t>VINHO BRUNELLO DI MONTALCINO CAPARZO 750ML</t>
  </si>
  <si>
    <t>VINHO BRUNELLO DI MONTALCINO FATTOI DOCG 750ML</t>
  </si>
  <si>
    <t>VINHO BYZANTIUM BLANC 750ML</t>
  </si>
  <si>
    <t>VINHO BYZANTIUM ROSE 750ML</t>
  </si>
  <si>
    <t>VINHO BYZANTIUM ROSSO 750ML</t>
  </si>
  <si>
    <t>VINHO CABECO DA PEDRA 750ML</t>
  </si>
  <si>
    <t>VINHO CABECO DA PEDRA BRANCO 750ML</t>
  </si>
  <si>
    <t>VINHO CABECO DA PEDRA RES 750ML</t>
  </si>
  <si>
    <t>VINHO CALAMARES VERDE BRANCO 750ML</t>
  </si>
  <si>
    <t>VINHO CALAMARES VERDE ROSE 750ML</t>
  </si>
  <si>
    <t>VINHO CALVET BORDEAUX METAL 750ML</t>
  </si>
  <si>
    <t>VINHO CALVET CHABLIS 750ML</t>
  </si>
  <si>
    <t>VINHO CALVET COTES DE PROVENCE ROSE 750ML</t>
  </si>
  <si>
    <t>VINHO CAMIGL ROSSO DI MONTALCINO 750ML</t>
  </si>
  <si>
    <t>VINHO CAMIGLIANO BRU DI MONTALCINO 750ML</t>
  </si>
  <si>
    <t>VINHO CAMIGLIANO PODERUCCIO TOSCANA I.G.T. 750ML</t>
  </si>
  <si>
    <t>VINHO CAMINOS CAB SAUV 750ML</t>
  </si>
  <si>
    <t>VINHO CAMPO LARGO SECO 750ML</t>
  </si>
  <si>
    <t>VINHO CAMPO LARGO SECO BRANCO 750ML</t>
  </si>
  <si>
    <t>VINHO CAMPO LARGO SUAVE 750ML</t>
  </si>
  <si>
    <t>VINHO CAMPO LARGO SUAVE BRANCO 750ML</t>
  </si>
  <si>
    <t>VINHO CAMPO LARGO SUAVE ROSE 750ML</t>
  </si>
  <si>
    <t>VINHO CANTINA ARETINO CHIANTI 750ML</t>
  </si>
  <si>
    <t>VINHO CANTINA ARETINO TOSCANA 750ML</t>
  </si>
  <si>
    <t>VINHO CARLOS SERRES BLANCO 750ML</t>
  </si>
  <si>
    <t>VINHO CARLOS SERRES CRIANZA 750ML</t>
  </si>
  <si>
    <t>VINHO CARLOS SERRES TEMPRANILLO 750ML</t>
  </si>
  <si>
    <t>VINHO CARMEN 750ML CARIGNAN GRAN RESERVA</t>
  </si>
  <si>
    <t>VINHO CARMEN 750ML GOLD CAB SAUV</t>
  </si>
  <si>
    <t>VINHO CARMEN DELANZ APALTA BL 750ML</t>
  </si>
  <si>
    <t>VINHO CARMEN DELANZ JAHUEL 750ML</t>
  </si>
  <si>
    <t>VINHO CARMEN DISCOVERY CAB SAUV 750ML</t>
  </si>
  <si>
    <t>VINHO CARMEN DISCOVERY CAR 750ML</t>
  </si>
  <si>
    <t>VINHO CARMEN DISCOVERY CHARD 750ML</t>
  </si>
  <si>
    <t>VINHO CARMEN DISCOVERY ROSE 750ML</t>
  </si>
  <si>
    <t>VINHO CARMEN GRAN KAHLO CARM 750ML</t>
  </si>
  <si>
    <t>VINHO CARMEN VINTAGE 750ML</t>
  </si>
  <si>
    <t>VINHO CARMIM PUTOS 750ML</t>
  </si>
  <si>
    <t>VINHO CARTUXA BRANCO 750ML</t>
  </si>
  <si>
    <t>VINHO CARTUXA COLHEITA 5L</t>
  </si>
  <si>
    <t>VINHO CARTUXA COLHEITA 750ML</t>
  </si>
  <si>
    <t>VINHO CARTUXA E.A 750ML</t>
  </si>
  <si>
    <t>VINHO CARTUXA EA ROSE 750ML</t>
  </si>
  <si>
    <t>VINHO CARTUXA EA TINTO 1,5L</t>
  </si>
  <si>
    <t>VINHO CARTUXA RESERVA 3L</t>
  </si>
  <si>
    <t>VINHO CARTUXA RESERVA 5L</t>
  </si>
  <si>
    <t>VINHO CARTUXA RESERVA 750ML</t>
  </si>
  <si>
    <t>VINHO CARTUXA ROSE 750ML</t>
  </si>
  <si>
    <t>VINHO CASA FERREIRINHA CALLABRIGA 750ML</t>
  </si>
  <si>
    <t>VINHO CASA FERREIRINHA ESTEVA 750ML</t>
  </si>
  <si>
    <t>VINHO CASA FERREIRINHA PAPA FIGOS 750ML</t>
  </si>
  <si>
    <t>VINHO CASA FERREIRINHA PAPA FIGOS BCO 750ML</t>
  </si>
  <si>
    <t>VINHO CASA FERREIRINHA RES ESPECIAL 750ML 2009</t>
  </si>
  <si>
    <t>VINHO CASA FERRERINHA CASTAS ESCO 750ML</t>
  </si>
  <si>
    <t>VINHO CASA PERINI ARBO MARSELAN 750ML</t>
  </si>
  <si>
    <t>VINHO CASA PERINI ARBO MERLOT 750ML</t>
  </si>
  <si>
    <t>VINHO CASA PERINI ARBO MOSCATO 750ML</t>
  </si>
  <si>
    <t>VINHO CASA PERINI ARBO RIESLING 750ML</t>
  </si>
  <si>
    <t>VINHO CASA PERINI ARBO TANNAT 750ML</t>
  </si>
  <si>
    <t>VINHO CASA PERINI QUATRO 750ML</t>
  </si>
  <si>
    <t>VINHO CASA PERINI SOLIDARIO ROSE 750ML</t>
  </si>
  <si>
    <t>VINHO CASA PERINI TANNAT 750ML</t>
  </si>
  <si>
    <t>VINHO CASA PERINI TINTO SOLIDARIO 750ML</t>
  </si>
  <si>
    <t>VINHO CASA SILVA COLEC CHARD 750ML</t>
  </si>
  <si>
    <t>VINHO CASA VALDUGA ARTE BRANCO BLEND 750ML</t>
  </si>
  <si>
    <t>VINHO CASA VALDUGA ARTE FORZA BLEND 750ML</t>
  </si>
  <si>
    <t>VINHO CASA VALDUGA ARTE FRUITE BLEND 750ML</t>
  </si>
  <si>
    <t>VINHO CASA VALDUGA ARTE ROSE BLEND 750ML</t>
  </si>
  <si>
    <t>VINHO CASA VALDUGA GRAN RES 750ML CHARDONNAY</t>
  </si>
  <si>
    <t>VINHO CASA VALDUGA LUIZ VALDUGA 750ML</t>
  </si>
  <si>
    <t>VINHO CASAL GARCIA 750ML ROSE</t>
  </si>
  <si>
    <t>VINHO CASAL GARCIA BCO SWEET 750ML</t>
  </si>
  <si>
    <t>VINHO CASAL GARCIA BRANCO 750ML</t>
  </si>
  <si>
    <t>VINHO CASAL GARCIA SWEET RED 750ML</t>
  </si>
  <si>
    <t>VINHO CASAL GARCIA SWEET ROSE 750ML</t>
  </si>
  <si>
    <t>VINHO CASAL GARCIA TINTO 750ML</t>
  </si>
  <si>
    <t>VINHO CASAL MENDES ROSE 750ML</t>
  </si>
  <si>
    <t>VINHO CASAL MENDES VERDE BRANCO 750ML</t>
  </si>
  <si>
    <t>VINHO CASAS DEL BOSQUE CARMENERE RES 750ML</t>
  </si>
  <si>
    <t>VINHO CASAS DEL BOSQUE GRAN CAB SAUV 750ML</t>
  </si>
  <si>
    <t>VINHO CASAS DEL BOSQUE GRAN CARIGNAN 750ML</t>
  </si>
  <si>
    <t>VINHO CASAS DEL BOSQUE GRAN RES CAR 750ML</t>
  </si>
  <si>
    <t>VINHO CASAS DEL BOSQUE GRAN SYRAH 750ML</t>
  </si>
  <si>
    <t>VINHO CASAS DEL BOSQUE PINOT NOIR RES 750ML</t>
  </si>
  <si>
    <t>VINHO CASILLERO CHARDONNAY 750ML</t>
  </si>
  <si>
    <t>VINHO CATENA CAB SAUV 750ML</t>
  </si>
  <si>
    <t>VINHO CATENA CHARDONNAY 750ML</t>
  </si>
  <si>
    <t>VINHO CATENA MALBEC 750ML</t>
  </si>
  <si>
    <t>VINHO CATENA MALBEC ROSE 750ML</t>
  </si>
  <si>
    <t>VINHO CAVANZA CAB SAUV 750ML</t>
  </si>
  <si>
    <t>VINHO CAVANZA CARMENERE 750ML</t>
  </si>
  <si>
    <t>VINHO CAVANZA CHARDONNAY 750ML</t>
  </si>
  <si>
    <t>VINHO CECCHI CHIANTI 750ML</t>
  </si>
  <si>
    <t>VINHO CECCHI SANGIOVESE TOSCANA 750ML</t>
  </si>
  <si>
    <t>VINHO CEDRO DO NOVAL 750ML</t>
  </si>
  <si>
    <t>VINHO CELLARO DUE NERO D AVOLA 750ML</t>
  </si>
  <si>
    <t>VINHO CEM REIS BRANCO 750ML</t>
  </si>
  <si>
    <t>VINHO CEM REIS SYRAH 750ML</t>
  </si>
  <si>
    <t>VINHO CEREMONY 10 ANOS 750ML</t>
  </si>
  <si>
    <t>VINHO CEREMONY RUBY 750ML</t>
  </si>
  <si>
    <t>VINHO CEREMONY TAWNY 750ML</t>
  </si>
  <si>
    <t>VINHO CERESSOU ROSE 750ML</t>
  </si>
  <si>
    <t>VINHO CESTEIRA BRANCO 750ML</t>
  </si>
  <si>
    <t>VINHO CESTEIRA TINTO 750ML</t>
  </si>
  <si>
    <t>VINHO CHABLIS 750ML PONEELLE</t>
  </si>
  <si>
    <t>VINHO CHABLIS CHARLES VIENOT CHARD 750ML</t>
  </si>
  <si>
    <t>VINHO CHABLIS HAMELIN 750ML</t>
  </si>
  <si>
    <t>VINHO CHABLIS JER CRU VAILLONS GRAND 750ML</t>
  </si>
  <si>
    <t>VINHO CHABLIS ROGER ROBLEL 750ML</t>
  </si>
  <si>
    <t>VINHO CHAC CHAC RES CHARD 750ML</t>
  </si>
  <si>
    <t>VINHO CHAC CHAC RES MALBEC 750ML</t>
  </si>
  <si>
    <t>VINHO CHAC CHAC RES TANNAT 750ML</t>
  </si>
  <si>
    <t>VINHO CHALISE BRANCO SUAVE 750ML</t>
  </si>
  <si>
    <t>VINHO CHALISE TINTO SECO 750ML</t>
  </si>
  <si>
    <t>VINHO CHAMINE 1,5L</t>
  </si>
  <si>
    <t>VINHO CHAMINE TINTO 5L</t>
  </si>
  <si>
    <t>VINHO CHATEAU CANNEAU BORDEAUX 750ML</t>
  </si>
  <si>
    <t>VINHO CHATEAU CHERUBIN GRAND CRU 750ML</t>
  </si>
  <si>
    <t>VINHO CHATEAU CLAIRE ABBAYE 750ML 2017</t>
  </si>
  <si>
    <t>VINHO CHATEAU D' YQUEM 750ML 1989</t>
  </si>
  <si>
    <t>VINHO CHATEAU D' YQUEM 750ML 2005</t>
  </si>
  <si>
    <t>VINHO CHATEAU D' YQUEM 750ML 2007</t>
  </si>
  <si>
    <t>VINHO CHATEAU D' YQUEM 750ML 2011</t>
  </si>
  <si>
    <t>VINHO CHATEAU D' YQUEM 750ML 2013</t>
  </si>
  <si>
    <t>VINHO CHATEAU D' YQUEM 750ML 2014</t>
  </si>
  <si>
    <t>VINHO CHATEAU D' YQUEM 750ML 2018</t>
  </si>
  <si>
    <t>VINHO CHATEAU EGLISE DARMENS 750ML</t>
  </si>
  <si>
    <t>VINHO CHATEAU FOMBRION BLAYE COTES BORDEAUX 750ML</t>
  </si>
  <si>
    <t>VINHO CHATEAU HAUT CADET 750ML</t>
  </si>
  <si>
    <t>VINHO CHATEAU HAUT LE CONSEILLER 750ML</t>
  </si>
  <si>
    <t>VINHO CHATEAU KEFRAYA 750ML</t>
  </si>
  <si>
    <t>VINHO CHATEAU L'OSTEAU HAUT 750ML</t>
  </si>
  <si>
    <t>VINHO CHATEAU LA CHAPELLE DE PAPE 750ML</t>
  </si>
  <si>
    <t>VINHO CHATEAU LA DAUPHINE FONSAC 750ML</t>
  </si>
  <si>
    <t>VINHO CHATEAU LA GAILLARDE 750ML</t>
  </si>
  <si>
    <t>VINHO CHATEAU LAGRANGE SAINT JULIEN 750ML 2018</t>
  </si>
  <si>
    <t>VINHO CHATEAU PETIT BOYER 750ML BORDEAUX</t>
  </si>
  <si>
    <t>VINHO CHATEAU POTENSAC MEDOC 750ML</t>
  </si>
  <si>
    <t>VINHO CHATEAU SOUSSANS MARGAUX 750ML</t>
  </si>
  <si>
    <t>VINHO CHATEAU THIBEAUD MAILLET POMEROL 750ML</t>
  </si>
  <si>
    <t>VINHO CHATEAUNEUF DU PAPE 750ML LAS CELESTIERE</t>
  </si>
  <si>
    <t>VINHO CHATEAUX MARGAUX 750ML 2014</t>
  </si>
  <si>
    <t>VINHO CHEVALIERS 750ML CHARDNNAY</t>
  </si>
  <si>
    <t>VINHO CHEVALIERS 750ML PINOT NOIR</t>
  </si>
  <si>
    <t>VINHO CHIANTI SANTAPIETRA 750ML</t>
  </si>
  <si>
    <t>VINHO CHIANTI SANTAPIETRA RISERVA 750ML</t>
  </si>
  <si>
    <t>VINHO CHILANO CAB SAUV 750ML</t>
  </si>
  <si>
    <t>VINHO CHILANO CARMENERE 750ML</t>
  </si>
  <si>
    <t>VINHO CHILANO MERLOT 750ML</t>
  </si>
  <si>
    <t>VINHO CHILANO MOSCATO 750ML</t>
  </si>
  <si>
    <t>VINHO CHILANO RED BLEND 750ML</t>
  </si>
  <si>
    <t>VINHO CHILANO ROSE 750ML</t>
  </si>
  <si>
    <t>VINHO CHILANO ROSE MOSCATO 750ML</t>
  </si>
  <si>
    <t>VINHO CHILANO SAUVIGNON BLANC 750ML</t>
  </si>
  <si>
    <t>VINHO CHILANO SYRAH 750ML</t>
  </si>
  <si>
    <t>VINHO CICONIA ALENTEJO 750ML</t>
  </si>
  <si>
    <t>VINHO CISPLATINO TINTO TANNAT 1,5L</t>
  </si>
  <si>
    <t>VINHO COBOS FELINO CAB SAUV 750ML</t>
  </si>
  <si>
    <t>VINHO COBOS FELINO CHARDONNAY 750ML</t>
  </si>
  <si>
    <t>VINHO COBOS FELINO MALBEC 750ML</t>
  </si>
  <si>
    <t>VINHO CODICI NEGRO AMARO PUGLIA 750ML</t>
  </si>
  <si>
    <t>VINHO CODICI PRIMITIVO DI MANDURIA 750ML</t>
  </si>
  <si>
    <t>VINHO CODICI PRIMITIVO PUGLIA 750ML</t>
  </si>
  <si>
    <t>VINHO CONCHA Y TORO MOSCATO SPRITZ 750ML</t>
  </si>
  <si>
    <t>VINHO CONCHA Y TORO RES CAB SAUV 750ML</t>
  </si>
  <si>
    <t>VINHO CONCHA Y TORO RES CARMENERE 750ML</t>
  </si>
  <si>
    <t>VINHO CONCHA Y TORO RESERV SAUV BCO 750ML</t>
  </si>
  <si>
    <t>VINHO CONO SUR 750ML BICICLETA VIOGNER</t>
  </si>
  <si>
    <t>VINHO CONO SUR BICICLETA 750ML RIESLING</t>
  </si>
  <si>
    <t>VINHO CONO SUR BICICLETA CAB SAUV 750ML</t>
  </si>
  <si>
    <t>VINHO CONO SUR BICICLETA CARMENERE 750ML</t>
  </si>
  <si>
    <t>VINHO CONO SUR BICICLETA CHARD 750ML</t>
  </si>
  <si>
    <t>VINHO CONO SUR BICICLETA PINOT NOIR 750ML</t>
  </si>
  <si>
    <t>VINHO CONO SUR BICICLETA ROSE PINOT 750ML</t>
  </si>
  <si>
    <t>VINHO CONO SUR BICICLETA SAUV BLANC 750ML</t>
  </si>
  <si>
    <t>VINHO CONO SUR RES ESP CARMENERE 750ML</t>
  </si>
  <si>
    <t>VINHO CONO SUR RES ESP CHARDONNAY 750ML</t>
  </si>
  <si>
    <t>VINHO CONO SUR RES ESP PINOT NOIR 750ML</t>
  </si>
  <si>
    <t>VINHO CONVENTO SERRA TINTO 750ML</t>
  </si>
  <si>
    <t>VINHO CORBELLI CHIANTI DOCG 750ML</t>
  </si>
  <si>
    <t>VINHO CORBELLI NERO D AVOLA 750ML</t>
  </si>
  <si>
    <t>VINHO CORBELLI PINOT GRIGIO IGT 750ML</t>
  </si>
  <si>
    <t>VINHO CORBELLI PRIMITIVO PUGLIA 750ML</t>
  </si>
  <si>
    <t>VINHO CORDILLERA ANDINA 1,5L CAB</t>
  </si>
  <si>
    <t>VINHO CORTES DE CIMA 750ML</t>
  </si>
  <si>
    <t>VINHO CORTON LES CHAUMES GRAND CRU 750ML 2012</t>
  </si>
  <si>
    <t>VINHO COTEAUX DE KEFRAYA 750ML</t>
  </si>
  <si>
    <t>VINHO COTES DU RHONE 750ML PONNELLE</t>
  </si>
  <si>
    <t>VINHO COUNTRY WINE BORDO SUAVE 1L</t>
  </si>
  <si>
    <t>VINHO COUNTRY WINE BRANCO SECO 750ML</t>
  </si>
  <si>
    <t>VINHO COUNTRY WINE TINTO SUAVE 750ML</t>
  </si>
  <si>
    <t>VINHO CRASTO DOURO SUP TINTO 750ML</t>
  </si>
  <si>
    <t>VINHO CRASTO DOURO TINTO 5L</t>
  </si>
  <si>
    <t>VINHO CRASTO DOURO TINTO 750ML</t>
  </si>
  <si>
    <t>VINHO CRIMES CALI RED 750ML</t>
  </si>
  <si>
    <t>VINHO CRIOS MALBEC 750ML</t>
  </si>
  <si>
    <t>VINHO CRIOS MALBEC ROSE 750 ML</t>
  </si>
  <si>
    <t>VINHO CRIOS TORRONTES 750ML</t>
  </si>
  <si>
    <t>VINHO CROIX DE POTENSAC 750ML 2011</t>
  </si>
  <si>
    <t>VINHO CRUX TEMPRANILLO 750ML</t>
  </si>
  <si>
    <t>VINHO DAL 1947 PRIMITIVO D'MANDURIA 750ML</t>
  </si>
  <si>
    <t>VINHO DE SANGRE CAB FRANC 750ML</t>
  </si>
  <si>
    <t>VINHO DEU LA DEU 750ML ALVARINHO</t>
  </si>
  <si>
    <t>VINHO DEZ TOSTOES 750ML</t>
  </si>
  <si>
    <t>VINHO DISCOVERY ESTATE CAB SAUV 750ML</t>
  </si>
  <si>
    <t>VINHO DISCOVERY ESTATE CAR 750ML</t>
  </si>
  <si>
    <t>VINHO DISCOVERY ESTATE CHARD 750ML</t>
  </si>
  <si>
    <t>VINHO DISCOVERY ESTATE PINOT NOIR 750ML</t>
  </si>
  <si>
    <t>VINHO DISCOVERY GRAN RES CAB SAUV 750ML</t>
  </si>
  <si>
    <t>VINHO DISCOVERY GRAN RES CAR 750ML</t>
  </si>
  <si>
    <t>VINHO DISCOVERY GRAN RES CHARD 750ML</t>
  </si>
  <si>
    <t>VINHO DISCOVERY GRAN RES SYRAH 750ML</t>
  </si>
  <si>
    <t>VINHO DO PORTO POCAS RUBY 750ML</t>
  </si>
  <si>
    <t>VINHO DO PORTO POCAS TAWNY 750ML</t>
  </si>
  <si>
    <t>VINHO DOGMA RES CAB SAUV SYRAH 750ML</t>
  </si>
  <si>
    <t>VINHO DOGMA RES MARSELAN CARMENERE 750ML</t>
  </si>
  <si>
    <t>VINHO DOM MARTINHO 750ML</t>
  </si>
  <si>
    <t>VINHO DOM MARTINHO BRANCO 750ML</t>
  </si>
  <si>
    <t>VINHO DOMAINE OULED THALEB TANDEM SYRAH 750ML</t>
  </si>
  <si>
    <t>VINHO DON GUERINO CAB SAUV RES 750ML</t>
  </si>
  <si>
    <t>VINHO DON GUERINO CEMENTO 750ML</t>
  </si>
  <si>
    <t>VINHO DON GUERINO EL GAUCHO TANNAT 750ML</t>
  </si>
  <si>
    <t>VINHO DON GUERINO GRAN RESERVA TRACOS 750ML</t>
  </si>
  <si>
    <t>VINHO DON GUERINO LE FRANC 750ML CAB FRANC</t>
  </si>
  <si>
    <t>VINHO DON GUERINO MALBEC VINTAGE 1,5L</t>
  </si>
  <si>
    <t>VINHO DON GUERINO MALBEC VINTAGE 750ML</t>
  </si>
  <si>
    <t>VINHO DON GUERINO RES CHARD 750ML</t>
  </si>
  <si>
    <t>VINHO DON GUERINO RES PINOT NOIR 750ML</t>
  </si>
  <si>
    <t>VINHO DON GUERINO RES TANNAT 750ML</t>
  </si>
  <si>
    <t>VINHO DON GUERINO RESERVA MERLOT 750ML</t>
  </si>
  <si>
    <t>VINHO DON GUERINO RESERVA TEROLDEGO ORIGINE 750ML</t>
  </si>
  <si>
    <t>VINHO DON GUERINO SINAIS MERLOT 750ML</t>
  </si>
  <si>
    <t>VINHO DON GUERINO VINTAGE TORRONTES 750ML</t>
  </si>
  <si>
    <t>VINHO DON LUCIANO ROSE TEMPRANILLO 750ML</t>
  </si>
  <si>
    <t>VINHO DON LUCIANO TINTO TEMPRANILLO 750ML</t>
  </si>
  <si>
    <t>VINHO DON MAXIMIANO CAB SAUV 750ML</t>
  </si>
  <si>
    <t>VINHO DON MELCHOR 750ML CAB SAUV 2019</t>
  </si>
  <si>
    <t>VINHO DV CATENA CABERNET 750ML</t>
  </si>
  <si>
    <t>VINHO DV CATENA HISTORICO 750ML</t>
  </si>
  <si>
    <t>VINHO DV CATENA MALBEC 750ML</t>
  </si>
  <si>
    <t>VINHO EA CARTUXA 5L</t>
  </si>
  <si>
    <t>VINHO EAU DE PROVENCE 750ML 2023</t>
  </si>
  <si>
    <t>VINHO EL ENEMIGO BONARDA 750ML</t>
  </si>
  <si>
    <t>VINHO EL ENEMIGO CHARDONNAY 750ML</t>
  </si>
  <si>
    <t>VINHO EL ENEMIGO MALBEC 750ML</t>
  </si>
  <si>
    <t>VINHO EMILIANA ADOBE 750ML CAB SAUV</t>
  </si>
  <si>
    <t>VINHO EMILIANA ADOBE 750ML CAR</t>
  </si>
  <si>
    <t>VINHO EMILIANA ADOBE 750ML CHARD</t>
  </si>
  <si>
    <t>VINHO EMILIANA ADOBE 750ML GEWUR</t>
  </si>
  <si>
    <t>VINHO EMILIANA ADOBE 750ML MERLOT</t>
  </si>
  <si>
    <t>VINHO EMILIANA ADOBE 750ML PINOT NOIR</t>
  </si>
  <si>
    <t>VINHO EMILIANA ADOBE 750ML ROSE</t>
  </si>
  <si>
    <t>VINHO EMILIANA ADOBE 750ML SYRAH</t>
  </si>
  <si>
    <t>VINHO EMILIANA ADOBE RED BLEND 750ML</t>
  </si>
  <si>
    <t>VINHO EMILIANA ADOBE RIESLING 750ML</t>
  </si>
  <si>
    <t>VINHO EMILIANA ADOBE SAUV 750ML</t>
  </si>
  <si>
    <t>VINHO EMILIANA CELSO CARIGNAN 750ML</t>
  </si>
  <si>
    <t>VINHO EMILIANA COYAM TINTO 750ML</t>
  </si>
  <si>
    <t>VINHO EMILIANA NOVAS GRAN CAB SAUV 750ML</t>
  </si>
  <si>
    <t>VINHO EMILIANA NOVAS GRAN CARMENERE 750ML</t>
  </si>
  <si>
    <t>VINHO EMILIANA NOVAS GRAN MOURVEDRE 750ML</t>
  </si>
  <si>
    <t>VINHO EMILIANA NOVAS GRAN PINOT NOIR 750ML</t>
  </si>
  <si>
    <t>VINHO EMILIANA NOVAS GRAN SYRAH 750ML</t>
  </si>
  <si>
    <t>VINHO EMILIANA TAIS PINOT NOIR ROSE 750ML</t>
  </si>
  <si>
    <t>VINHO EPU DE ALMAVIVA 750ML</t>
  </si>
  <si>
    <t>VINHO ERRAZURIZ 1870 CAB SAUV 750ML</t>
  </si>
  <si>
    <t>VINHO ERRAZURIZ KAI CARMENERE 750ML</t>
  </si>
  <si>
    <t>VINHO ESPORAO COLHEITA ORG BCO 750ML</t>
  </si>
  <si>
    <t>VINHO ESPORAO COLHEITA ORGANICO 750ML</t>
  </si>
  <si>
    <t>VINHO ESPORAO PE TINTO 750ML</t>
  </si>
  <si>
    <t>VINHO ESPORAO PRIVATE SELEC BRANCO 750ML</t>
  </si>
  <si>
    <t>VINHO ESPORAO PRIVATE SELEC TINTO 750ML</t>
  </si>
  <si>
    <t>VINHO ESPORAO RESERVA BRANCO 750ML</t>
  </si>
  <si>
    <t>VINHO ESPORAO RESERVA TINTO 1,5L</t>
  </si>
  <si>
    <t>VINHO ESPORAO RESERVA TINTO 5L</t>
  </si>
  <si>
    <t>VINHO ESPORAO RESERVA TINTO 750ML</t>
  </si>
  <si>
    <t>VINHO ESTANCIA CAB MALBEC 750ML</t>
  </si>
  <si>
    <t>VINHO ESTANCIA CHAR CHENIN 750ML</t>
  </si>
  <si>
    <t>VINHO ESTANCIA MENDOZA RES MALBEC 750ML</t>
  </si>
  <si>
    <t>VINHO ESTANCIA MERLOT MALBEC 750ML</t>
  </si>
  <si>
    <t>VINHO ESTANDON QUINTESSENCE ROSE 750ML</t>
  </si>
  <si>
    <t>VINHO FAMILLE HUGEL CLASSIC PINOT NOIR 750ML</t>
  </si>
  <si>
    <t>VINHO FAMILY COLLECTION RES CAB 750ML</t>
  </si>
  <si>
    <t>VINHO FAMILY COLLECTION RES CARM 750ML</t>
  </si>
  <si>
    <t>VINHO FAMILY COLLECTION RES CHARD 750ML</t>
  </si>
  <si>
    <t>VINHO FAMILY COLLECTION RES PINOT NOIR 750ML</t>
  </si>
  <si>
    <t>VINHO FAMILY COLLECTION RES SAUV 750ML</t>
  </si>
  <si>
    <t>VINHO FAMILY COLLECTION RES SHIRAZ 750ML</t>
  </si>
  <si>
    <t>VINHO FANTINI MONTEP DA BRUZZO 750ML</t>
  </si>
  <si>
    <t>VINHO FARNESE EDIZIONE 750ML</t>
  </si>
  <si>
    <t>VINHO FARNESE FANTINI SANGIOVESE 750ML</t>
  </si>
  <si>
    <t>VINHO FARNESE FANTINI TREBIANO BCO 750ML</t>
  </si>
  <si>
    <t>VINHO FAUSTINO RIVERO BOBAL ROSE 750ML</t>
  </si>
  <si>
    <t>VINHO FAUSTINO RIVERO RES TINTO 750ML</t>
  </si>
  <si>
    <t>VINHO FAUSTINO RIVERO TEMPRANILLO 750ML</t>
  </si>
  <si>
    <t>VINHO FAUSTO CABERNET SAUV 750ML</t>
  </si>
  <si>
    <t>VINHO FAUSTO CHARDONNAY 750ML</t>
  </si>
  <si>
    <t>VINHO FAUSTO MERLOT 750ML</t>
  </si>
  <si>
    <t>VINHO FAUSTO MERLOT ROSE 750ML</t>
  </si>
  <si>
    <t>VINHO FAUSTO TANNAT 750ML</t>
  </si>
  <si>
    <t>VINHO FAUSTO TINTO MERLOT 187ML</t>
  </si>
  <si>
    <t>VINHO FAUSTO TINTO TANNAT 187ML</t>
  </si>
  <si>
    <t>VINHO FAUSTO VERVE GRAN RES 750ML</t>
  </si>
  <si>
    <t>VINHO FERREIRINHA VINHA GRANDE 750ML</t>
  </si>
  <si>
    <t>VINHO FINCA LA LINDA 750ML CAB SAUV</t>
  </si>
  <si>
    <t>VINHO FINCA LA LINDA 750ML MALBEC</t>
  </si>
  <si>
    <t>VINHO FINCA LA LINDA CHARD 750ML</t>
  </si>
  <si>
    <t>VINHO FINCA LA LINDA OLD VINES MALBEC 750ML</t>
  </si>
  <si>
    <t>VINHO FINCA LA LINDA ROSE 750ML</t>
  </si>
  <si>
    <t>VINHO FINCA LA LINDA SMART BLEND 750ML</t>
  </si>
  <si>
    <t>VINHO FLOR DE CRASTO DOURO TINTO 750ML</t>
  </si>
  <si>
    <t>VINHO FLOR DE LIS RESERVA TINTO 1,5L</t>
  </si>
  <si>
    <t>VINHO FLOR DO COA TINTO 750ML</t>
  </si>
  <si>
    <t>VINHO FLORESTA CAB SAUV 750ML</t>
  </si>
  <si>
    <t>VINHO FLORESTA CABERNET FRANC 750ML</t>
  </si>
  <si>
    <t>VINHO FLORESTA CARMENERE 750ML</t>
  </si>
  <si>
    <t>VINHO FLORESTA CHARDONNAY 750ML</t>
  </si>
  <si>
    <t>VINHO FLORESTA FIELD BLEND 750ML</t>
  </si>
  <si>
    <t>VINHO FONSECA PORTO RUBY 750ML</t>
  </si>
  <si>
    <t>VINHO FONSECA PORTO TAWNY 750ML</t>
  </si>
  <si>
    <t>VINHO FONSECA PORTO WHITE 750ML</t>
  </si>
  <si>
    <t>VINHO FONTE DA GALEGA BRANCO 750ML</t>
  </si>
  <si>
    <t>VINHO FONTE DA GALEGA ROSE 750ML</t>
  </si>
  <si>
    <t>VINHO FONTE DA GALEGA TINTO 750ML</t>
  </si>
  <si>
    <t>VINHO FONTODI FLACCIANELLO DELLA PIEV 750ML 2016</t>
  </si>
  <si>
    <t>VINHO FORTE AMBRONE ROSSO 750ML</t>
  </si>
  <si>
    <t>VINHO FORTE AMBRONE TOSCANA 750ML</t>
  </si>
  <si>
    <t>VINHO FRACAO UNICA 750ML MERLOT</t>
  </si>
  <si>
    <t>VINHO FRACAO UNICA CABERNET FRANC 750ML</t>
  </si>
  <si>
    <t>VINHO FRACAO UNICA PINOT NOIR 750ML</t>
  </si>
  <si>
    <t>VINHO FREEBIE FRISANTE BRANCO 750ML</t>
  </si>
  <si>
    <t>VINHO FREEBIE FRISANTE ROSE 750ML</t>
  </si>
  <si>
    <t>VINHO FREIXENET BRANCO S/ALCOOL 750ML</t>
  </si>
  <si>
    <t>VINHO FREIXENET CHIANTI D.O.C.G. 750ML</t>
  </si>
  <si>
    <t>VINHO FREIXENET MOSCATO 750ML</t>
  </si>
  <si>
    <t>VINHO FREIXENET PINOT GRIGIO 750ML</t>
  </si>
  <si>
    <t>VINHO FREIXENET PINOT GRIGIO D.O.C. 187ML</t>
  </si>
  <si>
    <t>VINHO FREIXENET PRIMITIVO 750ML</t>
  </si>
  <si>
    <t>VINHO FREIXENET ROSE S/ALCOOL 750ML</t>
  </si>
  <si>
    <t>VINHO FREIXENET STILL 750ML ROSE</t>
  </si>
  <si>
    <t>VINHO FREIXENET STILL SAUV BLANC 750ML</t>
  </si>
  <si>
    <t>VINHO FREIXENET TINTO RIOJA 750ML</t>
  </si>
  <si>
    <t>VINHO FREIXENET TINTO S/ALCOOL 750ML</t>
  </si>
  <si>
    <t>VINHO FRISANTE MOSKETTO PINK 750ML</t>
  </si>
  <si>
    <t>VINHO FRISANTE MOSKETTO TINTO 750ML</t>
  </si>
  <si>
    <t>VINHO FRISANTE MOSKETTO WHITE 750ML</t>
  </si>
  <si>
    <t>VINHO FRONTEIRA GRANDE RESERVA TINTO 750ML</t>
  </si>
  <si>
    <t>VINHO FRONTEIRA RESERVA TINTO 750ML</t>
  </si>
  <si>
    <t>VINHO FRONTEIRA TINTO 750ML</t>
  </si>
  <si>
    <t>VINHO GAMLA CAB SAUV TINTO 750ML</t>
  </si>
  <si>
    <t>VINHO GAMLA PINOT NOIR TINTO 750ML</t>
  </si>
  <si>
    <t>VINHO GAMLA SYRAH TINTO 750ML</t>
  </si>
  <si>
    <t>VINHO GARZON BALASTO 18 750ML</t>
  </si>
  <si>
    <t>VINHO GARZON ESTATE CAB DE CORTE 750ML</t>
  </si>
  <si>
    <t>VINHO GARZON ESTATE PINOT GRIGIO 750ML</t>
  </si>
  <si>
    <t>VINHO GARZON ESTATE PINOT NOIR 1,5L ROSE</t>
  </si>
  <si>
    <t>VINHO GARZON ESTATE PINOT ROSE NOIR 750ML</t>
  </si>
  <si>
    <t>VINHO GARZON ESTATE SAUVIGNON DE CORTE 750ML</t>
  </si>
  <si>
    <t>VINHO GARZON ESTATE TANNAT DE CORTE 750ML</t>
  </si>
  <si>
    <t>VINHO GARZON RESERVA ALBARINO 750ML</t>
  </si>
  <si>
    <t>VINHO GARZON RESERVA CABERNET FRANC 750ML</t>
  </si>
  <si>
    <t>VINHO GARZON RESERVA MARSELAN 750ML</t>
  </si>
  <si>
    <t>VINHO GARZON RESERVA TANNAT 750ML</t>
  </si>
  <si>
    <t>VINHO GARZON SINGLE VINEYARD PETIT VERDOT 750ML</t>
  </si>
  <si>
    <t>VINHO GARZON SINGLE VINEYARD TANNAT 750ML</t>
  </si>
  <si>
    <t>VINHO GASTRONOMICO CASA MADEIRA 500ML</t>
  </si>
  <si>
    <t>VINHO GATO NEGRO CAB SAUV 750ML</t>
  </si>
  <si>
    <t>VINHO GATO NEGRO CAR 750ML</t>
  </si>
  <si>
    <t>VINHO GATO NEGRO MERLOT 750ML</t>
  </si>
  <si>
    <t>VINHO GATO NEGRO SAUV BLANC 750ML</t>
  </si>
  <si>
    <t>VINHO GAZELA VERDE BRANCO 750ML</t>
  </si>
  <si>
    <t>VINHO GEM PAYS D'OC BLANC 750ML</t>
  </si>
  <si>
    <t>VINHO GEM PAYS D'OC ROSE 750ML</t>
  </si>
  <si>
    <t>VINHO GEM PAYS D'OC ROUGE 750ML</t>
  </si>
  <si>
    <t>VINHO GIOIA MERLOT 750ML</t>
  </si>
  <si>
    <t>VINHO GONZALEZ BYASS ALFONSO JEREZ OLOROSO 750ML</t>
  </si>
  <si>
    <t>VINHO GONZALEZ BYASS SOLERA 1847 CREAM 750ML</t>
  </si>
  <si>
    <t>VINHO GRAO VASCO TINTO 750ML</t>
  </si>
  <si>
    <t>VINHO GUASPARI PINOT 750ML</t>
  </si>
  <si>
    <t>VINHO GUASPARI ROSE 750ML</t>
  </si>
  <si>
    <t>VINHO GUASPARI VALE DA PEDRA TINTO 750ML</t>
  </si>
  <si>
    <t>VINHO GUASPARI VISTA DA MATA CAB 750ML</t>
  </si>
  <si>
    <t>VINHO GUASPARI VISTA DA SERRA 750ML</t>
  </si>
  <si>
    <t>VINHO GUASPARI VISTA DO BOSQUE 750ML</t>
  </si>
  <si>
    <t>VINHO GUASPARI VISTA DO CHA 750ML</t>
  </si>
  <si>
    <t>VINHO HARDYS STAMP CAB MERLOT 750ML</t>
  </si>
  <si>
    <t>VINHO HEART ROSE 750ML</t>
  </si>
  <si>
    <t>VINHO HEART SAUV BLANC 750ML</t>
  </si>
  <si>
    <t>VINHO HERDADE SAO MIGUEL 750ML</t>
  </si>
  <si>
    <t>VINHO HERMANDAD BLEND 750ML</t>
  </si>
  <si>
    <t>VINHO HERMANDAD CAB FRANC 750ML</t>
  </si>
  <si>
    <t>VINHO I HEART MERLOT 750ML</t>
  </si>
  <si>
    <t>VINHO I HEART SHIRAZ 750ML</t>
  </si>
  <si>
    <t>VINHO INDOMITA CARMENERE 750ML</t>
  </si>
  <si>
    <t>VINHO INDOMITA CHARDONNAY 750ML</t>
  </si>
  <si>
    <t>VINHO INDOMITA GRAN RES CARMENERE 750ML</t>
  </si>
  <si>
    <t>VINHO INDOMITA GRAN RES CHARDONNAY 750ML</t>
  </si>
  <si>
    <t>VINHO INDOMITA GRAN RES SAUV BLANC 750ML</t>
  </si>
  <si>
    <t>VINHO INDOMITA MERLOT 750ML</t>
  </si>
  <si>
    <t>VINHO INDOMITA ROSE 750ML</t>
  </si>
  <si>
    <t>VINHO INDOMITA ROSE MUSETTE 750ML</t>
  </si>
  <si>
    <t>VINHO INDOMITA VARIETAL CAB SAUV 750ML</t>
  </si>
  <si>
    <t>VINHO INOVE CLASSIC 750ML</t>
  </si>
  <si>
    <t>VINHO INTIS CABERNET SAUVIGNON 750ML</t>
  </si>
  <si>
    <t>VINHO INTIS MALBEC 750ML</t>
  </si>
  <si>
    <t>VINHO INTRIGA BLEND 750ML</t>
  </si>
  <si>
    <t>VINHO IZADI CRIANZA TINTO 750ML</t>
  </si>
  <si>
    <t>VINHO JACOB'S CREEK CAB SAUV 750ML</t>
  </si>
  <si>
    <t>VINHO JACOB'S CREEK SHIRAZ 750ML</t>
  </si>
  <si>
    <t>VINHO JACOBS CREEK CHARDONNAY 750ML</t>
  </si>
  <si>
    <t>VINHO JACOBS CREEK SHIRAZ CABERNET 750ML</t>
  </si>
  <si>
    <t>VINHO JERREZ TIO PEPE SECO 750ML</t>
  </si>
  <si>
    <t>VINHO JP AZEITAO CAST ARAGONES 750ML</t>
  </si>
  <si>
    <t>VINHO JP AZEITAO SYRAH ROSE 750ML</t>
  </si>
  <si>
    <t>VINHO JP CHENET MERLOT 750ML</t>
  </si>
  <si>
    <t>VINHO JUDAS MALBEC 750ML</t>
  </si>
  <si>
    <t>VINHO KAIKEN ESTATE SAUVIGNON 750ML</t>
  </si>
  <si>
    <t>VINHO KINGSTON ESTATE CAB SAUV 750ML</t>
  </si>
  <si>
    <t>VINHO KINGSTON ESTATE SHIRAZ 750ML</t>
  </si>
  <si>
    <t>VINHO KLEINKLOOF MOUNTAIN RED 750ML</t>
  </si>
  <si>
    <t>VINHO KLET BRDA QUERCUS REBULA 750ML</t>
  </si>
  <si>
    <t>VINHO KUMALA PINOTAGE TINTO 750ML</t>
  </si>
  <si>
    <t>VINHO KUMALA SHIRAZ TINTO 750ML</t>
  </si>
  <si>
    <t>VINHO LA CELIA CABERNET SAUV 750ML</t>
  </si>
  <si>
    <t>VINHO LA CELIA MALBEC 750ML</t>
  </si>
  <si>
    <t>VINHO LA CELIA MALBEC CABERNET 750ML</t>
  </si>
  <si>
    <t>VINHO LA DAME DE MONTROSE SAINT 750ML 2014</t>
  </si>
  <si>
    <t>VINHO LA FLUR D'ARMENS 750ML 2016</t>
  </si>
  <si>
    <t>VINHO LA LINDA TORRONTES 750ML</t>
  </si>
  <si>
    <t>VINHO LA PROMESSA NERO AVOLA 750ML</t>
  </si>
  <si>
    <t>VINHO LA PROMESSA PINOT GRIGIO 750ML</t>
  </si>
  <si>
    <t>VINHO LA RIOJA ALTA VINA ALBERDI 750ML</t>
  </si>
  <si>
    <t>VINHO LA UMBRA FETEASCA NEAGRA 750ML</t>
  </si>
  <si>
    <t>VINHO LA UMBRA FETEASCA REGALA 750ML</t>
  </si>
  <si>
    <t>VINHO LADY LAROZE GRAND CRU 750ML 2014</t>
  </si>
  <si>
    <t>VINHO LAGARES DE PENALVA 750ML</t>
  </si>
  <si>
    <t>VINHO LAGARES DE PENALVA BRANCO 750ML</t>
  </si>
  <si>
    <t>VINHO LAMBRUSCO CELLA BRANCO 750ML</t>
  </si>
  <si>
    <t>VINHO LAMBRUSCO CELLA TINTO 750ML</t>
  </si>
  <si>
    <t>VINHO LAMBRUSCO LINDA DONNA BRANCO 750ML</t>
  </si>
  <si>
    <t>VINHO LAMBRUSCO LINDA DONNA TINTO 750ML</t>
  </si>
  <si>
    <t>VINHO LAPIS LINA CHARDONNAY 750ML</t>
  </si>
  <si>
    <t>VINHO LAPIS LUNA CAB SAUV 750ML</t>
  </si>
  <si>
    <t>VINHO LAPIS LUNA PINOT NOIR 750ML</t>
  </si>
  <si>
    <t>VINHO LAPIS LUNA ZINFANDEL 750ML</t>
  </si>
  <si>
    <t>VINHO LAS DOSCES 750ML</t>
  </si>
  <si>
    <t>VINHO LAS DOSCES BRANCO 750ML</t>
  </si>
  <si>
    <t>VINHO LAS PERDICES CHAC CAB FRANC 750ML</t>
  </si>
  <si>
    <t>VINHO LAS PERDICES CHAC MALBEC 750ML</t>
  </si>
  <si>
    <t>VINHO LAS PERDICES CHAC ROSE 750ML</t>
  </si>
  <si>
    <t>VINHO LAS PERDICES CHAC SAUV BLANC 750ML</t>
  </si>
  <si>
    <t>VINHO LAS PERDICES MALBEC 750ML</t>
  </si>
  <si>
    <t>VINHO LAS PERDICES PINOT GRIGIO 750ML</t>
  </si>
  <si>
    <t>VINHO LAS PERDICES SYRAH VIOGNER 750ML</t>
  </si>
  <si>
    <t>VINHO LAS PERDICES VIOGNER 750ML</t>
  </si>
  <si>
    <t>VINHO LATITUD 33 750ML CHARDONNAY</t>
  </si>
  <si>
    <t>VINHO LATITUD 33 CAB SAUV 750ML</t>
  </si>
  <si>
    <t>VINHO LATITUD 33 MALBEC 750ML</t>
  </si>
  <si>
    <t>VINHO LATITUD 33 ROSE 750ML</t>
  </si>
  <si>
    <t>VINHO LATITUD 33 SAUV BLANC 750ML</t>
  </si>
  <si>
    <t>VINHO LE CASINE PINOT GRIGIO BCO 750ML</t>
  </si>
  <si>
    <t>VINHO LE CASINE SANGIOVESE 750ML</t>
  </si>
  <si>
    <t>VINHO LE HAUT MEDOC DUCRU 750ML</t>
  </si>
  <si>
    <t>VINHO LES BRETECHES 750ML</t>
  </si>
  <si>
    <t>VINHO LES PAGODES DO COS SAINT 750ML 2001</t>
  </si>
  <si>
    <t>VINHO LEYDA ESTATE CAB SAUV 750ML</t>
  </si>
  <si>
    <t>VINHO LEYDA ESTATE PINOT NOIR 750ML</t>
  </si>
  <si>
    <t>VINHO LEYDA ESTATE SAUV BLANC 750ML</t>
  </si>
  <si>
    <t>VINHO LOCO DE PIEDRA CAB SAUV 750ML</t>
  </si>
  <si>
    <t>VINHO LOMA NEGRA GRAN RES CAB SAUV 750ML</t>
  </si>
  <si>
    <t>VINHO LOMA NEGRA GRAN RES CAR 750ML</t>
  </si>
  <si>
    <t>VINHO LOMA NEGRA GRAN RES CHARD 750ML</t>
  </si>
  <si>
    <t>VINHO LOMA NEGRA GRAN RES MALBEC 750ML</t>
  </si>
  <si>
    <t>VINHO LOMA NEGRA GRAN RES MERLOT 750ML</t>
  </si>
  <si>
    <t>VINHO LOMA NEGRA GRAN RES PINOT NOIR 750ML</t>
  </si>
  <si>
    <t>VINHO LOMA NEGRA GRAN RES SAUV 750ML</t>
  </si>
  <si>
    <t>VINHO LOMA NEGRA GRAN RES SYRAH 750ML</t>
  </si>
  <si>
    <t>VINHO LOMAS CENTINELA CHARD 750ML</t>
  </si>
  <si>
    <t>VINHO LOS CARDOS CAB SAUV 750ML</t>
  </si>
  <si>
    <t>VINHO LOS CARDOS DULCE SAUV BLANC 750ML</t>
  </si>
  <si>
    <t>VINHO LOS CARDOS RED BLEND 750ML</t>
  </si>
  <si>
    <t>VINHO LOS CARDOS SAUVIGNON BLANC 750ML</t>
  </si>
  <si>
    <t>VINHO LOS INTOCABLES CAB 750ML</t>
  </si>
  <si>
    <t>VINHO LOS INTOCABLES CHARD 750ML</t>
  </si>
  <si>
    <t>VINHO LOS VASCOS CAB SAUV RESERVA 750ML</t>
  </si>
  <si>
    <t>VINHO LOS VASCOS CHARDONNAY 750ML</t>
  </si>
  <si>
    <t>VINHO LOS VASCOS ROSE 750ML</t>
  </si>
  <si>
    <t>VINHO LOUIS LATOUR BEAUJOLAIS VILLAGES 750ML</t>
  </si>
  <si>
    <t>VINHO LOUIS LATOUR BOURGOGNE CHARD 750ML</t>
  </si>
  <si>
    <t>VINHO LOUIS LATOUR BOURGOGNE PINOT NOIR TTO 750ML</t>
  </si>
  <si>
    <t>VINHO LOUIS LATOUR BROUILLY TTO 750ML</t>
  </si>
  <si>
    <t>VINHO LOUIS LATOUR DOMAINE VALMOISS TTO 750ML</t>
  </si>
  <si>
    <t>VINHO LOUIS LATOUR MARSANNAY TTO 750ML</t>
  </si>
  <si>
    <t>VINHO LUCA CHARDONNAY CATENA 750ML</t>
  </si>
  <si>
    <t>VINHO LUCA MALBEC CATENA 750ML</t>
  </si>
  <si>
    <t>VINHO LUCA PINOT NOIR CATENA 750ML</t>
  </si>
  <si>
    <t>VINHO LUCCARELLI NEGROAMARO PUGLIA 750ML</t>
  </si>
  <si>
    <t>VINHO LUCCARELLI PRIMITIVO PUGLIA 750ML</t>
  </si>
  <si>
    <t>VINHO LUCCARELLI PUGLIA ROSSO 750ML</t>
  </si>
  <si>
    <t>VINHO LUCCARELLI SIGNATURE CO 750ML</t>
  </si>
  <si>
    <t>VINHO LUIGI BOSCA 750ML CAB SAUV</t>
  </si>
  <si>
    <t>VINHO LUIGI BOSCA 750ML MALBEC</t>
  </si>
  <si>
    <t>VINHO LUIGI BOSCA MALBEC DOC 750ML</t>
  </si>
  <si>
    <t>VINHO LUIZ ARGENTA CLASSICO BLANC NOIR 750ML</t>
  </si>
  <si>
    <t>VINHO LUIZ ARGENTA CLASSICO CAB SAUV 750ML</t>
  </si>
  <si>
    <t>VINHO LUIZ ARGENTA CLASSICO CHAR 750ML</t>
  </si>
  <si>
    <t>VINHO LUIZ ARGENTA CLASSICO CORTE 750ML</t>
  </si>
  <si>
    <t>VINHO LUIZ ARGENTA CLASSICO FRANC 750ML</t>
  </si>
  <si>
    <t>VINHO LUIZ ARGENTA CLASSICO MERLOT 750ML</t>
  </si>
  <si>
    <t>VINHO LUIZ ARGENTA GEWURZT JOVEM 750ML</t>
  </si>
  <si>
    <t>VINHO LUIZ ARGENTA JOVEM ROSE 750ML</t>
  </si>
  <si>
    <t>VINHO LUIZ ARGENTA JOVEM SAUV BLANC 750ML</t>
  </si>
  <si>
    <t>VINHO LUIZ ARGENTA JOVEM SHIRAZ 750ML</t>
  </si>
  <si>
    <t>VINHO LUIZ ARGENTO RIPIANO JOVEM 750ML</t>
  </si>
  <si>
    <t>VINHO LULU FRANCAIS GRENACHE ROSE 750ML</t>
  </si>
  <si>
    <t>VINHO MACAW BRANCO FRISANTE TROPICAL 750ML</t>
  </si>
  <si>
    <t>VINHO MACAW ROSE FRISANTE TROPICAL 750ML</t>
  </si>
  <si>
    <t>VINHO MADEIRA JUST 3 ANOS DOCE 750ML</t>
  </si>
  <si>
    <t>VINHO MADEIRA JUST 3 ANOS SECO 750ML</t>
  </si>
  <si>
    <t>VINHO MAISON SICHEL BORDEAUX BLANC 750ML</t>
  </si>
  <si>
    <t>VINHO MAISON SICHEL BORDEAUX ROUGE 750ML</t>
  </si>
  <si>
    <t>VINHO MARCELLE SUAVE BRANCO 750ML</t>
  </si>
  <si>
    <t>VINHO MARIA TERESA CRASTO 750ML 2017</t>
  </si>
  <si>
    <t>VINHO MARIANA HERDADE ROCIM 750ML</t>
  </si>
  <si>
    <t>VINHO MARIANA HERDADE ROCIM BCO 750ML</t>
  </si>
  <si>
    <t>VINHO MARICHAL PERIPLO SENTIRE ALBARINO 750ML</t>
  </si>
  <si>
    <t>VINHO MARICHAL PERIPLO TANNAT 750ML</t>
  </si>
  <si>
    <t>VINHO MARINE ROSE 750ML</t>
  </si>
  <si>
    <t>VINHO MARIUS 750ML</t>
  </si>
  <si>
    <t>VINHO MARIUS BCO 750ML</t>
  </si>
  <si>
    <t>VINHO MARQUES CASA CONCHA 750ML CHARDONNAY</t>
  </si>
  <si>
    <t>VINHO MARQUES CASA CONCHA CAB SAUV 750ML</t>
  </si>
  <si>
    <t>VINHO MARQUES CASA CONCHA PINOT NOIR 750ML</t>
  </si>
  <si>
    <t>VINHO MARQUES DE MURRIETA RESERVA 750ML</t>
  </si>
  <si>
    <t>VINHO MARQUES DE TOLEDO GRAN RES 750ML</t>
  </si>
  <si>
    <t>VINHO MARQUES DEL ATRIO LA LIGA 750ML</t>
  </si>
  <si>
    <t>VINHO MARSALA LOMBARDO DOLCE 750ML</t>
  </si>
  <si>
    <t>VINHO MATEUS BRANCO 750ML</t>
  </si>
  <si>
    <t>VINHO MATEUS ROSE 187ML</t>
  </si>
  <si>
    <t>VINHO MATEUS ROSE 750ML</t>
  </si>
  <si>
    <t>VINHO MAX ERRAZURIZ CAB SAUV 750ML</t>
  </si>
  <si>
    <t>VINHO MAX ERRAZURIZ CARMENERE 750ML</t>
  </si>
  <si>
    <t>VINHO MAX ERRAZURIZ CHARD 750ML</t>
  </si>
  <si>
    <t>VINHO MAX ERRAZURIZ PINOT NOIR 750ML</t>
  </si>
  <si>
    <t>VINHO MAX ERRAZURIZ SHIRAZ 750ML</t>
  </si>
  <si>
    <t>VINHO MAXIMINUS THRAX MAVRUD 750ML</t>
  </si>
  <si>
    <t>VINHO MEDITERANEE VESTIGE ROSE 750ML</t>
  </si>
  <si>
    <t>VINHO MEDITERRANEE MEDITEO ROSE 750ML</t>
  </si>
  <si>
    <t>VINHO MEMORO PICCINI ROSE 750ML</t>
  </si>
  <si>
    <t>VINHO MENAGE A TROIS GOLD BRANCO 750ML</t>
  </si>
  <si>
    <t>VINHO MENAGE A TROIS LAVISH TINTO 750ML</t>
  </si>
  <si>
    <t>VINHO MENAGE A TROIS MIDNIGHT TINTO 750ML</t>
  </si>
  <si>
    <t>VINHO MENAGE TROIS BOURBON BARRELS 750ML</t>
  </si>
  <si>
    <t>VINHO METROPOLITANO CAB SAUV 750ML</t>
  </si>
  <si>
    <t>VINHO METROPOLITANO CARMENERE 750ML</t>
  </si>
  <si>
    <t>VINHO METROPOLITANO CENTRAL RED BLEND 750ML</t>
  </si>
  <si>
    <t>VINHO METROPOLITANO CHARDONNAY 750ML</t>
  </si>
  <si>
    <t>VINHO MEZZO ROSATO DEL SALENTO IGP 750ML</t>
  </si>
  <si>
    <t>VINHO MIL REIS SYRAH 750ML 2019</t>
  </si>
  <si>
    <t>VINHO MIOLO LOTE 43 MERLOT CAB SAUV 750ML</t>
  </si>
  <si>
    <t>VINHO MIOLO MERLOT TERROIR 750ML</t>
  </si>
  <si>
    <t>VINHO MIOLO RESERVA CHARDONNAY 750ML</t>
  </si>
  <si>
    <t>VINHO MIOLO RESERVA SAUV BLANC 750ML</t>
  </si>
  <si>
    <t>VINHO MIOLO SEL 750ML ROSE CAB TEM</t>
  </si>
  <si>
    <t>VINHO MIRABOM TINTO 750ML</t>
  </si>
  <si>
    <t>VINHO MOI PRIMITIVO DI PUGLIA IGP 750ML</t>
  </si>
  <si>
    <t>VINHO MONDAVI PRIVATE SEL PINOT NOIR 750ML</t>
  </si>
  <si>
    <t>VINHO MONSSARAZ ALENTEJO 750ML</t>
  </si>
  <si>
    <t>VINHO MONTE DAS ANFORAS 750ML</t>
  </si>
  <si>
    <t>VINHO MONTE DE PINHEIROS TINTO 750ML</t>
  </si>
  <si>
    <t>VINHO MONTE PENEDO GORDO PREMIUM 750ML</t>
  </si>
  <si>
    <t>VINHO MONTE PERDIGOES COLHEITA 750ML</t>
  </si>
  <si>
    <t>VINHO MONTE PERDIGOES COLHEITA BCO 750ML</t>
  </si>
  <si>
    <t>VINHO MONTE PERDIGOES COLHEITA ROSE 750ML</t>
  </si>
  <si>
    <t>VINHO MONTE PERDIGOES VINHAS VELHAS 750ML</t>
  </si>
  <si>
    <t>VINHO MONTE VELHO BRANCO 750ML</t>
  </si>
  <si>
    <t>VINHO MONTE VELHO ORG 750ML</t>
  </si>
  <si>
    <t>VINHO MONTE VELHO ROSE 750ML</t>
  </si>
  <si>
    <t>VINHO MONTE VELHO TINTO 750ML</t>
  </si>
  <si>
    <t>VINHO MONTES 750ML ALPHA CAB SAUV</t>
  </si>
  <si>
    <t>VINHO MONTES 750ML ALPHA CARMENERE</t>
  </si>
  <si>
    <t>VINHO MONTES ALPHA CHARDONNAY 750ML</t>
  </si>
  <si>
    <t>VINHO MONTES ALPHA MERLOT 750ML</t>
  </si>
  <si>
    <t>VINHO MONTES ALPHA PINOT NOIR 750ML</t>
  </si>
  <si>
    <t>VINHO MONTES ALPHA SAUV BLANC 750ML</t>
  </si>
  <si>
    <t>VINHO MONTES CLASSIC MALBEC RES 750ML</t>
  </si>
  <si>
    <t>VINHO MONTES CLASSIC RES CAB SAUV 750ML</t>
  </si>
  <si>
    <t>VINHO MONTES CLASSIC RES CHARDONNAY 750ML</t>
  </si>
  <si>
    <t>VINHO MONTES CLASSIC RESERVA MERLOT 750ML</t>
  </si>
  <si>
    <t>VINHO MONTES CLASSIC RESERVA SAUV BLANC 750ML</t>
  </si>
  <si>
    <t>VINHO MONTES PURPLE ANGEL 750ML</t>
  </si>
  <si>
    <t>VINHO MONTES TOSCANINI BIVARIETAL 750ML</t>
  </si>
  <si>
    <t>VINHO MONTES TOSCANINI RES FAMILIAR 750ML</t>
  </si>
  <si>
    <t>VINHO MONTES TOSCANINI TANNAT ROSE 750ML</t>
  </si>
  <si>
    <t>VINHO MONTES TWINS 750ML</t>
  </si>
  <si>
    <t>VINHO MONTESSUY CHARDONNAY 750ML</t>
  </si>
  <si>
    <t>VINHO MONTESSUY PINOT NOIR 750ML</t>
  </si>
  <si>
    <t>VINHO MONTMEYRAC BRANCO 750ML</t>
  </si>
  <si>
    <t>VINHO MONTMEYRAC TINTO 750ML</t>
  </si>
  <si>
    <t>VINHO MOSCATEL DE SETUBAL 750ML</t>
  </si>
  <si>
    <t>VINHO MOSCATO D ASTI MONCALVINA 750ML</t>
  </si>
  <si>
    <t>VINHO MOUCHAO ALENTEJO TINTO 750ML</t>
  </si>
  <si>
    <t>VINHO MOUTON CADET BORDEAUX BLANC 750ML</t>
  </si>
  <si>
    <t>VINHO MOUTON CADET BORDEAUX ROSE 750ML</t>
  </si>
  <si>
    <t>VINHO MOUTON CADET ROUGE 750ML</t>
  </si>
  <si>
    <t>VINHO MOUTON CADET SAUTERNES 750ML</t>
  </si>
  <si>
    <t>VINHO MUGA GRAN RESERVA PRADO 750ML</t>
  </si>
  <si>
    <t>VINHO MURALHAS DE MONCAO BCO 750ML</t>
  </si>
  <si>
    <t>VINHO NAMAQUA CAB SAUV 750ML</t>
  </si>
  <si>
    <t>VINHO NAMAQUA CHENIN BLANC 750ML</t>
  </si>
  <si>
    <t>VINHO NAMAQUA PINOTAGE 750ML</t>
  </si>
  <si>
    <t>VINHO NAMAQUA SHIRAZ 750ML</t>
  </si>
  <si>
    <t>VINHO NATURELLE BRANCO SUAVE 750ML</t>
  </si>
  <si>
    <t>VINHO NATURELLE RESERVA 750ML</t>
  </si>
  <si>
    <t>VINHO NATURELLE ROSE SUAVE 750ML</t>
  </si>
  <si>
    <t>VINHO NATURELLE TINTO SUAVE 750ML</t>
  </si>
  <si>
    <t>VINHO NEDERBURG 750ML PINOTAGE 1791</t>
  </si>
  <si>
    <t>VINHO NEDERBURG CAB SAUV 1791 750ML</t>
  </si>
  <si>
    <t>VINHO NEDERBURG SHIRAZ 750ML 1791</t>
  </si>
  <si>
    <t>VINHO NEXUS CRIANZA RIBERA DEL DUERO 750ML</t>
  </si>
  <si>
    <t>VINHO NEXUS RIBERA DEL DUERO 750ML</t>
  </si>
  <si>
    <t>VINHO NICO BY LUCA CATENA 750ML 2013</t>
  </si>
  <si>
    <t>VINHO NIETO S ESTATE PINOT NOIR 750ML</t>
  </si>
  <si>
    <t>VINHO NORTON DOC MALBEC 750ML</t>
  </si>
  <si>
    <t>VINHO NORTON SELECT CAB SAUV 750ML</t>
  </si>
  <si>
    <t>VINHO NORTON SELECT MALBEC 750ML</t>
  </si>
  <si>
    <t>VINHO NORTON SELECT PINOT NOIR 750ML</t>
  </si>
  <si>
    <t>VINHO NORTON SEXY FISH BLANC 750ML</t>
  </si>
  <si>
    <t>VINHO NORTON SEXY FISH CABERN 750ML</t>
  </si>
  <si>
    <t>VINHO NORTON SEXY FISH MALBEC 750ML</t>
  </si>
  <si>
    <t>VINHO NORTON SEXY FISH ROSE 750ML</t>
  </si>
  <si>
    <t>VINHO OAK ZANFANDEL 750ML</t>
  </si>
  <si>
    <t>VINHO OLARIA SUAVE 750ML</t>
  </si>
  <si>
    <t>VINHO OLARIA SUAVE ROSE 750ML</t>
  </si>
  <si>
    <t>VINHO OLAS Y VIENTOS RESERVA TANNAT 750ML</t>
  </si>
  <si>
    <t>VINHO OLAS Y VIENTOS SAUV BLANC UY 750ML</t>
  </si>
  <si>
    <t>VINHO OPTA DAO TINTO 750ML</t>
  </si>
  <si>
    <t>VINHO ORIGEM CAB SAUV 750ML</t>
  </si>
  <si>
    <t>VINHO ORIGEM ELEGANCE CAB SAUV 750ML</t>
  </si>
  <si>
    <t>VINHO ORIGEM MERLOT 750ML</t>
  </si>
  <si>
    <t>VINHO PAPALE L ORO PRIMITIVO DI MANDURIA 750ML</t>
  </si>
  <si>
    <t>VINHO PAPALE PRIMITIVO DI MANDURIA 750ML</t>
  </si>
  <si>
    <t>VINHO PARA RISOTTO CASA MADEIRA 500ML</t>
  </si>
  <si>
    <t>VINHO PARDAL MONTES 750ML</t>
  </si>
  <si>
    <t>VINHO PARDAL MONTES BRANCO 750ML</t>
  </si>
  <si>
    <t>VINHO PARDAL MONTES GRAN RES 750ML</t>
  </si>
  <si>
    <t>VINHO PARDAL MONTES RES 750ML</t>
  </si>
  <si>
    <t>VINHO PATA NEGRA GRAN RESERVA 750ML</t>
  </si>
  <si>
    <t>VINHO PATA NEGRA ORO TINTO 750ML</t>
  </si>
  <si>
    <t>VINHO PATA NEGRA TORO 750ML</t>
  </si>
  <si>
    <t>VINHO PAUL CLAUDE VAL BLANC 750ML</t>
  </si>
  <si>
    <t>VINHO PAUL CLAUDE VAL ROSE 750ML</t>
  </si>
  <si>
    <t>VINHO PAUL CLAUDE VAL ROUGE 750ML</t>
  </si>
  <si>
    <t>VINHO PAULO LAUREANO BACALHAU BC 750ML</t>
  </si>
  <si>
    <t>VINHO PAULO LAUREANO CARICATURA 750ML</t>
  </si>
  <si>
    <t>VINHO PAULO LAUREANO CARICATURA BC 750ML</t>
  </si>
  <si>
    <t>VINHO PAULO LAUREANO CLASSICO BR 750ML</t>
  </si>
  <si>
    <t>VINHO PAULO LAUREANO CLASSICO TINTO 750ML</t>
  </si>
  <si>
    <t>VINHO PAULO NOSSO TERROIR BRANCO 750ML</t>
  </si>
  <si>
    <t>VINHO PAULO NOSSO TERROIR TINTO 750ML</t>
  </si>
  <si>
    <t>VINHO PAYS HERAULD BELCHAPEL CARIG 750ML</t>
  </si>
  <si>
    <t>VINHO PAYS MARQUIERES ROSE DOC 750ML</t>
  </si>
  <si>
    <t>VINHO PENEDO GORDO BRANCO 750ML</t>
  </si>
  <si>
    <t>VINHO PENEDO GORDO DOC 750ML</t>
  </si>
  <si>
    <t>VINHO PENEDO GORDO TINTO 750ML</t>
  </si>
  <si>
    <t>VINHO PERA MANCA BRANCO 1,5L 2019</t>
  </si>
  <si>
    <t>VINHO PERA MANCA BRANCO 750ML</t>
  </si>
  <si>
    <t>VINHO PERA MANCA TINTO 750ML 2007</t>
  </si>
  <si>
    <t>VINHO PERA MANCA TINTO 750ML 2010</t>
  </si>
  <si>
    <t>VINHO PERA MANCA TINTO 750ML 2015</t>
  </si>
  <si>
    <t>VINHO PERA MANCA TINTO 750ML 2018</t>
  </si>
  <si>
    <t>VINHO PERIQUITA RESERVE TTO 750ML</t>
  </si>
  <si>
    <t>VINHO PERIQUITA ROSE 750ML</t>
  </si>
  <si>
    <t>VINHO PERIQUITA TINTO 750ML</t>
  </si>
  <si>
    <t>VINHO PETALIS ROSE 750ML</t>
  </si>
  <si>
    <t>VINHO PETER ECHO BAY SAUV BLANC 750ML</t>
  </si>
  <si>
    <t>VINHO PETER LEHMANN SHIRAZ 750ML</t>
  </si>
  <si>
    <t>VINHO PICCINI MEMORO ROSSO 750ML</t>
  </si>
  <si>
    <t>VINHO PIGMENTUM CAHORS MALBEC AOC 750ML</t>
  </si>
  <si>
    <t>VINHO PILATOS 750ML MALBEC</t>
  </si>
  <si>
    <t>VINHO PINAR DE VILLENA MONASTRELL 750ML</t>
  </si>
  <si>
    <t>VINHO PINAR DE VILLENA SAUV 750ML</t>
  </si>
  <si>
    <t>VINHO PINTIA 750ML</t>
  </si>
  <si>
    <t>VINHO PIZZATO ALICANTE BOUSCHET 750ML</t>
  </si>
  <si>
    <t>VINHO PIZZATO CONCENTUS 750ML</t>
  </si>
  <si>
    <t>VINHO PIZZATO DNA 750ML</t>
  </si>
  <si>
    <t>VINHO PIZZATO DNA 99 1,5L</t>
  </si>
  <si>
    <t>VINHO PIZZATO LEGNO BRANCO 750ML</t>
  </si>
  <si>
    <t>VINHO PIZZATO MERLOT RES 750ML</t>
  </si>
  <si>
    <t>VINHO PIZZATO SEMILLON 750ML</t>
  </si>
  <si>
    <t>VINHO PIZZATO TANNAT NERVI 750ML</t>
  </si>
  <si>
    <t>VINHO POEME CAB SYRAH 750ML</t>
  </si>
  <si>
    <t>VINHO POLIPHONIA RESERVA 750ML</t>
  </si>
  <si>
    <t>VINHO PORCA DE MURCA BCO 750ML</t>
  </si>
  <si>
    <t>VINHO PORCA DE MURCA RES 750ML</t>
  </si>
  <si>
    <t>VINHO PORCA DE MURCA ROSE 750ML</t>
  </si>
  <si>
    <t>VINHO PORCA DE MURCA TTO 750ML</t>
  </si>
  <si>
    <t>VINHO PORTAL DA AZENHA 750ML</t>
  </si>
  <si>
    <t>VINHO PORTAL DA AZENHA BRANCO 750ML</t>
  </si>
  <si>
    <t>VINHO PORTAL DA AZENHA RES 750ML</t>
  </si>
  <si>
    <t>VINHO PORTAS DO SOL TINTO 750ML</t>
  </si>
  <si>
    <t>VINHO PORTENO CABERNET SAUVIGNON 750ML</t>
  </si>
  <si>
    <t>VINHO PORTENO CHARDONNAY 750ML</t>
  </si>
  <si>
    <t>VINHO PORTENO MALBEC 750ML</t>
  </si>
  <si>
    <t>VINHO PORTENO ROSE 750ML</t>
  </si>
  <si>
    <t>VINHO PORTENO TORRONTES 750ML</t>
  </si>
  <si>
    <t>VINHO PORTILLO MALBEC 750ML</t>
  </si>
  <si>
    <t>VINHO PORTILLO PINOT NOIR 750ML</t>
  </si>
  <si>
    <t>VINHO PORTO CEREMONY 20 ANOS 750ML</t>
  </si>
  <si>
    <t>VINHO PORTO CEREMONY BCO SECO 750ML</t>
  </si>
  <si>
    <t>VINHO PORTO CROFT RUBY 750ML</t>
  </si>
  <si>
    <t>VINHO PORTO CROFT TAWNY 750ML</t>
  </si>
  <si>
    <t>VINHO PORTO DOM JOSE RUBY 750ML</t>
  </si>
  <si>
    <t>VINHO PORTO DOM JOSE TAWNY 750ML</t>
  </si>
  <si>
    <t>VINHO PORTO DONA ANTONIA TAWNY 10 ANOS 750ML</t>
  </si>
  <si>
    <t>VINHO PORTO DONA ANTONIA TAWNY 30 ANOS 750ML</t>
  </si>
  <si>
    <t>VINHO PORTO FERREIRA LBV 750ML</t>
  </si>
  <si>
    <t>VINHO PORTO FERREIRA RUBY 750ML</t>
  </si>
  <si>
    <t>VINHO PORTO FERREIRA TAWNY 750ML</t>
  </si>
  <si>
    <t>VINHO PORTO MESSIAS 10 ANOS 750ML</t>
  </si>
  <si>
    <t>VINHO PORTO ROYAL OPORTO EXTRA DRY BRANCO 750ML</t>
  </si>
  <si>
    <t>VINHO PORTO ROYAL OPORTO RUBY 750ML</t>
  </si>
  <si>
    <t>VINHO PORTO ROYAL OPORTO TAWNY 750ML</t>
  </si>
  <si>
    <t>VINHO PORTO TAYLOR'S FINE WHITE 750ML</t>
  </si>
  <si>
    <t>VINHO PORTO TAYLOR´S RUBY 750ML</t>
  </si>
  <si>
    <t>VINHO PORTO TAYLOR´S TINTO TAWNY 750ML</t>
  </si>
  <si>
    <t>VINHO PRAHOVA VALLEY FETEASCA ALBA 750ML</t>
  </si>
  <si>
    <t>VINHO PRAHOVA VALLEY FETEASCA NEAGRA 750ML</t>
  </si>
  <si>
    <t>VINHO PRAHOVA VALLEY MERLOT ROSE 750ML</t>
  </si>
  <si>
    <t>VINHO PREMIER RENDEZ VOUS MERLOT CAB 750ML</t>
  </si>
  <si>
    <t>VINHO PREMIER RENDEZ VOUS PINOT NOIR 750ML</t>
  </si>
  <si>
    <t>VINHO PREMIER RENDEZ-VOUS CINSAULT ROSE 750ML</t>
  </si>
  <si>
    <t>VINHO PREMIER RENDEZ-VOUS SAUVIGNON BLANC 750ML</t>
  </si>
  <si>
    <t>VINHO PRIMO PRIMITIVO 750ML</t>
  </si>
  <si>
    <t>VINHO PRIORAT SALMOS 750ML</t>
  </si>
  <si>
    <t>VINHO PROMIS IGT TOSCANA 750ML</t>
  </si>
  <si>
    <t>VINHO PRUNO VILLACRECES TINTO 750ML</t>
  </si>
  <si>
    <t>VINHO QUATRO VENTOS 750ML</t>
  </si>
  <si>
    <t>VINHO QUATRO VENTOS SUPERIOR TINTO 750ML</t>
  </si>
  <si>
    <t>VINHO QUERCUS CABERNET MERLOT 750ML</t>
  </si>
  <si>
    <t>VINHO QUINTA CASTELARES BRANC 750ML</t>
  </si>
  <si>
    <t>VINHO QUINTA CASTELARES MANUEL C BRANCO 750ML</t>
  </si>
  <si>
    <t>VINHO QUINTA CASTELARES MANUEL C TINTO 750ML</t>
  </si>
  <si>
    <t>VINHO QUINTA CASTELARES RES BRANCO 750ML</t>
  </si>
  <si>
    <t>VINHO QUINTA CASTELARES RES TINTO 750ML</t>
  </si>
  <si>
    <t>VINHO QUINTA CASTELARES TINTO 750ML</t>
  </si>
  <si>
    <t>VINHO QUINTA DA ALORNA 1723 750ML</t>
  </si>
  <si>
    <t>VINHO QUINTA DA BACALHOA BRANCO 750ML</t>
  </si>
  <si>
    <t>VINHO QUINTA DA BACALHOA TINTO 750ML</t>
  </si>
  <si>
    <t>VINHO QUINTA DA LEDA 750ML 2016</t>
  </si>
  <si>
    <t>VINHO QUINTA DA ROMANEIRA SYRAH 750ML</t>
  </si>
  <si>
    <t>VINHO QUINTA DAS SETENCOSTAS 750ML</t>
  </si>
  <si>
    <t>VINHO QUINTA DE BONS ROSE 750ML</t>
  </si>
  <si>
    <t>VINHO QUINTA DE BONS VENTOS 750ML</t>
  </si>
  <si>
    <t>VINHO QUINTA DE BONS VENTOS BCO 750ML</t>
  </si>
  <si>
    <t>VINHO QUINTA DO CARMO 750ML</t>
  </si>
  <si>
    <t>VINHO QUINTA DO CARMO BRANCO 750ML</t>
  </si>
  <si>
    <t>VINHO QUINTA DO NOVAL 40 ANOS 750ML</t>
  </si>
  <si>
    <t>VINHO QUINTA DO NOVAL FINE RUBY 750ML</t>
  </si>
  <si>
    <t>VINHO QUINTA DO NOVAL TAWNY 750ML</t>
  </si>
  <si>
    <t>VINHO QUINTA DOS CASTELARES 1,5L</t>
  </si>
  <si>
    <t>VINHO QUINTA DOS CASTELARES RESERVA 1,5L</t>
  </si>
  <si>
    <t>VINHO QUINTA DOS MURCAS MINAS 750ML</t>
  </si>
  <si>
    <t>VINHO QUINTA RIO GRANDE BORDO 1L SECO</t>
  </si>
  <si>
    <t>VINHO QUINTA RIO GRANDE BORDO 1L SUAVE</t>
  </si>
  <si>
    <t>VINHO RAMON BILBAO CRIANZA 750ML</t>
  </si>
  <si>
    <t>VINHO RAMON TEMPRANILLO 750ML</t>
  </si>
  <si>
    <t>VINHO RAPARIGA DA QUINTA RESERVA 750ML</t>
  </si>
  <si>
    <t>VINHO REGIA COLHEITA BRANCO 750ML</t>
  </si>
  <si>
    <t>VINHO REGUENGOS GARRAFEIRA 750ML</t>
  </si>
  <si>
    <t>VINHO REGUENGOS SECO BRANCO 750ML</t>
  </si>
  <si>
    <t>VINHO REGUENGOS TINTO 750ML</t>
  </si>
  <si>
    <t>VINHO REY DE COPAS TEMPRANILLO 750ML</t>
  </si>
  <si>
    <t>VINHO RIBEAUVILLE 750ML PINOT GRIS RESERVE</t>
  </si>
  <si>
    <t>VINHO RIBERAUVILLE 750ML GERWRZTRAMINER</t>
  </si>
  <si>
    <t>VINHO RIBERAUVILLE RIESLING 750ML</t>
  </si>
  <si>
    <t>VINHO RICOSSA ASTI DOCG BARBERA 750ML</t>
  </si>
  <si>
    <t>VINHO RIO LUA TINTO 750ML</t>
  </si>
  <si>
    <t>VINHO ROCAS DE SENA 750ML</t>
  </si>
  <si>
    <t>VINHO ROCIM MARIANA ROSE 750ML</t>
  </si>
  <si>
    <t>VINHO ROQUETTE E CAZES TINTO 750ML</t>
  </si>
  <si>
    <t>VINHO ROSE PORTILLO 750ML</t>
  </si>
  <si>
    <t>VINHO ROSSO DI MONTALCINO FATTOI DOC 750ML</t>
  </si>
  <si>
    <t>VINHO ROVERSI BARBERA 750ML</t>
  </si>
  <si>
    <t>VINHO ROYAL TOKAJI 5 PUTT 500ML</t>
  </si>
  <si>
    <t>VINHO ROYAL TOKAJI ASZU 6 PUTT 500ML</t>
  </si>
  <si>
    <t>VINHO RUFFINO CHIANTI DOCG 750ML</t>
  </si>
  <si>
    <t>VINHO RUTINI CAB SAUV SYRAH 750ML</t>
  </si>
  <si>
    <t>VINHO RUTINI CAB-MALBEC 750ML</t>
  </si>
  <si>
    <t>VINHO RUTINI CABERNET MERLOT 750ML</t>
  </si>
  <si>
    <t>VINHO RUTINI CHARDONNAY 750ML</t>
  </si>
  <si>
    <t>VINHO RUTINI SAUVIGNON BLANC 750ML</t>
  </si>
  <si>
    <t>VINHO S CAROLINA RESERVADO 750ML CHARDONNAY</t>
  </si>
  <si>
    <t>VINHO S CAROLINA RESERVADO CAB SAUV 750ML</t>
  </si>
  <si>
    <t>VINHO S CAROLINA RESERVADO CARMEN 750ML</t>
  </si>
  <si>
    <t>VINHO S CAROLINA RESERVADO MALBEC 750ML</t>
  </si>
  <si>
    <t>VINHO S CAROLINA RESERVADO MERLOT 750ML</t>
  </si>
  <si>
    <t>VINHO S CAROLINA RESERVADO ROSE 750ML</t>
  </si>
  <si>
    <t>VINHO S CAROLINA RESERVADO SAUV 750ML</t>
  </si>
  <si>
    <t>VINHO S CAROLINA RESERVADO SHIRAZ 750ML</t>
  </si>
  <si>
    <t>VINHO SAINT FELICIEN 750ML MALBEC</t>
  </si>
  <si>
    <t>VINHO SAINT FELICIEN CAB FRAN 750ML</t>
  </si>
  <si>
    <t>VINHO SAINT GERMAIN FRISANTE BRANCO 750ML</t>
  </si>
  <si>
    <t>VINHO SAINT GERMAIN FRISANTE ROSE 750ML</t>
  </si>
  <si>
    <t>VINHO SAINT GERMAIN FRISANTE TINTO 750ML</t>
  </si>
  <si>
    <t>VINHO SAINT GERMAIN MERLOT DEMISEC 750ML</t>
  </si>
  <si>
    <t>VINHO SAINT GERMAIN SUAVE TINTO 750ML</t>
  </si>
  <si>
    <t>VINHO SAN TELMO CAB SAUVIGNON 750ML</t>
  </si>
  <si>
    <t>VINHO SAN TELMO CHARDONNAY 750ML</t>
  </si>
  <si>
    <t>VINHO SAN TELMO MALBEC 750ML</t>
  </si>
  <si>
    <t>VINHO SANGIOVESE CAPARZO 750ML</t>
  </si>
  <si>
    <t>VINHO SANGRE DE TORO BLANCO 750ML</t>
  </si>
  <si>
    <t>VINHO SANGRE DE TORO TINTO 750 ML</t>
  </si>
  <si>
    <t>VINHO SANTA CRISTINA TINTO 750ML</t>
  </si>
  <si>
    <t>VINHO SANTA HELENA CAB SAUV 750ML</t>
  </si>
  <si>
    <t>VINHO SANTA HELENA CAR 750 ML</t>
  </si>
  <si>
    <t>VINHO SANTA RITA 120 CAB SAUV 750ML</t>
  </si>
  <si>
    <t>VINHO SANTA RITA 120 CARMENERE 750ML</t>
  </si>
  <si>
    <t>VINHO SANTA RITA 120 CHARDONNAY 750ML</t>
  </si>
  <si>
    <t>VINHO SANTA RITA 120 DELIGHT CAB SAUV 750ML</t>
  </si>
  <si>
    <t>VINHO SANTA RITA 120 PINOT GRIGIO 750ML</t>
  </si>
  <si>
    <t>VINHO SANTA RITA 120 PINOT NOIR 750ML</t>
  </si>
  <si>
    <t>VINHO SANTA RITA 120 RED BLEND 750ML</t>
  </si>
  <si>
    <t>VINHO SANTA RITA 120 SAUV BLANC 750ML</t>
  </si>
  <si>
    <t>VINHO SANTA RITA 120 SHIRAZ 750ML</t>
  </si>
  <si>
    <t>VINHO SANTA RITA CASA REAL CAB SAUV 750ML</t>
  </si>
  <si>
    <t>VINHO SANTA RITA MEDALLA GOLD CAB SAUV 750ML</t>
  </si>
  <si>
    <t>VINHO SANTA RITA MEDALLA GOLD CAR 750ML</t>
  </si>
  <si>
    <t>VINHO SANTA RITA PEWEN CARMENERE 750ML</t>
  </si>
  <si>
    <t>VINHO SANTA RITA SECRET SAUV 750ML</t>
  </si>
  <si>
    <t>VINHO SANTA RITA TRIPLE 750ML</t>
  </si>
  <si>
    <t>VINHO SASSICAIA 2021 750ML</t>
  </si>
  <si>
    <t>VINHO SASSICAIA DOC 750ML 2018</t>
  </si>
  <si>
    <t>VINHO SASSICAIA DOC 750ML 2019</t>
  </si>
  <si>
    <t>VINHO SASSICAIA DOC 750ML SAFRA 2013</t>
  </si>
  <si>
    <t>VINHO SASSICAIA DOC 750ML SAFRA 2014</t>
  </si>
  <si>
    <t>VINHO SASSICAIA DOC 750ML SAFRA 2015</t>
  </si>
  <si>
    <t>VINHO SASSICAIA DOC 750ML SAFRA 2016</t>
  </si>
  <si>
    <t>VINHO SASSICAIA DOC 750ML SAFRA 2017</t>
  </si>
  <si>
    <t>VINHO SCHLOSS JOHANNISB BRONZELACK TROCKEN 750ML</t>
  </si>
  <si>
    <t>VINHO SCHLOSS JOHANNISB RIESLING GELBLACK 750ML</t>
  </si>
  <si>
    <t>VINHO SEA OAKS CAB SAUV 750ML</t>
  </si>
  <si>
    <t>VINHO SEA OAKS CAB SAUV MERLOT 750ML</t>
  </si>
  <si>
    <t>VINHO SEA OAKS CARMENERE 750ML</t>
  </si>
  <si>
    <t>VINHO SEA OAKS CHARDONNAY 750ML</t>
  </si>
  <si>
    <t>VINHO SEA OAKS PINOT NOIR 750ML</t>
  </si>
  <si>
    <t>VINHO SEA OAKS RES SYRAH 750ML</t>
  </si>
  <si>
    <t>VINHO SEA OAKS SAUV BLANC 750ML</t>
  </si>
  <si>
    <t>VINHO SENA 750ML 2009</t>
  </si>
  <si>
    <t>VINHO SENA 750ML 2010</t>
  </si>
  <si>
    <t>VINHO SENA 750ML 2011</t>
  </si>
  <si>
    <t>VINHO SENA 750ML 2012</t>
  </si>
  <si>
    <t>VINHO SENA 750ML 2013</t>
  </si>
  <si>
    <t>VINHO SENA 750ML 2014</t>
  </si>
  <si>
    <t>VINHO SENA 750ML 2015</t>
  </si>
  <si>
    <t>VINHO SENA 750ML 2016</t>
  </si>
  <si>
    <t>VINHO SENA 750ML 2017</t>
  </si>
  <si>
    <t>VINHO SENA 750ML 2018</t>
  </si>
  <si>
    <t>VINHO SENA 750ML 2019</t>
  </si>
  <si>
    <t>VINHO SIEGEL SINGLE V PETIT VERDOT 750ML</t>
  </si>
  <si>
    <t>VINHO SILK SPICE BLEND 750ML</t>
  </si>
  <si>
    <t>VINHO SINAIS DON GUERINO CAB SAUVI 750ML</t>
  </si>
  <si>
    <t>VINHO SINAIS DON GUERINO MALBE ROSE 750ML</t>
  </si>
  <si>
    <t>VINHO SINAIS DON GUERINO MALBEC 750ML</t>
  </si>
  <si>
    <t>VINHO SINAIS DON GUERINO RIESLING 750ML</t>
  </si>
  <si>
    <t>VINHO SINAIS DON GUERINO SAUV BLANC 750ML</t>
  </si>
  <si>
    <t>VINHO SOLAR VIEJO COSECHA TIN 750ML</t>
  </si>
  <si>
    <t>VINHO SOLAR VIEJO CRIANZA TIN 750ML</t>
  </si>
  <si>
    <t>VINHO SOPRASASSO VALPOLICELLA DOC 750ML</t>
  </si>
  <si>
    <t>VINHO SOPRASASSO VALPOLICELLA RIPASSO 750ML</t>
  </si>
  <si>
    <t>VINHO SOTTANO RES CAB SAUVIGN 750ML</t>
  </si>
  <si>
    <t>VINHO SOTTANO RES MALBEC 750ML</t>
  </si>
  <si>
    <t>VINHO ST THOMAS GOURMETS BLANC 750ML</t>
  </si>
  <si>
    <t>VINHO ST THOMAS GOURMETS ROSE 750ML</t>
  </si>
  <si>
    <t>VINHO ST THOMAS GOURMETS TINTO 750ML</t>
  </si>
  <si>
    <t>VINHO STA CAROLINA CABERNET SAUV 375ML</t>
  </si>
  <si>
    <t>VINHO STA CAROLINA EDI MERLOT 750ML</t>
  </si>
  <si>
    <t>VINHO STA CAROLINA RES 750ML CAB SA</t>
  </si>
  <si>
    <t>VINHO STA CAROLINA RES 750ML CARM</t>
  </si>
  <si>
    <t>VINHO STA CAROLINA RES CAB 1,5L</t>
  </si>
  <si>
    <t>VINHO STA CAROLINA RES SAUV BLANC 750ML</t>
  </si>
  <si>
    <t>VINHO STA CAROLINA SAUVIGNON BLANC 375ML</t>
  </si>
  <si>
    <t>VINHO STA HELENA CHARDONNAY 750ML</t>
  </si>
  <si>
    <t>VINHO STA HELENA MALBEC 750ML</t>
  </si>
  <si>
    <t>VINHO STA HELENA SAUV BLA 750ML</t>
  </si>
  <si>
    <t>VINHO STA RITA TRES MEDALLAS CAB SAUV 750ML</t>
  </si>
  <si>
    <t>VINHO STA RITA TRES MEDALLAS CAR 750ML</t>
  </si>
  <si>
    <t>VINHO STA RITA TRES MEDALLAS CHARD 750ML</t>
  </si>
  <si>
    <t>VINHO STA RITA TRES MEDALLAS MALBEC 750ML</t>
  </si>
  <si>
    <t>VINHO STA RITA TRES MEDALLAS MERLOT 750ML</t>
  </si>
  <si>
    <t>VINHO STA RITA TRES MEDALLAS ROSE 750ML</t>
  </si>
  <si>
    <t>VINHO STA RITA TRES MEDALLAS SAUV BLANC 750ML</t>
  </si>
  <si>
    <t>VINHO STA RITA TRES MEDALLAS SWEET RED 750ML</t>
  </si>
  <si>
    <t>VINHO STORIA MERLOT 750ML</t>
  </si>
  <si>
    <t>VINHO SWINTO MALBEC 750ML</t>
  </si>
  <si>
    <t>VINHO TANNAT GRAN RESER YCERN 750ML</t>
  </si>
  <si>
    <t>VINHO TAPADA DO CHAVES RES BCO 750ML</t>
  </si>
  <si>
    <t>VINHO TAPADA DO CHAVES RES TINTO 750ML</t>
  </si>
  <si>
    <t>VINHO TAPADA DO FIDALGO BCO 750ML</t>
  </si>
  <si>
    <t>VINHO TAPADA DO FIDALGO ROSE 750ML</t>
  </si>
  <si>
    <t>VINHO TAPADA FIDALGO TINTO 750ML</t>
  </si>
  <si>
    <t>VINHO TARA ATACAMA CHARDONNAY 750ML</t>
  </si>
  <si>
    <t>VINHO TARA ATACAMA SYRAH 750ML</t>
  </si>
  <si>
    <t>VINHO TAYLORS TAWNY PORT 10 ANOS 750ML</t>
  </si>
  <si>
    <t>VINHO TECEDEIRAS LILAS 750ML</t>
  </si>
  <si>
    <t>VINHO TEMPUSALBA MERLOT RES 750ML</t>
  </si>
  <si>
    <t>VINHO TEMPUSALBA PLENO GRAN RES WINE 750ML</t>
  </si>
  <si>
    <t>VINHO TEMPUSALBA RES MALBEC 750ML</t>
  </si>
  <si>
    <t>VINHO TEMPUSALBA RES SYRAH 750ML</t>
  </si>
  <si>
    <t>VINHO TEMPUSALBA RESERVA CAB SAUV 750ML</t>
  </si>
  <si>
    <t>VINHO TEMPUSALBA ROSADO MALBEC 750ML</t>
  </si>
  <si>
    <t>VINHO TENUTA TREBBIANO D'ABRUZZO DOP 750ML</t>
  </si>
  <si>
    <t>VINHO TERRA ANDINA MALBEC 750ML</t>
  </si>
  <si>
    <t>VINHO TERRAS DE XISTO BRANCO 750ML</t>
  </si>
  <si>
    <t>VINHO TERRAS DE XISTO TINTO 750ML</t>
  </si>
  <si>
    <t>VINHO TERRAS DEL REI 750ML</t>
  </si>
  <si>
    <t>VINHO TERRAS DO SADO BRANCO 750ML</t>
  </si>
  <si>
    <t>VINHO TERRAZAS RES SAUV BLANC 750ML</t>
  </si>
  <si>
    <t>VINHO TERRAZAS RESERVA CABERNET 750ML</t>
  </si>
  <si>
    <t>VINHO TERRAZAS RESERVA MALBEC 750ML</t>
  </si>
  <si>
    <t>VINHO TERROIR CABERNET FRANC 750ML</t>
  </si>
  <si>
    <t>VINHO TERROIR CABERNET SAUV 750ML</t>
  </si>
  <si>
    <t>VINHO TERROIR GEWURZTRAMINER 750ML</t>
  </si>
  <si>
    <t>VINHO TERROIR MARSELAN 750ML</t>
  </si>
  <si>
    <t>VINHO TERROIR MERLOT 750ML</t>
  </si>
  <si>
    <t>VINHO TERROIR PINOT NOIR 750ML</t>
  </si>
  <si>
    <t>VINHO TERROIR TANNAT 750ML</t>
  </si>
  <si>
    <t>VINHO TIERRA ALTA 187ML VALDORELLA CARMENERE</t>
  </si>
  <si>
    <t>VINHO TIERRA ALTA 750ML VALDORELLA CARMENERE</t>
  </si>
  <si>
    <t>VINHO TIERRA ALTA VALDORELLA CHARD 750ML</t>
  </si>
  <si>
    <t>VINHO TIERRA ALTA VALDORELLA SYRAH 750ML</t>
  </si>
  <si>
    <t>VINHO TIGNANELLO TOSCANO 2017 750ML</t>
  </si>
  <si>
    <t>VINHO TIGNANELLO TOSCANO 2019 750ML</t>
  </si>
  <si>
    <t>VINHO TIGNANELLO TOSCANO 2020 750ML</t>
  </si>
  <si>
    <t>VINHO TIGNANELLO TOSCANO 2021 750ML</t>
  </si>
  <si>
    <t>VINHO TORMARESCA NEPRICA PRIMITIVO PUGLIA 750ML</t>
  </si>
  <si>
    <t>VINHO TORO CENTENARIO CAB SAUV 750ML</t>
  </si>
  <si>
    <t>VINHO TORO CENTENARIO CHARDONNAY 750ML</t>
  </si>
  <si>
    <t>VINHO TORO CENTENARIO MALBEC 750ML</t>
  </si>
  <si>
    <t>VINHO TORO CENTENARIO ROSE 750ML</t>
  </si>
  <si>
    <t>VINHO TORO CENTENARIO TEMPRANILLO 750ML</t>
  </si>
  <si>
    <t>VINHO TORO LOCO SUPERIOR 750ML</t>
  </si>
  <si>
    <t>VINHO TORO LOS LABURANTES CAB SAUV 750ML</t>
  </si>
  <si>
    <t>VINHO TORO LOS LABURANTES CHARD 750ML</t>
  </si>
  <si>
    <t>VINHO TORO LOS LABURANTES MALBEC 750ML</t>
  </si>
  <si>
    <t>VINHO TORRE ESPORAO 750ML 2017</t>
  </si>
  <si>
    <t>VINHO TORRES CELESTE CRIANZA 750ML</t>
  </si>
  <si>
    <t>VINHO TORRES CORONAS TEMPRANILLO 750ML</t>
  </si>
  <si>
    <t>VINHO TORRES GRAN CORONAS 750ML</t>
  </si>
  <si>
    <t>VINHO TORRES PURGATORI 750ML</t>
  </si>
  <si>
    <t>VINHO TORRES VINA ESMERALDA BRANCO 750ML</t>
  </si>
  <si>
    <t>VINHO TORRES VINA ESMERALDA ROSE 750ML</t>
  </si>
  <si>
    <t>VINHO TRAPICHE RESERVA 750ML CAB SAUV</t>
  </si>
  <si>
    <t>VINHO TRUMPETER CAB FRANC 750ML</t>
  </si>
  <si>
    <t>VINHO TRUMPETER CAB SAUV 750ML</t>
  </si>
  <si>
    <t>VINHO TRUMPETER MALBEC 750ML</t>
  </si>
  <si>
    <t>VINHO TRUMPETER MALBEC SYRAH 750ML</t>
  </si>
  <si>
    <t>VINHO TRUMPETER MERLOT 750ML</t>
  </si>
  <si>
    <t>VINHO TRUMPETER PINOT NOIR 750ML</t>
  </si>
  <si>
    <t>VINHO UNDURRAGA ALIWEN CABERNET 750ML</t>
  </si>
  <si>
    <t>VINHO UNDURRAGA ALIWEN RESERVA ROSE 750ML</t>
  </si>
  <si>
    <t>VINHO UNDURRAGA ALIWEN SAUVIGNON 750ML</t>
  </si>
  <si>
    <t>VINHO UNDURRAGA SIBARIS G RES CAB SAUV 750ML</t>
  </si>
  <si>
    <t>VINHO UNDURRAGA TH CAB ALT MAIPO 750ML</t>
  </si>
  <si>
    <t>VINHO UNDURRAGA TH CARIGNAN MAULE 750ML</t>
  </si>
  <si>
    <t>VINHO UNDURRAGA TH PINOT NOIR 750ML</t>
  </si>
  <si>
    <t>VINHO UNDURRAGA TH SYRAH MAIPO 750ML</t>
  </si>
  <si>
    <t>VINHO UNDURRAGA U CAB SAUV 750ML</t>
  </si>
  <si>
    <t>VINHO UNDURRAGA U CARMENERE 750ML</t>
  </si>
  <si>
    <t>VINHO UNDURRAGA U CHARDONNAY 750ML</t>
  </si>
  <si>
    <t>VINHO UNDURRAGA U MERLOT 750ML</t>
  </si>
  <si>
    <t>VINHO URBAN CAB SAUV 750ML</t>
  </si>
  <si>
    <t>VINHO URBAN MALBEC 750ML</t>
  </si>
  <si>
    <t>VINHO URBAN TORRONTES 750ML</t>
  </si>
  <si>
    <t>VINHO VAENI NAOUSSA DAMASCENOS 750ML</t>
  </si>
  <si>
    <t>VINHO VAENI NAOUSSA GRANDE RESERVE 750ML</t>
  </si>
  <si>
    <t>VINHO VALDIESO CABALLO LOCO N18 750ML</t>
  </si>
  <si>
    <t>VINHO VALDIVIESO CABALLO LOCO APALT 750ML</t>
  </si>
  <si>
    <t>VINHO VALDIVIESO CABALLO LOCO CURIC 750ML</t>
  </si>
  <si>
    <t>VINHO VALDIVIESO CABALLO LOCO LIMAR 750ML</t>
  </si>
  <si>
    <t>VINHO VALDIVIESO CABALLO LOCO MAIPO ANDES 750ML</t>
  </si>
  <si>
    <t>VINHO VALDIVIESO CABALLO LOCO PIRQUE 750ML</t>
  </si>
  <si>
    <t>VINHO VALDIVIESO CABALLO LOCO SAGRA 750ML</t>
  </si>
  <si>
    <t>VINHO VALDORELLA 187ML TIERRA ALTA CAB SAUV</t>
  </si>
  <si>
    <t>VINHO VALDORELLA 750ML TIERRA ALTA</t>
  </si>
  <si>
    <t>VINHO VALLE DE UCO DE SANGRE MALBEC 750ML</t>
  </si>
  <si>
    <t>VINHO VEGA SICILIA VALBUENA 750ML</t>
  </si>
  <si>
    <t>VINHO VENTISQUERO GREY CAB SAUV 750ML</t>
  </si>
  <si>
    <t>VINHO VENTISQUERO GREY CARMENERE 750ML</t>
  </si>
  <si>
    <t>VINHO VENTISQUERO GREY SINGLE BLOCK 750ML</t>
  </si>
  <si>
    <t>VINHO VENTISQUERO GREY SYRAH 750ML</t>
  </si>
  <si>
    <t>VINHO VENTISQUERO QUEULAT CAB SAUV 750ML</t>
  </si>
  <si>
    <t>VINHO VENTISQUERO QUEULAT CINSAULT 750ML</t>
  </si>
  <si>
    <t>VINHO VENTISQUERO QUEULAT PINOT NOIR 750ML</t>
  </si>
  <si>
    <t>VINHO VENTISQUERO RES CAB SAUV 750ML</t>
  </si>
  <si>
    <t>VINHO VENTISQUERO RES CAR 750ML</t>
  </si>
  <si>
    <t>VINHO VENTISQUERO RES CHARDONNAY 750ML</t>
  </si>
  <si>
    <t>VINHO VENTISQUERO RES PINOT NOIR 750ML</t>
  </si>
  <si>
    <t>VINHO VENTISQUERO RES SAUV BLANC 750ML</t>
  </si>
  <si>
    <t>VINHO VENTISQUERO RESERVA NETAO RED 750ML</t>
  </si>
  <si>
    <t>VINHO VENTISQUERO RESERVA RED BLEND 750ML</t>
  </si>
  <si>
    <t>VINHO VENTISQUERO RESERVA ROSE 750ML</t>
  </si>
  <si>
    <t>VINHO VENTISQUERO VERTICE 750ML</t>
  </si>
  <si>
    <t>VINHO VERDE ADEGA DE MONCAO BCO 750ML</t>
  </si>
  <si>
    <t>VINHO VERDE AMARANTE ALVARINHO 750ML</t>
  </si>
  <si>
    <t>VINHO VERDE AMARANTE ARINTO 750ML</t>
  </si>
  <si>
    <t>VINHO VERDE AMARANTE BRANCO 750ML</t>
  </si>
  <si>
    <t>VINHO VERDE AMARANTE ESCOLHA 750ML</t>
  </si>
  <si>
    <t>VINHO VERDE AMARANTE ROSE 750ML</t>
  </si>
  <si>
    <t>VINHO VETA CAB SAUV RES 750ML</t>
  </si>
  <si>
    <t>VINHO VETA RES CARMENERE 750ML</t>
  </si>
  <si>
    <t>VINHO VILACETINHO ALVARINHO 750ML</t>
  </si>
  <si>
    <t>VINHO VILACETINHO VERDE BRANCO 750ML</t>
  </si>
  <si>
    <t>VINHO VILLA ANTINORI TOSCANA BIANCO 750ML</t>
  </si>
  <si>
    <t>VINHO VILLA ANTINORI TOSCANA ROSSO 750ML</t>
  </si>
  <si>
    <t>VINHO VILLA FABRIZIA BRUNELLO DI MONTALC 750ML</t>
  </si>
  <si>
    <t>VINHO VILLA LOBOS CABERNET SAUV 750ML</t>
  </si>
  <si>
    <t>VINHO VINA BOSCONIA RESERVA 750ML</t>
  </si>
  <si>
    <t>VINHO VINA INGRID CRIANZA 750ML</t>
  </si>
  <si>
    <t>VINHO VINA INGRID TEMPRANILLO 750ML</t>
  </si>
  <si>
    <t>VINHO VINA TONDONIA RESERVA 750ML</t>
  </si>
  <si>
    <t>VINHO VINALOPO CRIANZA 750ML</t>
  </si>
  <si>
    <t>VINHO VINALOPO MONASTRELL ALICANT 750ML</t>
  </si>
  <si>
    <t>VINHO VINALOPO ROBLE 750ML</t>
  </si>
  <si>
    <t>VINHO VINEA CARTUXA 750ML</t>
  </si>
  <si>
    <t>VINHO VINHA DA PONTE CRASTO 750ML 2016</t>
  </si>
  <si>
    <t>VINHO VINHA GRANDE DOURO 1,5L</t>
  </si>
  <si>
    <t>VINHO VIOLETTE TINTO SUAVE 187ML</t>
  </si>
  <si>
    <t>VINHO VIOLETTE TINTO SUAVE 750ML</t>
  </si>
  <si>
    <t>VINHO WARDY BEQAA VALLEY RED 750ML</t>
  </si>
  <si>
    <t>VINHO WARDY BEQAA VALLEY ROSE 750ML</t>
  </si>
  <si>
    <t>VINHO WARDY CABERNET SAUVIGNON 750ML</t>
  </si>
  <si>
    <t>VINHO WARDY CHATEAU LES CEDRES 750ML</t>
  </si>
  <si>
    <t>VINHO WARDY GRENACHE 750ML</t>
  </si>
  <si>
    <t>VINHO WARDY MERLOT 750ML</t>
  </si>
  <si>
    <t>VINHO WARDY PRIVATE SELECTION RED 750ML</t>
  </si>
  <si>
    <t>VINHO WARDY SYRAH 750ML</t>
  </si>
  <si>
    <t>VINHO WARDY TEMPRANILLO 750ML</t>
  </si>
  <si>
    <t>VINHO WOODBRIDGE R MONDAVI PINK 750ML</t>
  </si>
  <si>
    <t>VINHO WOODBRIDGE R MONDAVI PINOT 750ML</t>
  </si>
  <si>
    <t>VINHO WOODBRIDGE R MONDAVI TINTO 750ML</t>
  </si>
  <si>
    <t>VINHO YARDEN MOUNT HERMON BCO 750ML</t>
  </si>
  <si>
    <t>VINHO YARDEN MOUNT HERMON TINTO 750ML</t>
  </si>
  <si>
    <t>VINHO YELLOW TAIL CAB SAUV 750ML</t>
  </si>
  <si>
    <t>VINHO YELLOW TAIL CHARDONNAY 750ML</t>
  </si>
  <si>
    <t>VINHO YELLOW TAIL MOSCATO 750ML BCO</t>
  </si>
  <si>
    <t>VINHO YELLOW TAIL PINK MOSCAT 750ML</t>
  </si>
  <si>
    <t>VINHO YELLOW TAIL SIRAH 750ML</t>
  </si>
  <si>
    <t>VODKA ABSOLUT 1L</t>
  </si>
  <si>
    <t>VODKA ABSOLUT 750ML</t>
  </si>
  <si>
    <t>VODKA ABSOLUT 750ML CITRON</t>
  </si>
  <si>
    <t>VODKA ABSOLUT 750ML VANILLA</t>
  </si>
  <si>
    <t>VODKA ABSOLUT ELYX 750ML</t>
  </si>
  <si>
    <t>VODKA ABSOLUT PEPPAR 750ML</t>
  </si>
  <si>
    <t>VODKA CIROC 3L</t>
  </si>
  <si>
    <t>VODKA CIROC 750ML</t>
  </si>
  <si>
    <t>VODKA CIROC RED BERRY 750ML</t>
  </si>
  <si>
    <t>VODKA CRYSTAL HEAD 750ML</t>
  </si>
  <si>
    <t>VODKA GREY GOOSE 750ML</t>
  </si>
  <si>
    <t>VODKA GREY GOOSE WA/BA 750ML</t>
  </si>
  <si>
    <t>VODKA KETEL ONE 1L</t>
  </si>
  <si>
    <t>VODKA KETEL ONE 750ML GRAPEFRUIT/ROSE</t>
  </si>
  <si>
    <t>VODKA KETEL ONE PEACH &amp; ORANGE 750ML</t>
  </si>
  <si>
    <t>VODKA KRESKOVA 700ML</t>
  </si>
  <si>
    <t>VODKA ORLOFF 1,75L</t>
  </si>
  <si>
    <t>VODKA ORLOFF 1L</t>
  </si>
  <si>
    <t>VODKA SMIRNOFF 1,750ML</t>
  </si>
  <si>
    <t>VODKA SMIRNOFF 998ML</t>
  </si>
  <si>
    <t>VODKA SMIRNOFF RED 600ML</t>
  </si>
  <si>
    <t>VODKA SUNTORY HAKU 700ML</t>
  </si>
  <si>
    <t>VODKA TRIDESTILADA LIQUID 950ML</t>
  </si>
  <si>
    <t>VODKA WYBOROWA 750ML</t>
  </si>
  <si>
    <t>WHISKEY BOURBON BULLEIT 750ML</t>
  </si>
  <si>
    <t>WHISKEY BOURBON WOODFORD RESERVE 750ML</t>
  </si>
  <si>
    <t>WHISKEY GENTLEMAN JACK 1L</t>
  </si>
  <si>
    <t>WHISKEY JACK DANIELS 1L</t>
  </si>
  <si>
    <t>WHISKEY JACK DANIELS 1L FIRE</t>
  </si>
  <si>
    <t>WHISKEY JACK DANIELS 375ML</t>
  </si>
  <si>
    <t>WHISKEY JACK DANIELS 375ML HONEY</t>
  </si>
  <si>
    <t>WHISKEY JACK DANIELS 700ML</t>
  </si>
  <si>
    <t>WHISKEY JACK DANIELS APPLE 1L</t>
  </si>
  <si>
    <t>WHISKEY JACK DANIELS APPLE 700ML</t>
  </si>
  <si>
    <t>WHISKEY JACK DANIELS FIRE 700ML</t>
  </si>
  <si>
    <t>WHISKEY JACK DANIELS HONEY 1L</t>
  </si>
  <si>
    <t>WHISKEY JACK DANIELS HONEY 700ML</t>
  </si>
  <si>
    <t>WHISKEY JACK DANIELS SINGLE BARREL 750ML</t>
  </si>
  <si>
    <t>WHISKEY JAMESON CASKMATES IPA 750ML</t>
  </si>
  <si>
    <t>WHISKEY JAMESON TRIDESTILADO 750ML</t>
  </si>
  <si>
    <t>WHISKEY JIM BEAM APPLE 1L</t>
  </si>
  <si>
    <t>WHISKEY JIM BEAM BLACK 1L</t>
  </si>
  <si>
    <t>WHISKEY JIM BEAM HONEY 1L</t>
  </si>
  <si>
    <t>WHISKEY JIM BEAM RYE 700ML</t>
  </si>
  <si>
    <t>WHISKEY JIM BEAM WHITE 1L</t>
  </si>
  <si>
    <t>WHISKY ABERLOUR 12 YEARS 700ML</t>
  </si>
  <si>
    <t>WHISKY ABERLOUR 14 YEARS 700ML</t>
  </si>
  <si>
    <t>WHISKY BALLANTINES 12 ANOS 750ML</t>
  </si>
  <si>
    <t>WHISKY BALLANTINES 1L 12 ANOS</t>
  </si>
  <si>
    <t>WHISKY BALLANTINES AMERICAN BOURBON 750ML</t>
  </si>
  <si>
    <t>WHISKY BALLANTINES FINEST 1L</t>
  </si>
  <si>
    <t>WHISKY BALLANTINES FINEST 750ML</t>
  </si>
  <si>
    <t>WHISKY BELLS ORIGINAL 700ML</t>
  </si>
  <si>
    <t>WHISKY BLACK E WHITE 1L</t>
  </si>
  <si>
    <t>WHISKY BLACK E WHITE 700ML ORANGE</t>
  </si>
  <si>
    <t>WHISKY BLEND PASSPORT SCOTCH 1L</t>
  </si>
  <si>
    <t>WHISKY BLENDED BALLANTINES 10 ANOS 1L</t>
  </si>
  <si>
    <t>WHISKY BLENDED BALLANTINES 10 ANOS 750ML</t>
  </si>
  <si>
    <t>WHISKY BUCHANANS 12 ANOS DELUXE 1L</t>
  </si>
  <si>
    <t>WHISKY BUCHANANS 12 ANOS DELUXE 750ML</t>
  </si>
  <si>
    <t>WHISKY BUCHANANS MASTER 750ML</t>
  </si>
  <si>
    <t>WHISKY BUCHANANS SPECIAL 18 ANOS 750ML</t>
  </si>
  <si>
    <t>WHISKY CARDHU 1L</t>
  </si>
  <si>
    <t>WHISKY CHIVAS REGAL 12 ANOS 1L</t>
  </si>
  <si>
    <t>WHISKY CHIVAS REGAL 12 ANOS 750ML</t>
  </si>
  <si>
    <t>WHISKY CHIVAS REGAL 13 ANOS EXTRA 750ML</t>
  </si>
  <si>
    <t>WHISKY CHIVAS REGAL 18 ANOS 750ML</t>
  </si>
  <si>
    <t>WHISKY DEWARS 12 YEARS 750ML</t>
  </si>
  <si>
    <t>WHISKY DEWARS 15 YEARS 750ML</t>
  </si>
  <si>
    <t>WHISKY DEWARS 25 YEARS 750ML</t>
  </si>
  <si>
    <t>WHISKY GLENFIDDICH SINGLE MALT 12 ANOS 750ML</t>
  </si>
  <si>
    <t>WHISKY GLENFIDDICH SINGLE MALT 15 ANOS 750ML</t>
  </si>
  <si>
    <t>WHISKY GLENKINCHIE 12 ANOS 750ML</t>
  </si>
  <si>
    <t>WHISKY GLENLIVET FOUNDERS 750ML</t>
  </si>
  <si>
    <t>WHISKY GLENMORANGIE LASANTA 12 ANOS 750ML</t>
  </si>
  <si>
    <t>WHISKY GLENMORANGIE NECTAR DOR 750ML</t>
  </si>
  <si>
    <t>WHISKY GLENMORANGIE ORIG 10 ANOS 750ML</t>
  </si>
  <si>
    <t>WHISKY GLENMORANGIE QUINTA RUBAN 14 ANOS 750ML</t>
  </si>
  <si>
    <t>WHISKY GRANT´S FAMILY RES 1L</t>
  </si>
  <si>
    <t>WHISKY HIBIKI JAPANESE HARMONY 700ML</t>
  </si>
  <si>
    <t>WHISKY J WALK 18 ANOS 750ML</t>
  </si>
  <si>
    <t>WHISKY J WALK BLACK LABEL 1L</t>
  </si>
  <si>
    <t>WHISKY J WALK BLACK LABEL 750ML</t>
  </si>
  <si>
    <t>WHISKY J WALK BLACK LABEL BLENDED 750ML</t>
  </si>
  <si>
    <t>WHISKY J WALK BLACK SHERRY FINISH 750ML</t>
  </si>
  <si>
    <t>WHISKY J WALK BLUE LABEL 750ML</t>
  </si>
  <si>
    <t>WHISKY J WALK BLUE LABEL CITYXMARS 750ML</t>
  </si>
  <si>
    <t>WHISKY J WALK BLUE LABEL UMAMI 750ML</t>
  </si>
  <si>
    <t>WHISKY J WALK DOUBLE BLACK 1L</t>
  </si>
  <si>
    <t>WHISKY J WALK GOLD LABEL RESERVE 750ML</t>
  </si>
  <si>
    <t>WHISKY J WALK GREEN LABEL 750ML</t>
  </si>
  <si>
    <t>WHISKY J WALK KING GEORGE V 750ML</t>
  </si>
  <si>
    <t>WHISKY J WALK OLD HIGHLAND 750ML</t>
  </si>
  <si>
    <t>WHISKY J WALK RED LABEL 1L</t>
  </si>
  <si>
    <t>WHISKY J WALK RED LABEL 750ML</t>
  </si>
  <si>
    <t>WHISKY J WALKER 18 YEARS 700ML + 2 BLUE LABEL 50ML</t>
  </si>
  <si>
    <t>WHISKY J WALKER BLUE LABEL 750ML + 2 COPOS</t>
  </si>
  <si>
    <t>WHISKY J WALKER GOLD LABEL 750ML + 2 18Y/BLUE 50ML</t>
  </si>
  <si>
    <t>WHISKY JOHNNIE WALKER BLONDE 750ML</t>
  </si>
  <si>
    <t>WHISKY LAPHROAIG 10 YEARS 750ML</t>
  </si>
  <si>
    <t>WHISKY LAPHROAIG QUARTER CASK 750ML</t>
  </si>
  <si>
    <t>WHISKY MACALLAN DOUBLE CASK 12 ANOS 700ML</t>
  </si>
  <si>
    <t>WHISKY MACALLAN DOUBLE CASK 15 ANOS 700ML</t>
  </si>
  <si>
    <t>WHISKY MACALLAN SHERRY OAK 18 ANOS 700ML</t>
  </si>
  <si>
    <t>WHISKY MAKERS MARK 750ML</t>
  </si>
  <si>
    <t>WHISKY NATU NOBILIS 1L</t>
  </si>
  <si>
    <t>WHISKY OLD PARR 12 ANOS 1L</t>
  </si>
  <si>
    <t>WHISKY OLD PARR 12 ANOS 750ML</t>
  </si>
  <si>
    <t>WHISKY OLD PARR 18Y 750ML</t>
  </si>
  <si>
    <t>WHISKY ROYAL SALUTE 700ML POLO MIAMI</t>
  </si>
  <si>
    <t>WHISKY ROYAL SALUTE BLENDED GRAIN 700ML</t>
  </si>
  <si>
    <t>WHISKY ROYAL SALUTE MENAGERIE 700ML</t>
  </si>
  <si>
    <t>WHISKY SINGLETON SINGLE MALT 750ML</t>
  </si>
  <si>
    <t>WHISKY SUNTORY CHITA 700ML</t>
  </si>
  <si>
    <t>WHISKY TALISKER 10 ANOS 750ML</t>
  </si>
  <si>
    <t>WHISKY THE GLENLIVET CARIBBEAN RES 750ML</t>
  </si>
  <si>
    <t>WHISKY THE JOHN WALKER 750ML</t>
  </si>
  <si>
    <t>WHISKY THE MACALLAN RARE CASK 700ML</t>
  </si>
  <si>
    <t>WHISKY WHITE HORSE 500ML</t>
  </si>
  <si>
    <t>WHISKY WHITE HORSE FINE OLD 1L</t>
  </si>
  <si>
    <t>WHISKY WILLIAM LAWSON S 1L</t>
  </si>
  <si>
    <t>WHISKY YAMAZAKI 12 YEARS 700ML</t>
  </si>
  <si>
    <t>XAROPE KALY 700ML CRANBERRY</t>
  </si>
  <si>
    <t>XAROPE KALY 700ML GENGIBRE</t>
  </si>
  <si>
    <t>XAROPE KALY 700ML LARANJA</t>
  </si>
  <si>
    <t>XAROPE KALY 700ML MACA VERDE</t>
  </si>
  <si>
    <t>XAROPE KALY 700ML MELANCIA</t>
  </si>
  <si>
    <t>XAROPE KALY 700ML ROMA</t>
  </si>
  <si>
    <t>XAROPE KALY 700ML TANGERINA</t>
  </si>
  <si>
    <t>XAROPE MONIN 250ML CRANBERRY</t>
  </si>
  <si>
    <t>XAROPE MONIN 250ML FRAMBOESA</t>
  </si>
  <si>
    <t>XAROPE MONIN 250ML LIMAO</t>
  </si>
  <si>
    <t>XAROPE MONIN 250ML MACA VERDE</t>
  </si>
  <si>
    <t>XAROPE MONIN 250ML MORANGO</t>
  </si>
  <si>
    <t>XAROPE MONIN 250ML TANGERINA</t>
  </si>
  <si>
    <t>XAROPE MONIN 330ML ACUCAR DE CANA</t>
  </si>
  <si>
    <t>XAROPE MONIN 330ML BAUNILHA</t>
  </si>
  <si>
    <t>XAROPE MONIN 330ML CARAMELO</t>
  </si>
  <si>
    <t>XAROPE MONIN 330ML CHICLETE</t>
  </si>
  <si>
    <t>XAROPE MONIN 330ML DOCE MORANGO</t>
  </si>
  <si>
    <t>XAROPE MONIN 330ML LARANJA SPRITZ</t>
  </si>
  <si>
    <t>XAROPE MONIN 330ML MOJITO MIX</t>
  </si>
  <si>
    <t>XAROPE MONIN 330ML PIPOCA</t>
  </si>
  <si>
    <t>M. V. BASE</t>
  </si>
  <si>
    <t>M. V. PROMO</t>
  </si>
  <si>
    <t>MEDIA DE VENDA</t>
  </si>
  <si>
    <t>DIAS PROMO</t>
  </si>
  <si>
    <t>PROJEÇÃO V. BASE</t>
  </si>
  <si>
    <t>PROJEÇÃO V. PROMO</t>
  </si>
  <si>
    <t>QUANT. P.EQ</t>
  </si>
  <si>
    <t>PROJEÇÃO VENDA</t>
  </si>
  <si>
    <t>PROJEÇÃO L. BASE</t>
  </si>
  <si>
    <t>PROJEÇÃO L. PROMO</t>
  </si>
  <si>
    <t>PROJEÇÃO LUCRO</t>
  </si>
  <si>
    <t>QUANT. BASE</t>
  </si>
  <si>
    <t>QUANT. PROMO</t>
  </si>
  <si>
    <t>PROJEÇ. QUANTIDADE</t>
  </si>
  <si>
    <t>VAR% (VENDA)</t>
  </si>
  <si>
    <t>VAR% (LUCRO)</t>
  </si>
  <si>
    <t>VAR% (QUANTIDADE)</t>
  </si>
  <si>
    <t>ANALISE ABC ESTOQUE MED NORMAL</t>
  </si>
  <si>
    <t>ANALISE ABC ESTOQUE MED SEM PROMO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</si>
</sst>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.0%"/>
    <numFmt numFmtId="165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Arial Black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4" fontId="0" fillId="0" borderId="0" xfId="0" applyNumberFormat="1"/>
    <xf numFmtId="44" fontId="0" fillId="0" borderId="0" xfId="1" applyFont="1"/>
    <xf numFmtId="10" fontId="0" fillId="0" borderId="0" xfId="2" applyNumberFormat="1" applyFont="1"/>
    <xf numFmtId="44" fontId="0" fillId="0" borderId="0" xfId="0" applyNumberFormat="1"/>
    <xf numFmtId="1" fontId="0" fillId="0" borderId="0" xfId="0" applyNumberFormat="1"/>
    <xf numFmtId="9" fontId="0" fillId="0" borderId="0" xfId="2" applyFont="1"/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44" fontId="0" fillId="0" borderId="1" xfId="1" applyFont="1" applyBorder="1"/>
    <xf numFmtId="44" fontId="0" fillId="0" borderId="1" xfId="0" applyNumberFormat="1" applyBorder="1"/>
    <xf numFmtId="9" fontId="0" fillId="0" borderId="1" xfId="2" applyFont="1" applyBorder="1"/>
    <xf numFmtId="165" fontId="0" fillId="0" borderId="1" xfId="0" applyNumberForma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164" fontId="0" fillId="0" borderId="1" xfId="2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152400</xdr:rowOff>
        </xdr:from>
        <xdr:to>
          <xdr:col>0</xdr:col>
          <xdr:colOff>2943225</xdr:colOff>
          <xdr:row>8</xdr:row>
          <xdr:rowOff>66675</xdr:rowOff>
        </xdr:to>
        <xdr:sp macro="" textlink="">
          <xdr:nvSpPr>
            <xdr:cNvPr id="1025" name="ComboBox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152400</xdr:rowOff>
        </xdr:from>
        <xdr:to>
          <xdr:col>0</xdr:col>
          <xdr:colOff>2943225</xdr:colOff>
          <xdr:row>7</xdr:row>
          <xdr:rowOff>228600</xdr:rowOff>
        </xdr:to>
        <xdr:sp macro="" textlink="">
          <xdr:nvSpPr>
            <xdr:cNvPr id="3073" name="ComboBox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3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image" Target="../media/image2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E86F1-765C-4BC5-83A9-2DF6E0ED72FA}">
  <sheetPr codeName="Planilha2"/>
  <dimension ref="A1:H6924"/>
  <sheetViews>
    <sheetView workbookViewId="0">
      <selection activeCell="B3" sqref="B3"/>
    </sheetView>
  </sheetViews>
  <sheetFormatPr defaultRowHeight="15" x14ac:dyDescent="0.25"/>
  <cols>
    <col min="1" max="1" width="57.85546875" bestFit="1" customWidth="1"/>
    <col min="2" max="2" width="14.85546875" bestFit="1" customWidth="1"/>
    <col min="3" max="3" width="13.85546875" bestFit="1" customWidth="1"/>
    <col min="4" max="4" width="17.7109375" bestFit="1" customWidth="1"/>
    <col min="5" max="5" width="15.5703125" bestFit="1" customWidth="1"/>
    <col min="6" max="6" width="13.85546875" bestFit="1" customWidth="1"/>
    <col min="7" max="7" width="17.42578125" bestFit="1" customWidth="1"/>
    <col min="8" max="8" width="14.28515625" bestFit="1" customWidth="1"/>
  </cols>
  <sheetData>
    <row r="1" spans="1:8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D2">
        <v>9.5500000000000007</v>
      </c>
      <c r="E2">
        <v>12.58</v>
      </c>
      <c r="F2">
        <v>27.53</v>
      </c>
      <c r="G2">
        <v>6.2201000000000004</v>
      </c>
      <c r="H2" s="1">
        <v>76247.513000000006</v>
      </c>
    </row>
    <row r="3" spans="1:8" x14ac:dyDescent="0.25">
      <c r="A3" t="s">
        <v>9</v>
      </c>
      <c r="B3">
        <v>6157</v>
      </c>
      <c r="C3">
        <v>7891032016601</v>
      </c>
      <c r="D3">
        <v>19.899999999999999</v>
      </c>
      <c r="E3">
        <v>15.28</v>
      </c>
      <c r="F3" s="3">
        <v>0.2107</v>
      </c>
      <c r="G3">
        <v>13.8659</v>
      </c>
      <c r="H3">
        <v>1.9</v>
      </c>
    </row>
    <row r="4" spans="1:8" x14ac:dyDescent="0.25">
      <c r="A4" t="s">
        <v>10</v>
      </c>
      <c r="B4">
        <v>67914</v>
      </c>
      <c r="C4">
        <v>7896659120557</v>
      </c>
      <c r="D4">
        <v>12.9</v>
      </c>
      <c r="E4">
        <v>7.05</v>
      </c>
      <c r="F4" s="3">
        <v>0.41139999999999999</v>
      </c>
      <c r="G4">
        <v>6.3992000000000004</v>
      </c>
      <c r="H4">
        <v>0.23300000000000001</v>
      </c>
    </row>
    <row r="5" spans="1:8" x14ac:dyDescent="0.25">
      <c r="A5" t="s">
        <v>11</v>
      </c>
      <c r="B5">
        <v>66252</v>
      </c>
      <c r="C5">
        <v>7891010010577</v>
      </c>
      <c r="D5">
        <v>8.99</v>
      </c>
      <c r="E5">
        <v>8.25</v>
      </c>
      <c r="F5" s="3">
        <v>6.4199999999999993E-2</v>
      </c>
      <c r="G5">
        <v>7.5808999999999997</v>
      </c>
      <c r="H5">
        <v>2.867</v>
      </c>
    </row>
    <row r="6" spans="1:8" x14ac:dyDescent="0.25">
      <c r="A6" t="s">
        <v>12</v>
      </c>
      <c r="B6">
        <v>66257</v>
      </c>
      <c r="C6">
        <v>7891010245603</v>
      </c>
      <c r="D6">
        <v>8.99</v>
      </c>
      <c r="E6">
        <v>8.14</v>
      </c>
      <c r="F6" s="3">
        <v>0.08</v>
      </c>
      <c r="G6">
        <v>7.4390000000000001</v>
      </c>
      <c r="H6">
        <v>2.0329999999999999</v>
      </c>
    </row>
    <row r="7" spans="1:8" x14ac:dyDescent="0.25">
      <c r="A7" t="s">
        <v>13</v>
      </c>
      <c r="B7">
        <v>66258</v>
      </c>
      <c r="C7">
        <v>7891010245610</v>
      </c>
      <c r="D7">
        <v>8.99</v>
      </c>
      <c r="E7">
        <v>8.2200000000000006</v>
      </c>
      <c r="F7" s="3">
        <v>7.4099999999999999E-2</v>
      </c>
      <c r="G7">
        <v>7.4919000000000002</v>
      </c>
      <c r="H7">
        <v>1.0669999999999999</v>
      </c>
    </row>
    <row r="8" spans="1:8" x14ac:dyDescent="0.25">
      <c r="A8" t="s">
        <v>14</v>
      </c>
      <c r="B8">
        <v>66253</v>
      </c>
      <c r="C8">
        <v>7891010886547</v>
      </c>
      <c r="D8">
        <v>8.99</v>
      </c>
      <c r="E8">
        <v>8.24</v>
      </c>
      <c r="F8" s="3">
        <v>7.2300000000000003E-2</v>
      </c>
      <c r="G8">
        <v>7.5086000000000004</v>
      </c>
      <c r="H8">
        <v>1.5329999999999999</v>
      </c>
    </row>
    <row r="9" spans="1:8" x14ac:dyDescent="0.25">
      <c r="A9" t="s">
        <v>15</v>
      </c>
      <c r="B9">
        <v>66260</v>
      </c>
      <c r="C9">
        <v>7891010245085</v>
      </c>
      <c r="D9">
        <v>19.899999999999999</v>
      </c>
      <c r="E9">
        <v>13.6</v>
      </c>
      <c r="F9" s="3">
        <v>0.2838</v>
      </c>
      <c r="G9">
        <v>12.411</v>
      </c>
      <c r="H9">
        <v>1.5669999999999999</v>
      </c>
    </row>
    <row r="10" spans="1:8" x14ac:dyDescent="0.25">
      <c r="A10" t="s">
        <v>16</v>
      </c>
      <c r="B10">
        <v>66261</v>
      </c>
      <c r="C10">
        <v>7891010245092</v>
      </c>
      <c r="D10">
        <v>19.899999999999999</v>
      </c>
      <c r="E10">
        <v>13.95</v>
      </c>
      <c r="F10" s="3">
        <v>0.26590000000000003</v>
      </c>
      <c r="G10">
        <v>12.768700000000001</v>
      </c>
      <c r="H10">
        <v>3.0329999999999999</v>
      </c>
    </row>
    <row r="11" spans="1:8" x14ac:dyDescent="0.25">
      <c r="A11" t="s">
        <v>17</v>
      </c>
      <c r="B11">
        <v>66254</v>
      </c>
      <c r="C11">
        <v>7891010245597</v>
      </c>
      <c r="D11">
        <v>8.99</v>
      </c>
      <c r="E11">
        <v>8.2100000000000009</v>
      </c>
      <c r="F11" s="3">
        <v>6.7799999999999999E-2</v>
      </c>
      <c r="G11">
        <v>7.5487000000000002</v>
      </c>
      <c r="H11">
        <v>1.2330000000000001</v>
      </c>
    </row>
    <row r="12" spans="1:8" x14ac:dyDescent="0.25">
      <c r="A12" t="s">
        <v>18</v>
      </c>
      <c r="B12">
        <v>6999</v>
      </c>
      <c r="C12">
        <v>7896007540631</v>
      </c>
      <c r="D12">
        <v>7.15</v>
      </c>
      <c r="E12">
        <v>3.48</v>
      </c>
      <c r="F12" s="3">
        <v>0.4657</v>
      </c>
      <c r="G12">
        <v>3.1589</v>
      </c>
      <c r="H12">
        <v>5.4329999999999998</v>
      </c>
    </row>
    <row r="13" spans="1:8" x14ac:dyDescent="0.25">
      <c r="A13" t="s">
        <v>19</v>
      </c>
      <c r="B13">
        <v>7012</v>
      </c>
      <c r="C13">
        <v>7896007540617</v>
      </c>
      <c r="D13">
        <v>7.15</v>
      </c>
      <c r="E13">
        <v>3.5</v>
      </c>
      <c r="F13" s="3">
        <v>0.46409999999999996</v>
      </c>
      <c r="G13">
        <v>3.1701999999999999</v>
      </c>
      <c r="H13">
        <v>7.6</v>
      </c>
    </row>
    <row r="14" spans="1:8" x14ac:dyDescent="0.25">
      <c r="A14" t="s">
        <v>20</v>
      </c>
      <c r="B14">
        <v>7013</v>
      </c>
      <c r="C14">
        <v>7896007540600</v>
      </c>
      <c r="D14">
        <v>7.15</v>
      </c>
      <c r="E14">
        <v>3.56</v>
      </c>
      <c r="F14" s="3">
        <v>0.45779999999999998</v>
      </c>
      <c r="G14">
        <v>3.2151000000000001</v>
      </c>
      <c r="H14">
        <v>5.4329999999999998</v>
      </c>
    </row>
    <row r="15" spans="1:8" x14ac:dyDescent="0.25">
      <c r="A15" t="s">
        <v>21</v>
      </c>
      <c r="B15">
        <v>18981</v>
      </c>
      <c r="C15">
        <v>7896007540624</v>
      </c>
      <c r="D15">
        <v>7.15</v>
      </c>
      <c r="E15">
        <v>3.56</v>
      </c>
      <c r="F15" s="3">
        <v>0.4511</v>
      </c>
      <c r="G15">
        <v>3.2631999999999999</v>
      </c>
      <c r="H15">
        <v>4.7329999999999997</v>
      </c>
    </row>
    <row r="16" spans="1:8" x14ac:dyDescent="0.25">
      <c r="A16" t="s">
        <v>22</v>
      </c>
      <c r="B16">
        <v>17924</v>
      </c>
      <c r="C16">
        <v>7896007550906</v>
      </c>
      <c r="D16">
        <v>31.9</v>
      </c>
      <c r="E16">
        <v>19.84</v>
      </c>
      <c r="F16" s="3">
        <v>0.34320000000000001</v>
      </c>
      <c r="G16">
        <v>18.002300000000002</v>
      </c>
      <c r="H16">
        <v>2.6669999999999998</v>
      </c>
    </row>
    <row r="17" spans="1:8" x14ac:dyDescent="0.25">
      <c r="A17" t="s">
        <v>23</v>
      </c>
      <c r="B17">
        <v>7007</v>
      </c>
      <c r="C17">
        <v>7896007540662</v>
      </c>
      <c r="D17">
        <v>11.49</v>
      </c>
      <c r="E17">
        <v>5.95</v>
      </c>
      <c r="F17" s="3">
        <v>0.43780000000000002</v>
      </c>
      <c r="G17">
        <v>5.3966000000000003</v>
      </c>
      <c r="H17">
        <v>8.0670000000000002</v>
      </c>
    </row>
    <row r="18" spans="1:8" x14ac:dyDescent="0.25">
      <c r="A18" t="s">
        <v>24</v>
      </c>
      <c r="B18">
        <v>66208</v>
      </c>
      <c r="C18">
        <v>7891010793463</v>
      </c>
      <c r="D18">
        <v>11.9</v>
      </c>
      <c r="E18">
        <v>6.91</v>
      </c>
      <c r="F18" s="3">
        <v>0.3821</v>
      </c>
      <c r="G18">
        <v>6.2526000000000002</v>
      </c>
      <c r="H18">
        <v>5.9</v>
      </c>
    </row>
    <row r="19" spans="1:8" x14ac:dyDescent="0.25">
      <c r="A19" t="s">
        <v>25</v>
      </c>
      <c r="B19">
        <v>66211</v>
      </c>
      <c r="C19">
        <v>7891010254155</v>
      </c>
      <c r="D19">
        <v>19.899999999999999</v>
      </c>
      <c r="E19">
        <v>11.93</v>
      </c>
      <c r="F19" s="3">
        <v>0.36420000000000002</v>
      </c>
      <c r="G19">
        <v>10.812099999999999</v>
      </c>
      <c r="H19">
        <v>3.7</v>
      </c>
    </row>
    <row r="20" spans="1:8" x14ac:dyDescent="0.25">
      <c r="A20" t="s">
        <v>26</v>
      </c>
      <c r="B20">
        <v>66200</v>
      </c>
      <c r="C20">
        <v>7891010503024</v>
      </c>
      <c r="D20">
        <v>4.49</v>
      </c>
      <c r="E20">
        <v>3.65</v>
      </c>
      <c r="F20" s="3">
        <v>0.17059999999999997</v>
      </c>
      <c r="G20">
        <v>3.3087</v>
      </c>
      <c r="H20">
        <v>6.6669999999999998</v>
      </c>
    </row>
    <row r="21" spans="1:8" x14ac:dyDescent="0.25">
      <c r="A21" t="s">
        <v>27</v>
      </c>
      <c r="B21">
        <v>66212</v>
      </c>
      <c r="C21">
        <v>7891010503031</v>
      </c>
      <c r="D21">
        <v>4.49</v>
      </c>
      <c r="E21">
        <v>3.65</v>
      </c>
      <c r="F21" s="3">
        <v>0.17059999999999997</v>
      </c>
      <c r="G21">
        <v>3.3087</v>
      </c>
      <c r="H21">
        <v>4.4329999999999998</v>
      </c>
    </row>
    <row r="22" spans="1:8" x14ac:dyDescent="0.25">
      <c r="A22" t="s">
        <v>28</v>
      </c>
      <c r="B22">
        <v>66222</v>
      </c>
      <c r="C22">
        <v>7891010607135</v>
      </c>
      <c r="D22">
        <v>21.9</v>
      </c>
      <c r="E22">
        <v>13.43</v>
      </c>
      <c r="F22" s="3">
        <v>0.35090000000000005</v>
      </c>
      <c r="G22">
        <v>12.188700000000001</v>
      </c>
      <c r="H22">
        <v>4.1669999999999998</v>
      </c>
    </row>
    <row r="23" spans="1:8" x14ac:dyDescent="0.25">
      <c r="A23" t="s">
        <v>29</v>
      </c>
      <c r="B23">
        <v>66209</v>
      </c>
      <c r="C23">
        <v>7891010697518</v>
      </c>
      <c r="D23">
        <v>35.9</v>
      </c>
      <c r="E23">
        <v>23</v>
      </c>
      <c r="F23" s="3">
        <v>0.3281</v>
      </c>
      <c r="G23">
        <v>20.800799999999999</v>
      </c>
      <c r="H23">
        <v>3.6</v>
      </c>
    </row>
    <row r="24" spans="1:8" x14ac:dyDescent="0.25">
      <c r="A24" t="s">
        <v>30</v>
      </c>
      <c r="B24">
        <v>66221</v>
      </c>
      <c r="C24">
        <v>7891010035631</v>
      </c>
      <c r="D24">
        <v>11.49</v>
      </c>
      <c r="E24">
        <v>7.14</v>
      </c>
      <c r="F24" s="3">
        <v>0.34389999999999998</v>
      </c>
      <c r="G24">
        <v>6.4756999999999998</v>
      </c>
      <c r="H24">
        <v>4.3</v>
      </c>
    </row>
    <row r="25" spans="1:8" x14ac:dyDescent="0.25">
      <c r="A25" t="s">
        <v>31</v>
      </c>
      <c r="B25">
        <v>66203</v>
      </c>
      <c r="C25">
        <v>7891010694593</v>
      </c>
      <c r="D25">
        <v>11.49</v>
      </c>
      <c r="E25">
        <v>7.12</v>
      </c>
      <c r="F25" s="3">
        <v>0.34560000000000002</v>
      </c>
      <c r="G25">
        <v>6.4557000000000002</v>
      </c>
      <c r="H25">
        <v>3.9329999999999998</v>
      </c>
    </row>
    <row r="26" spans="1:8" x14ac:dyDescent="0.25">
      <c r="A26" t="s">
        <v>32</v>
      </c>
      <c r="B26">
        <v>66204</v>
      </c>
      <c r="C26">
        <v>7891010518844</v>
      </c>
      <c r="D26">
        <v>35.9</v>
      </c>
      <c r="E26">
        <v>23.12</v>
      </c>
      <c r="F26" s="3">
        <v>0.32049999999999995</v>
      </c>
      <c r="G26">
        <v>21.0746</v>
      </c>
      <c r="H26">
        <v>3.5670000000000002</v>
      </c>
    </row>
    <row r="27" spans="1:8" x14ac:dyDescent="0.25">
      <c r="A27" t="s">
        <v>33</v>
      </c>
      <c r="B27">
        <v>66219</v>
      </c>
      <c r="C27">
        <v>7891010704780</v>
      </c>
      <c r="D27">
        <v>23.9</v>
      </c>
      <c r="E27">
        <v>14.73</v>
      </c>
      <c r="F27" s="3">
        <v>0.34889999999999999</v>
      </c>
      <c r="G27">
        <v>13.3512</v>
      </c>
      <c r="H27">
        <v>2.5329999999999999</v>
      </c>
    </row>
    <row r="28" spans="1:8" x14ac:dyDescent="0.25">
      <c r="A28" t="s">
        <v>34</v>
      </c>
      <c r="B28">
        <v>66201</v>
      </c>
      <c r="C28">
        <v>7891010031633</v>
      </c>
      <c r="D28">
        <v>7.49</v>
      </c>
      <c r="E28">
        <v>4.5199999999999996</v>
      </c>
      <c r="F28" s="3">
        <v>0.36030000000000001</v>
      </c>
      <c r="G28">
        <v>4.0986000000000002</v>
      </c>
      <c r="H28">
        <v>4.4000000000000004</v>
      </c>
    </row>
    <row r="29" spans="1:8" x14ac:dyDescent="0.25">
      <c r="A29" t="s">
        <v>35</v>
      </c>
      <c r="B29">
        <v>66206</v>
      </c>
      <c r="C29">
        <v>7891010579616</v>
      </c>
      <c r="D29">
        <v>13.9</v>
      </c>
      <c r="E29">
        <v>8.44</v>
      </c>
      <c r="F29" s="3">
        <v>0.35670000000000002</v>
      </c>
      <c r="G29">
        <v>7.6566999999999998</v>
      </c>
      <c r="H29">
        <v>4.1669999999999998</v>
      </c>
    </row>
    <row r="30" spans="1:8" x14ac:dyDescent="0.25">
      <c r="A30" t="s">
        <v>36</v>
      </c>
      <c r="B30">
        <v>62978</v>
      </c>
      <c r="C30">
        <v>7896110010755</v>
      </c>
      <c r="D30">
        <v>9.9</v>
      </c>
      <c r="E30">
        <v>5.96</v>
      </c>
      <c r="F30" s="3">
        <v>0.36119999999999997</v>
      </c>
      <c r="G30">
        <v>5.4082999999999997</v>
      </c>
      <c r="H30">
        <v>3.9670000000000001</v>
      </c>
    </row>
    <row r="31" spans="1:8" x14ac:dyDescent="0.25">
      <c r="A31" t="s">
        <v>37</v>
      </c>
      <c r="B31">
        <v>62979</v>
      </c>
      <c r="C31">
        <v>7896110010779</v>
      </c>
      <c r="D31">
        <v>5.9</v>
      </c>
      <c r="E31">
        <v>3.56</v>
      </c>
      <c r="F31" s="3">
        <v>0.35930000000000001</v>
      </c>
      <c r="G31">
        <v>3.2343000000000002</v>
      </c>
      <c r="H31">
        <v>2.633</v>
      </c>
    </row>
    <row r="32" spans="1:8" x14ac:dyDescent="0.25">
      <c r="A32" t="s">
        <v>38</v>
      </c>
      <c r="B32">
        <v>8917</v>
      </c>
      <c r="C32">
        <v>7896196061320</v>
      </c>
      <c r="D32">
        <v>26.9</v>
      </c>
      <c r="E32">
        <v>14.94</v>
      </c>
      <c r="F32" s="3">
        <v>0.40340000000000004</v>
      </c>
      <c r="G32">
        <v>13.558999999999999</v>
      </c>
      <c r="H32">
        <v>0.13300000000000001</v>
      </c>
    </row>
    <row r="33" spans="1:8" x14ac:dyDescent="0.25">
      <c r="A33" t="s">
        <v>39</v>
      </c>
      <c r="B33">
        <v>26316</v>
      </c>
      <c r="C33">
        <v>7898629610037</v>
      </c>
      <c r="D33">
        <v>6.99</v>
      </c>
      <c r="E33">
        <v>3.07</v>
      </c>
      <c r="F33" s="3">
        <v>0.40749999999999997</v>
      </c>
      <c r="G33">
        <v>2.2366000000000001</v>
      </c>
      <c r="H33">
        <v>13.4</v>
      </c>
    </row>
    <row r="34" spans="1:8" x14ac:dyDescent="0.25">
      <c r="A34" t="s">
        <v>40</v>
      </c>
      <c r="B34">
        <v>4652</v>
      </c>
      <c r="C34">
        <v>7891095150359</v>
      </c>
      <c r="D34">
        <v>10.9</v>
      </c>
      <c r="E34">
        <v>5.14</v>
      </c>
      <c r="F34" s="3">
        <v>0.39450000000000002</v>
      </c>
      <c r="G34">
        <v>3.6292</v>
      </c>
      <c r="H34">
        <v>5.367</v>
      </c>
    </row>
    <row r="35" spans="1:8" x14ac:dyDescent="0.25">
      <c r="A35" t="s">
        <v>41</v>
      </c>
      <c r="B35">
        <v>8919</v>
      </c>
      <c r="C35">
        <v>7896196061313</v>
      </c>
      <c r="D35">
        <v>24.9</v>
      </c>
      <c r="E35">
        <v>14.96</v>
      </c>
      <c r="F35" s="3">
        <v>0.3624</v>
      </c>
      <c r="G35">
        <v>13.573399999999999</v>
      </c>
      <c r="H35">
        <v>3.3000000000000002E-2</v>
      </c>
    </row>
    <row r="36" spans="1:8" x14ac:dyDescent="0.25">
      <c r="A36" t="s">
        <v>42</v>
      </c>
      <c r="B36">
        <v>67544</v>
      </c>
      <c r="C36">
        <v>7896007932931</v>
      </c>
      <c r="D36">
        <v>13.9</v>
      </c>
      <c r="E36">
        <v>6.66</v>
      </c>
      <c r="F36" s="3">
        <v>0.38650000000000001</v>
      </c>
      <c r="G36">
        <v>4.7405999999999997</v>
      </c>
      <c r="H36">
        <v>1.5</v>
      </c>
    </row>
    <row r="37" spans="1:8" x14ac:dyDescent="0.25">
      <c r="A37" t="s">
        <v>43</v>
      </c>
      <c r="B37">
        <v>67543</v>
      </c>
      <c r="C37">
        <v>7896007930937</v>
      </c>
      <c r="D37">
        <v>7.9</v>
      </c>
      <c r="E37">
        <v>3.36</v>
      </c>
      <c r="F37" s="3">
        <v>0.42210000000000003</v>
      </c>
      <c r="G37">
        <v>2.4125000000000001</v>
      </c>
      <c r="H37">
        <v>1.9330000000000001</v>
      </c>
    </row>
    <row r="38" spans="1:8" x14ac:dyDescent="0.25">
      <c r="A38" t="s">
        <v>44</v>
      </c>
      <c r="B38">
        <v>67552</v>
      </c>
      <c r="C38">
        <v>7896280835097</v>
      </c>
      <c r="D38">
        <v>22.9</v>
      </c>
      <c r="E38">
        <v>14.21</v>
      </c>
      <c r="F38" s="3">
        <v>0.27079999999999999</v>
      </c>
      <c r="G38">
        <v>10.459300000000001</v>
      </c>
      <c r="H38">
        <v>0.9</v>
      </c>
    </row>
    <row r="39" spans="1:8" x14ac:dyDescent="0.25">
      <c r="A39" t="s">
        <v>45</v>
      </c>
      <c r="B39">
        <v>67545</v>
      </c>
      <c r="C39">
        <v>7896007939039</v>
      </c>
      <c r="D39">
        <v>14.49</v>
      </c>
      <c r="E39">
        <v>6.98</v>
      </c>
      <c r="F39" s="3">
        <v>0.37619999999999998</v>
      </c>
      <c r="G39">
        <v>5.0909000000000004</v>
      </c>
      <c r="H39">
        <v>2.5329999999999999</v>
      </c>
    </row>
    <row r="40" spans="1:8" x14ac:dyDescent="0.25">
      <c r="A40" t="s">
        <v>46</v>
      </c>
      <c r="B40">
        <v>5185</v>
      </c>
      <c r="C40">
        <v>7896090704644</v>
      </c>
      <c r="D40">
        <v>14.9</v>
      </c>
      <c r="E40">
        <v>6.45</v>
      </c>
      <c r="F40" s="3">
        <v>0.46619999999999995</v>
      </c>
      <c r="G40">
        <v>5.2716000000000003</v>
      </c>
      <c r="H40">
        <v>8.1999999999999993</v>
      </c>
    </row>
    <row r="41" spans="1:8" x14ac:dyDescent="0.25">
      <c r="A41" t="s">
        <v>47</v>
      </c>
      <c r="B41">
        <v>17470</v>
      </c>
      <c r="C41">
        <v>8025928000033</v>
      </c>
      <c r="D41">
        <v>32.9</v>
      </c>
      <c r="E41">
        <v>24.32</v>
      </c>
      <c r="F41" s="3">
        <v>0.21440000000000001</v>
      </c>
      <c r="G41">
        <v>20.500299999999999</v>
      </c>
      <c r="H41">
        <v>0.36699999999999999</v>
      </c>
    </row>
    <row r="42" spans="1:8" x14ac:dyDescent="0.25">
      <c r="A42" t="s">
        <v>48</v>
      </c>
      <c r="B42">
        <v>4655</v>
      </c>
      <c r="C42">
        <v>7898152990392</v>
      </c>
      <c r="D42">
        <v>26.9</v>
      </c>
      <c r="E42">
        <v>20.05</v>
      </c>
      <c r="F42" s="3">
        <v>0.2137</v>
      </c>
      <c r="G42">
        <v>16.779900000000001</v>
      </c>
      <c r="H42">
        <v>3.1669999999999998</v>
      </c>
    </row>
    <row r="43" spans="1:8" x14ac:dyDescent="0.25">
      <c r="A43" t="s">
        <v>49</v>
      </c>
      <c r="B43">
        <v>8142</v>
      </c>
      <c r="C43">
        <v>7896569405799</v>
      </c>
      <c r="D43">
        <v>21.9</v>
      </c>
      <c r="E43">
        <v>14.41</v>
      </c>
      <c r="F43" s="3">
        <v>0.30030000000000001</v>
      </c>
      <c r="G43">
        <v>13.2973</v>
      </c>
      <c r="H43">
        <v>1.2</v>
      </c>
    </row>
    <row r="44" spans="1:8" x14ac:dyDescent="0.25">
      <c r="A44" t="s">
        <v>50</v>
      </c>
      <c r="B44">
        <v>64477</v>
      </c>
      <c r="C44">
        <v>7891000377765</v>
      </c>
      <c r="D44">
        <v>15.9</v>
      </c>
      <c r="E44">
        <v>12.65</v>
      </c>
      <c r="F44" s="3">
        <v>0.18629999999999999</v>
      </c>
      <c r="G44">
        <v>11.467599999999999</v>
      </c>
      <c r="H44">
        <v>3.6</v>
      </c>
    </row>
    <row r="45" spans="1:8" x14ac:dyDescent="0.25">
      <c r="A45" t="s">
        <v>51</v>
      </c>
      <c r="B45">
        <v>64478</v>
      </c>
      <c r="C45">
        <v>7891000377727</v>
      </c>
      <c r="D45">
        <v>15.9</v>
      </c>
      <c r="E45">
        <v>12.68</v>
      </c>
      <c r="F45" s="3">
        <v>0.18359999999999999</v>
      </c>
      <c r="G45">
        <v>11.5092</v>
      </c>
      <c r="H45">
        <v>4</v>
      </c>
    </row>
    <row r="46" spans="1:8" x14ac:dyDescent="0.25">
      <c r="A46" t="s">
        <v>52</v>
      </c>
      <c r="B46">
        <v>6174</v>
      </c>
      <c r="C46">
        <v>7891000338162</v>
      </c>
      <c r="D46">
        <v>18.989999999999998</v>
      </c>
      <c r="E46">
        <v>14.61</v>
      </c>
      <c r="F46" s="3">
        <v>0.21149999999999999</v>
      </c>
      <c r="G46">
        <v>13.2166</v>
      </c>
      <c r="H46">
        <v>12.266999999999999</v>
      </c>
    </row>
    <row r="47" spans="1:8" x14ac:dyDescent="0.25">
      <c r="A47" t="s">
        <v>53</v>
      </c>
      <c r="B47">
        <v>65933</v>
      </c>
      <c r="C47">
        <v>7891000379585</v>
      </c>
      <c r="D47">
        <v>7.9</v>
      </c>
      <c r="E47">
        <v>6.45</v>
      </c>
      <c r="F47" s="3">
        <v>0.1663</v>
      </c>
      <c r="G47">
        <v>5.8555000000000001</v>
      </c>
      <c r="H47">
        <v>6.1669999999999998</v>
      </c>
    </row>
    <row r="48" spans="1:8" x14ac:dyDescent="0.25">
      <c r="A48" t="s">
        <v>54</v>
      </c>
      <c r="B48">
        <v>69148</v>
      </c>
      <c r="C48">
        <v>7891000412855</v>
      </c>
      <c r="D48">
        <v>9.49</v>
      </c>
      <c r="E48">
        <v>8.3699999999999992</v>
      </c>
      <c r="F48" s="3">
        <v>0.10619999999999999</v>
      </c>
      <c r="G48">
        <v>7.6044999999999998</v>
      </c>
      <c r="H48">
        <v>36.667000000000002</v>
      </c>
    </row>
    <row r="49" spans="1:8" x14ac:dyDescent="0.25">
      <c r="A49" t="s">
        <v>55</v>
      </c>
      <c r="B49">
        <v>65938</v>
      </c>
      <c r="C49">
        <v>7891000390030</v>
      </c>
      <c r="D49">
        <v>13.9</v>
      </c>
      <c r="E49">
        <v>10.79</v>
      </c>
      <c r="F49" s="3">
        <v>0.20329999999999998</v>
      </c>
      <c r="G49">
        <v>9.7881</v>
      </c>
      <c r="H49">
        <v>2.8330000000000002</v>
      </c>
    </row>
    <row r="50" spans="1:8" x14ac:dyDescent="0.25">
      <c r="A50" t="s">
        <v>56</v>
      </c>
      <c r="B50">
        <v>6177</v>
      </c>
      <c r="C50">
        <v>7891000379691</v>
      </c>
      <c r="D50">
        <v>9.8000000000000007</v>
      </c>
      <c r="E50">
        <v>7.49</v>
      </c>
      <c r="F50" s="3">
        <v>0.21100000000000002</v>
      </c>
      <c r="G50">
        <v>6.8257000000000003</v>
      </c>
      <c r="H50">
        <v>10.766999999999999</v>
      </c>
    </row>
    <row r="51" spans="1:8" x14ac:dyDescent="0.25">
      <c r="A51" t="s">
        <v>57</v>
      </c>
      <c r="B51">
        <v>64468</v>
      </c>
      <c r="C51">
        <v>7891000338087</v>
      </c>
      <c r="D51">
        <v>14.9</v>
      </c>
      <c r="E51">
        <v>10.17</v>
      </c>
      <c r="F51" s="3">
        <v>0.3049</v>
      </c>
      <c r="G51">
        <v>8.9786999999999999</v>
      </c>
      <c r="H51">
        <v>7.5330000000000004</v>
      </c>
    </row>
    <row r="52" spans="1:8" x14ac:dyDescent="0.25">
      <c r="A52" t="s">
        <v>58</v>
      </c>
      <c r="B52">
        <v>64467</v>
      </c>
      <c r="C52">
        <v>7891000379738</v>
      </c>
      <c r="D52">
        <v>18.989999999999998</v>
      </c>
      <c r="E52">
        <v>15.39</v>
      </c>
      <c r="F52" s="3">
        <v>0.17679999999999998</v>
      </c>
      <c r="G52">
        <v>13.875500000000001</v>
      </c>
      <c r="H52">
        <v>4.6669999999999998</v>
      </c>
    </row>
    <row r="53" spans="1:8" x14ac:dyDescent="0.25">
      <c r="A53" t="s">
        <v>59</v>
      </c>
      <c r="B53">
        <v>59450</v>
      </c>
      <c r="C53">
        <v>7891000265505</v>
      </c>
      <c r="D53">
        <v>25.9</v>
      </c>
      <c r="E53">
        <v>20.84</v>
      </c>
      <c r="F53" s="3">
        <v>0.1757</v>
      </c>
      <c r="G53">
        <v>18.9542</v>
      </c>
      <c r="H53">
        <v>5.5330000000000004</v>
      </c>
    </row>
    <row r="54" spans="1:8" x14ac:dyDescent="0.25">
      <c r="A54" t="s">
        <v>60</v>
      </c>
      <c r="B54">
        <v>44586</v>
      </c>
      <c r="C54">
        <v>7896292001084</v>
      </c>
      <c r="D54">
        <v>23.9</v>
      </c>
      <c r="E54">
        <v>15.87</v>
      </c>
      <c r="F54" s="3">
        <v>0.30480000000000002</v>
      </c>
      <c r="G54">
        <v>14.4048</v>
      </c>
      <c r="H54">
        <v>0.433</v>
      </c>
    </row>
    <row r="55" spans="1:8" x14ac:dyDescent="0.25">
      <c r="A55" t="s">
        <v>61</v>
      </c>
      <c r="B55">
        <v>37981</v>
      </c>
      <c r="C55">
        <v>7898206502373</v>
      </c>
      <c r="D55">
        <v>21.9</v>
      </c>
      <c r="E55">
        <v>14.65</v>
      </c>
      <c r="F55" s="3">
        <v>0.30030000000000001</v>
      </c>
      <c r="G55">
        <v>13.2967</v>
      </c>
      <c r="H55">
        <v>1.4</v>
      </c>
    </row>
    <row r="56" spans="1:8" x14ac:dyDescent="0.25">
      <c r="A56" t="s">
        <v>62</v>
      </c>
      <c r="B56">
        <v>34727</v>
      </c>
      <c r="C56">
        <v>7898409951848</v>
      </c>
      <c r="D56">
        <v>12.9</v>
      </c>
      <c r="E56">
        <v>9.0399999999999991</v>
      </c>
      <c r="F56" s="3">
        <v>0.218</v>
      </c>
      <c r="G56">
        <v>6.5731999999999999</v>
      </c>
      <c r="H56">
        <v>6.7670000000000003</v>
      </c>
    </row>
    <row r="57" spans="1:8" x14ac:dyDescent="0.25">
      <c r="A57" t="s">
        <v>63</v>
      </c>
      <c r="B57">
        <v>9359</v>
      </c>
      <c r="C57">
        <v>7898409951404</v>
      </c>
      <c r="D57">
        <v>19.899999999999999</v>
      </c>
      <c r="E57">
        <v>14.08</v>
      </c>
      <c r="F57" s="3">
        <v>0.21239999999999998</v>
      </c>
      <c r="G57">
        <v>10.2514</v>
      </c>
      <c r="H57">
        <v>8.6999999999999993</v>
      </c>
    </row>
    <row r="58" spans="1:8" x14ac:dyDescent="0.25">
      <c r="A58" t="s">
        <v>64</v>
      </c>
      <c r="B58">
        <v>67030</v>
      </c>
      <c r="C58">
        <v>7892840822743</v>
      </c>
      <c r="D58">
        <v>10.9</v>
      </c>
      <c r="E58">
        <v>7.55</v>
      </c>
      <c r="F58" s="3">
        <v>0.28039999999999998</v>
      </c>
      <c r="G58">
        <v>6.8357999999999999</v>
      </c>
      <c r="H58">
        <v>8.7669999999999995</v>
      </c>
    </row>
    <row r="59" spans="1:8" x14ac:dyDescent="0.25">
      <c r="A59" t="s">
        <v>65</v>
      </c>
      <c r="B59">
        <v>47376</v>
      </c>
      <c r="C59">
        <v>7894321711058</v>
      </c>
      <c r="D59">
        <v>15.9</v>
      </c>
      <c r="E59">
        <v>12.03</v>
      </c>
      <c r="F59" s="3">
        <v>0.2213</v>
      </c>
      <c r="G59">
        <v>10.9109</v>
      </c>
      <c r="H59">
        <v>8.8330000000000002</v>
      </c>
    </row>
    <row r="60" spans="1:8" x14ac:dyDescent="0.25">
      <c r="A60" t="s">
        <v>66</v>
      </c>
      <c r="B60">
        <v>35061</v>
      </c>
      <c r="C60">
        <v>7894321711553</v>
      </c>
      <c r="D60">
        <v>38.9</v>
      </c>
      <c r="E60">
        <v>27.26</v>
      </c>
      <c r="F60" s="3">
        <v>0.26150000000000001</v>
      </c>
      <c r="G60">
        <v>25.129799999999999</v>
      </c>
      <c r="H60">
        <v>5.9329999999999998</v>
      </c>
    </row>
    <row r="61" spans="1:8" x14ac:dyDescent="0.25">
      <c r="A61" t="s">
        <v>67</v>
      </c>
      <c r="B61">
        <v>35063</v>
      </c>
      <c r="C61">
        <v>7894321711263</v>
      </c>
      <c r="D61">
        <v>10.99</v>
      </c>
      <c r="E61">
        <v>8.2899999999999991</v>
      </c>
      <c r="F61" s="3">
        <v>0.218</v>
      </c>
      <c r="G61">
        <v>7.5777999999999999</v>
      </c>
      <c r="H61">
        <v>31.966999999999999</v>
      </c>
    </row>
    <row r="62" spans="1:8" x14ac:dyDescent="0.25">
      <c r="A62" t="s">
        <v>68</v>
      </c>
      <c r="B62">
        <v>35062</v>
      </c>
      <c r="C62">
        <v>7894321711478</v>
      </c>
      <c r="D62">
        <v>19.899999999999999</v>
      </c>
      <c r="E62">
        <v>15.23</v>
      </c>
      <c r="F62" s="3">
        <v>0.2036</v>
      </c>
      <c r="G62">
        <v>14.0067</v>
      </c>
      <c r="H62">
        <v>13</v>
      </c>
    </row>
    <row r="63" spans="1:8" x14ac:dyDescent="0.25">
      <c r="A63" t="s">
        <v>69</v>
      </c>
      <c r="B63">
        <v>30422</v>
      </c>
      <c r="C63">
        <v>7898206500034</v>
      </c>
      <c r="D63">
        <v>7.99</v>
      </c>
      <c r="E63">
        <v>5.22</v>
      </c>
      <c r="F63" s="3">
        <v>0.34720000000000001</v>
      </c>
      <c r="G63">
        <v>5.2156000000000002</v>
      </c>
      <c r="H63">
        <v>29.567</v>
      </c>
    </row>
    <row r="64" spans="1:8" x14ac:dyDescent="0.25">
      <c r="A64" t="s">
        <v>70</v>
      </c>
      <c r="B64">
        <v>3371</v>
      </c>
      <c r="C64">
        <v>7896032501010</v>
      </c>
      <c r="D64">
        <v>4.59</v>
      </c>
      <c r="E64">
        <v>3.79</v>
      </c>
      <c r="F64" s="3">
        <v>0.17030000000000001</v>
      </c>
      <c r="G64">
        <v>3.8085</v>
      </c>
      <c r="H64">
        <v>80.2</v>
      </c>
    </row>
    <row r="65" spans="1:8" x14ac:dyDescent="0.25">
      <c r="A65" t="s">
        <v>71</v>
      </c>
      <c r="B65">
        <v>64451</v>
      </c>
      <c r="C65">
        <v>7898943090386</v>
      </c>
      <c r="D65">
        <v>32.9</v>
      </c>
      <c r="E65">
        <v>18.04</v>
      </c>
      <c r="F65" s="3">
        <v>0.32850000000000001</v>
      </c>
      <c r="G65">
        <v>13.1267</v>
      </c>
      <c r="H65">
        <v>0.8</v>
      </c>
    </row>
    <row r="66" spans="1:8" x14ac:dyDescent="0.25">
      <c r="A66" t="s">
        <v>72</v>
      </c>
      <c r="B66">
        <v>30423</v>
      </c>
      <c r="C66">
        <v>7898206500041</v>
      </c>
      <c r="D66">
        <v>7.99</v>
      </c>
      <c r="E66">
        <v>5.32</v>
      </c>
      <c r="F66" s="3">
        <v>0.34509999999999996</v>
      </c>
      <c r="G66">
        <v>5.2325999999999997</v>
      </c>
      <c r="H66">
        <v>90.733000000000004</v>
      </c>
    </row>
    <row r="67" spans="1:8" x14ac:dyDescent="0.25">
      <c r="A67" t="s">
        <v>73</v>
      </c>
      <c r="B67">
        <v>48416</v>
      </c>
      <c r="C67">
        <v>7896292001404</v>
      </c>
      <c r="D67">
        <v>15.99</v>
      </c>
      <c r="E67">
        <v>8.9499999999999993</v>
      </c>
      <c r="F67" s="3">
        <v>0.32040000000000002</v>
      </c>
      <c r="G67">
        <v>6.5094000000000003</v>
      </c>
      <c r="H67">
        <v>1.3</v>
      </c>
    </row>
    <row r="68" spans="1:8" x14ac:dyDescent="0.25">
      <c r="A68" t="s">
        <v>74</v>
      </c>
      <c r="B68">
        <v>3375</v>
      </c>
      <c r="C68">
        <v>7898710160007</v>
      </c>
      <c r="D68">
        <v>15.9</v>
      </c>
      <c r="E68">
        <v>10.48</v>
      </c>
      <c r="F68" s="3">
        <v>0.34090000000000004</v>
      </c>
      <c r="G68">
        <v>10.48</v>
      </c>
      <c r="H68">
        <v>2.4329999999999998</v>
      </c>
    </row>
    <row r="69" spans="1:8" x14ac:dyDescent="0.25">
      <c r="A69" t="s">
        <v>75</v>
      </c>
      <c r="B69">
        <v>3606</v>
      </c>
      <c r="C69">
        <v>7896283000010</v>
      </c>
      <c r="D69">
        <v>24.9</v>
      </c>
      <c r="E69">
        <v>15.36</v>
      </c>
      <c r="F69" s="3">
        <v>0.3831</v>
      </c>
      <c r="G69">
        <v>15.3611</v>
      </c>
      <c r="H69">
        <v>0.16700000000000001</v>
      </c>
    </row>
    <row r="70" spans="1:8" x14ac:dyDescent="0.25">
      <c r="A70" t="s">
        <v>76</v>
      </c>
      <c r="B70">
        <v>30151</v>
      </c>
      <c r="C70">
        <v>7896283001031</v>
      </c>
      <c r="D70">
        <v>12.9</v>
      </c>
      <c r="E70">
        <v>6.67</v>
      </c>
      <c r="F70" s="3">
        <v>0.48280000000000001</v>
      </c>
      <c r="G70">
        <v>6.6715</v>
      </c>
      <c r="H70">
        <v>4.0999999999999996</v>
      </c>
    </row>
    <row r="71" spans="1:8" x14ac:dyDescent="0.25">
      <c r="A71" t="s">
        <v>77</v>
      </c>
      <c r="B71">
        <v>48336</v>
      </c>
      <c r="C71">
        <v>7898206502489</v>
      </c>
      <c r="D71">
        <v>10.9</v>
      </c>
      <c r="E71">
        <v>7.03</v>
      </c>
      <c r="F71" s="3">
        <v>0.3155</v>
      </c>
      <c r="G71">
        <v>6.4527000000000001</v>
      </c>
      <c r="H71">
        <v>1.7</v>
      </c>
    </row>
    <row r="72" spans="1:8" x14ac:dyDescent="0.25">
      <c r="A72" t="s">
        <v>78</v>
      </c>
      <c r="B72">
        <v>3379</v>
      </c>
      <c r="C72">
        <v>7896063243224</v>
      </c>
      <c r="D72">
        <v>12.9</v>
      </c>
      <c r="E72">
        <v>8.4600000000000009</v>
      </c>
      <c r="F72" s="3">
        <v>0.3453</v>
      </c>
      <c r="G72">
        <v>8.4459999999999997</v>
      </c>
      <c r="H72">
        <v>1.667</v>
      </c>
    </row>
    <row r="73" spans="1:8" x14ac:dyDescent="0.25">
      <c r="A73" t="s">
        <v>79</v>
      </c>
      <c r="B73">
        <v>3409</v>
      </c>
      <c r="C73">
        <v>7891910000197</v>
      </c>
      <c r="D73">
        <v>4.6900000000000004</v>
      </c>
      <c r="E73">
        <v>4.05</v>
      </c>
      <c r="F73" s="3">
        <v>0.13730000000000001</v>
      </c>
      <c r="G73">
        <v>4.0461</v>
      </c>
      <c r="H73">
        <v>302.53300000000002</v>
      </c>
    </row>
    <row r="74" spans="1:8" x14ac:dyDescent="0.25">
      <c r="A74" t="s">
        <v>80</v>
      </c>
      <c r="B74">
        <v>3384</v>
      </c>
      <c r="C74">
        <v>7891959014612</v>
      </c>
      <c r="D74">
        <v>4.49</v>
      </c>
      <c r="E74">
        <v>3.75</v>
      </c>
      <c r="F74" s="3">
        <v>0.17699999999999999</v>
      </c>
      <c r="G74">
        <v>3.6951999999999998</v>
      </c>
      <c r="H74">
        <v>21.8</v>
      </c>
    </row>
    <row r="75" spans="1:8" x14ac:dyDescent="0.25">
      <c r="A75" t="s">
        <v>81</v>
      </c>
      <c r="B75">
        <v>3385</v>
      </c>
      <c r="C75">
        <v>7891910020027</v>
      </c>
      <c r="D75">
        <v>10.9</v>
      </c>
      <c r="E75">
        <v>8.81</v>
      </c>
      <c r="F75" s="3">
        <v>0.19140000000000001</v>
      </c>
      <c r="G75">
        <v>8.8140999999999998</v>
      </c>
      <c r="H75">
        <v>2.133</v>
      </c>
    </row>
    <row r="76" spans="1:8" x14ac:dyDescent="0.25">
      <c r="A76" t="s">
        <v>82</v>
      </c>
      <c r="B76">
        <v>3387</v>
      </c>
      <c r="C76">
        <v>7891910020065</v>
      </c>
      <c r="D76">
        <v>8.68</v>
      </c>
      <c r="E76">
        <v>5.92</v>
      </c>
      <c r="F76" s="3">
        <v>0.316</v>
      </c>
      <c r="G76">
        <v>5.9386000000000001</v>
      </c>
      <c r="H76">
        <v>17.399999999999999</v>
      </c>
    </row>
    <row r="77" spans="1:8" x14ac:dyDescent="0.25">
      <c r="A77" t="s">
        <v>83</v>
      </c>
      <c r="B77">
        <v>3388</v>
      </c>
      <c r="C77">
        <v>7891910020096</v>
      </c>
      <c r="D77">
        <v>6.49</v>
      </c>
      <c r="E77">
        <v>4.04</v>
      </c>
      <c r="F77" s="3">
        <v>0.27589999999999998</v>
      </c>
      <c r="G77">
        <v>2.9310999999999998</v>
      </c>
      <c r="H77">
        <v>10.1</v>
      </c>
    </row>
    <row r="78" spans="1:8" x14ac:dyDescent="0.25">
      <c r="A78" t="s">
        <v>84</v>
      </c>
      <c r="B78">
        <v>64621</v>
      </c>
      <c r="C78">
        <v>7891910030293</v>
      </c>
      <c r="D78">
        <v>22.9</v>
      </c>
      <c r="E78">
        <v>16.73</v>
      </c>
      <c r="F78" s="3">
        <v>0.27879999999999999</v>
      </c>
      <c r="G78">
        <v>16.515000000000001</v>
      </c>
      <c r="H78">
        <v>3.0670000000000002</v>
      </c>
    </row>
    <row r="79" spans="1:8" x14ac:dyDescent="0.25">
      <c r="A79" t="s">
        <v>85</v>
      </c>
      <c r="B79">
        <v>3406</v>
      </c>
      <c r="C79">
        <v>7891910020034</v>
      </c>
      <c r="D79">
        <v>8.99</v>
      </c>
      <c r="E79">
        <v>6.58</v>
      </c>
      <c r="F79" s="3">
        <v>0.27649999999999997</v>
      </c>
      <c r="G79">
        <v>6.5038999999999998</v>
      </c>
      <c r="H79">
        <v>1.633</v>
      </c>
    </row>
    <row r="80" spans="1:8" x14ac:dyDescent="0.25">
      <c r="A80" t="s">
        <v>86</v>
      </c>
      <c r="B80">
        <v>3404</v>
      </c>
      <c r="C80">
        <v>7891910020041</v>
      </c>
      <c r="D80">
        <v>8.99</v>
      </c>
      <c r="E80">
        <v>4.28</v>
      </c>
      <c r="F80" s="3">
        <v>0.4869</v>
      </c>
      <c r="G80">
        <v>3.9836</v>
      </c>
      <c r="H80">
        <v>2.7669999999999999</v>
      </c>
    </row>
    <row r="81" spans="1:8" x14ac:dyDescent="0.25">
      <c r="A81" t="s">
        <v>87</v>
      </c>
      <c r="B81">
        <v>3408</v>
      </c>
      <c r="C81">
        <v>7891910000166</v>
      </c>
      <c r="D81">
        <v>6.99</v>
      </c>
      <c r="E81">
        <v>5.57</v>
      </c>
      <c r="F81" s="3">
        <v>0.17649999999999999</v>
      </c>
      <c r="G81">
        <v>5.7561999999999998</v>
      </c>
      <c r="H81">
        <v>1.4670000000000001</v>
      </c>
    </row>
    <row r="82" spans="1:8" x14ac:dyDescent="0.25">
      <c r="A82" t="s">
        <v>88</v>
      </c>
      <c r="B82">
        <v>8801</v>
      </c>
      <c r="C82">
        <v>7891910020119</v>
      </c>
      <c r="D82">
        <v>5.49</v>
      </c>
      <c r="E82">
        <v>3.68</v>
      </c>
      <c r="F82" s="3">
        <v>0.29249999999999998</v>
      </c>
      <c r="G82">
        <v>3.5001000000000002</v>
      </c>
      <c r="H82">
        <v>2.7</v>
      </c>
    </row>
    <row r="83" spans="1:8" x14ac:dyDescent="0.25">
      <c r="A83" t="s">
        <v>89</v>
      </c>
      <c r="B83">
        <v>4572</v>
      </c>
      <c r="C83">
        <v>7891104393104</v>
      </c>
      <c r="D83">
        <v>4.99</v>
      </c>
      <c r="E83">
        <v>2.67</v>
      </c>
      <c r="F83" s="3">
        <v>0.3362</v>
      </c>
      <c r="G83">
        <v>1.9527000000000001</v>
      </c>
      <c r="H83">
        <v>8.5670000000000002</v>
      </c>
    </row>
    <row r="84" spans="1:8" x14ac:dyDescent="0.25">
      <c r="A84" t="s">
        <v>90</v>
      </c>
      <c r="B84">
        <v>9614</v>
      </c>
      <c r="C84">
        <v>7896569405737</v>
      </c>
      <c r="D84">
        <v>4.99</v>
      </c>
      <c r="E84">
        <v>1.9</v>
      </c>
      <c r="F84" s="3">
        <v>0.45069999999999999</v>
      </c>
      <c r="G84">
        <v>1.3814</v>
      </c>
      <c r="H84">
        <v>1.5</v>
      </c>
    </row>
    <row r="85" spans="1:8" x14ac:dyDescent="0.25">
      <c r="A85" t="s">
        <v>91</v>
      </c>
      <c r="B85">
        <v>12996</v>
      </c>
      <c r="C85">
        <v>7896569405744</v>
      </c>
      <c r="D85">
        <v>11.9</v>
      </c>
      <c r="E85">
        <v>6.1</v>
      </c>
      <c r="F85" s="3">
        <v>0.3357</v>
      </c>
      <c r="G85">
        <v>4.6623000000000001</v>
      </c>
      <c r="H85">
        <v>0.7</v>
      </c>
    </row>
    <row r="86" spans="1:8" x14ac:dyDescent="0.25">
      <c r="A86" t="s">
        <v>92</v>
      </c>
      <c r="B86">
        <v>57513</v>
      </c>
      <c r="C86">
        <v>7896001200012</v>
      </c>
      <c r="D86">
        <v>49.9</v>
      </c>
      <c r="E86">
        <v>30.2</v>
      </c>
      <c r="F86" s="3">
        <v>0.28720000000000001</v>
      </c>
      <c r="G86">
        <v>21.971399999999999</v>
      </c>
      <c r="H86">
        <v>3.3000000000000002E-2</v>
      </c>
    </row>
    <row r="87" spans="1:8" x14ac:dyDescent="0.25">
      <c r="A87" t="s">
        <v>93</v>
      </c>
      <c r="B87">
        <v>61223</v>
      </c>
      <c r="C87">
        <v>7896001282353</v>
      </c>
      <c r="D87">
        <v>24.9</v>
      </c>
      <c r="E87">
        <v>14.58</v>
      </c>
      <c r="F87" s="3">
        <v>0.30730000000000002</v>
      </c>
      <c r="G87">
        <v>10.4628</v>
      </c>
      <c r="H87">
        <v>0.4</v>
      </c>
    </row>
    <row r="88" spans="1:8" x14ac:dyDescent="0.25">
      <c r="A88" t="s">
        <v>94</v>
      </c>
      <c r="B88">
        <v>44564</v>
      </c>
      <c r="C88">
        <v>7896292005754</v>
      </c>
      <c r="D88">
        <v>32.9</v>
      </c>
      <c r="E88">
        <v>18.89</v>
      </c>
      <c r="F88" s="3">
        <v>0.30969999999999998</v>
      </c>
      <c r="G88">
        <v>13.744</v>
      </c>
      <c r="H88">
        <v>0.86699999999999999</v>
      </c>
    </row>
    <row r="89" spans="1:8" x14ac:dyDescent="0.25">
      <c r="A89" t="s">
        <v>95</v>
      </c>
      <c r="B89">
        <v>28143</v>
      </c>
      <c r="C89">
        <v>7896569406253</v>
      </c>
      <c r="D89">
        <v>14.9</v>
      </c>
      <c r="E89">
        <v>7.83</v>
      </c>
      <c r="F89" s="3">
        <v>0.33610000000000001</v>
      </c>
      <c r="G89">
        <v>5.8324999999999996</v>
      </c>
      <c r="H89">
        <v>1.9670000000000001</v>
      </c>
    </row>
    <row r="90" spans="1:8" x14ac:dyDescent="0.25">
      <c r="A90" t="s">
        <v>96</v>
      </c>
      <c r="B90">
        <v>28144</v>
      </c>
      <c r="C90">
        <v>7896569405836</v>
      </c>
      <c r="D90">
        <v>13.9</v>
      </c>
      <c r="E90">
        <v>7.71</v>
      </c>
      <c r="F90" s="3">
        <v>0.32030000000000003</v>
      </c>
      <c r="G90">
        <v>5.6600999999999999</v>
      </c>
      <c r="H90">
        <v>1.2330000000000001</v>
      </c>
    </row>
    <row r="91" spans="1:8" x14ac:dyDescent="0.25">
      <c r="A91" t="s">
        <v>97</v>
      </c>
      <c r="B91">
        <v>36774</v>
      </c>
      <c r="C91">
        <v>7896001281752</v>
      </c>
      <c r="D91">
        <v>9.9</v>
      </c>
      <c r="E91">
        <v>4.6399999999999997</v>
      </c>
      <c r="F91" s="3">
        <v>0.3901</v>
      </c>
      <c r="G91">
        <v>3.3401999999999998</v>
      </c>
      <c r="H91">
        <v>1.333</v>
      </c>
    </row>
    <row r="92" spans="1:8" x14ac:dyDescent="0.25">
      <c r="A92" t="s">
        <v>98</v>
      </c>
      <c r="B92">
        <v>36773</v>
      </c>
      <c r="C92">
        <v>7896001210103</v>
      </c>
      <c r="D92">
        <v>18.899999999999999</v>
      </c>
      <c r="E92">
        <v>9.15</v>
      </c>
      <c r="F92" s="3">
        <v>0.37759999999999999</v>
      </c>
      <c r="G92">
        <v>6.6136999999999997</v>
      </c>
      <c r="H92">
        <v>1.2669999999999999</v>
      </c>
    </row>
    <row r="93" spans="1:8" x14ac:dyDescent="0.25">
      <c r="A93" t="s">
        <v>99</v>
      </c>
      <c r="B93">
        <v>47936</v>
      </c>
      <c r="C93">
        <v>7896292000957</v>
      </c>
      <c r="D93">
        <v>18.989999999999998</v>
      </c>
      <c r="E93">
        <v>10.88</v>
      </c>
      <c r="F93" s="3">
        <v>0.31079999999999997</v>
      </c>
      <c r="G93">
        <v>7.9139999999999997</v>
      </c>
      <c r="H93">
        <v>1.1000000000000001</v>
      </c>
    </row>
    <row r="94" spans="1:8" x14ac:dyDescent="0.25">
      <c r="A94" t="s">
        <v>100</v>
      </c>
      <c r="B94">
        <v>67627</v>
      </c>
      <c r="C94">
        <v>722776004661</v>
      </c>
      <c r="D94">
        <v>19.899999999999999</v>
      </c>
      <c r="E94">
        <v>10.99</v>
      </c>
      <c r="F94" s="3">
        <v>0.32590000000000002</v>
      </c>
      <c r="G94">
        <v>7.9923999999999999</v>
      </c>
      <c r="H94">
        <v>0.3</v>
      </c>
    </row>
    <row r="95" spans="1:8" x14ac:dyDescent="0.25">
      <c r="A95" t="s">
        <v>101</v>
      </c>
      <c r="B95">
        <v>67628</v>
      </c>
      <c r="C95">
        <v>722776005095</v>
      </c>
      <c r="D95">
        <v>23.9</v>
      </c>
      <c r="E95">
        <v>14.01</v>
      </c>
      <c r="F95" s="3">
        <v>0.30109999999999998</v>
      </c>
      <c r="G95">
        <v>10.191800000000001</v>
      </c>
      <c r="H95">
        <v>0.96699999999999997</v>
      </c>
    </row>
    <row r="96" spans="1:8" x14ac:dyDescent="0.25">
      <c r="A96" t="s">
        <v>102</v>
      </c>
      <c r="B96">
        <v>53439</v>
      </c>
      <c r="C96">
        <v>7898115901601</v>
      </c>
      <c r="D96">
        <v>49.9</v>
      </c>
      <c r="E96">
        <v>30.76</v>
      </c>
      <c r="F96" s="3">
        <v>0.28199999999999997</v>
      </c>
      <c r="G96">
        <v>22.230399999999999</v>
      </c>
      <c r="H96">
        <v>0.26700000000000002</v>
      </c>
    </row>
    <row r="97" spans="1:8" x14ac:dyDescent="0.25">
      <c r="A97" t="s">
        <v>103</v>
      </c>
      <c r="B97">
        <v>53438</v>
      </c>
      <c r="C97">
        <v>7898115901557</v>
      </c>
      <c r="D97">
        <v>49.9</v>
      </c>
      <c r="E97">
        <v>32.130000000000003</v>
      </c>
      <c r="F97" s="3">
        <v>0.25259999999999999</v>
      </c>
      <c r="G97">
        <v>23.696300000000001</v>
      </c>
      <c r="H97">
        <v>0.4</v>
      </c>
    </row>
    <row r="98" spans="1:8" x14ac:dyDescent="0.25">
      <c r="A98" t="s">
        <v>104</v>
      </c>
      <c r="B98">
        <v>8145</v>
      </c>
      <c r="C98">
        <v>7896569406260</v>
      </c>
      <c r="D98">
        <v>11.9</v>
      </c>
      <c r="E98">
        <v>6.4</v>
      </c>
      <c r="F98" s="3">
        <v>0.33149999999999996</v>
      </c>
      <c r="G98">
        <v>4.7127999999999997</v>
      </c>
      <c r="H98">
        <v>1.667</v>
      </c>
    </row>
    <row r="99" spans="1:8" x14ac:dyDescent="0.25">
      <c r="A99" t="s">
        <v>105</v>
      </c>
      <c r="B99">
        <v>8144</v>
      </c>
      <c r="C99">
        <v>7896569405829</v>
      </c>
      <c r="D99">
        <v>10.9</v>
      </c>
      <c r="E99">
        <v>5.88</v>
      </c>
      <c r="F99" s="3">
        <v>0.32939999999999997</v>
      </c>
      <c r="G99">
        <v>4.3388</v>
      </c>
      <c r="H99">
        <v>0.93300000000000005</v>
      </c>
    </row>
    <row r="100" spans="1:8" x14ac:dyDescent="0.25">
      <c r="A100" t="s">
        <v>106</v>
      </c>
      <c r="B100">
        <v>23263</v>
      </c>
      <c r="C100">
        <v>7896001281721</v>
      </c>
      <c r="D100">
        <v>9.9</v>
      </c>
      <c r="E100">
        <v>4.9400000000000004</v>
      </c>
      <c r="F100" s="3">
        <v>0.36840000000000006</v>
      </c>
      <c r="G100">
        <v>3.5550000000000002</v>
      </c>
      <c r="H100">
        <v>0.96699999999999997</v>
      </c>
    </row>
    <row r="101" spans="1:8" x14ac:dyDescent="0.25">
      <c r="A101" t="s">
        <v>107</v>
      </c>
      <c r="B101">
        <v>23283</v>
      </c>
      <c r="C101">
        <v>7896001250796</v>
      </c>
      <c r="D101">
        <v>0</v>
      </c>
      <c r="E101">
        <v>32.44</v>
      </c>
      <c r="F101" s="3">
        <v>0</v>
      </c>
      <c r="G101">
        <v>23.599900000000002</v>
      </c>
      <c r="H101">
        <v>0.13300000000000001</v>
      </c>
    </row>
    <row r="102" spans="1:8" x14ac:dyDescent="0.25">
      <c r="A102" t="s">
        <v>108</v>
      </c>
      <c r="B102">
        <v>23264</v>
      </c>
      <c r="C102">
        <v>7896001250628</v>
      </c>
      <c r="D102">
        <v>19.899999999999999</v>
      </c>
      <c r="E102">
        <v>9.58</v>
      </c>
      <c r="F102" s="3">
        <v>0.37740000000000001</v>
      </c>
      <c r="G102">
        <v>6.9678000000000004</v>
      </c>
      <c r="H102">
        <v>5.7329999999999997</v>
      </c>
    </row>
    <row r="103" spans="1:8" x14ac:dyDescent="0.25">
      <c r="A103" t="s">
        <v>109</v>
      </c>
      <c r="B103">
        <v>67619</v>
      </c>
      <c r="C103">
        <v>722776004654</v>
      </c>
      <c r="D103">
        <v>19.899999999999999</v>
      </c>
      <c r="E103">
        <v>9.82</v>
      </c>
      <c r="F103" s="3">
        <v>0.36849999999999999</v>
      </c>
      <c r="G103">
        <v>7.1441999999999997</v>
      </c>
      <c r="H103">
        <v>0.26700000000000002</v>
      </c>
    </row>
    <row r="104" spans="1:8" x14ac:dyDescent="0.25">
      <c r="A104" t="s">
        <v>110</v>
      </c>
      <c r="B104">
        <v>67625</v>
      </c>
      <c r="C104">
        <v>722776005088</v>
      </c>
      <c r="D104">
        <v>18.899999999999999</v>
      </c>
      <c r="E104">
        <v>11</v>
      </c>
      <c r="F104" s="3">
        <v>0.30430000000000001</v>
      </c>
      <c r="G104">
        <v>7.9993999999999996</v>
      </c>
      <c r="H104">
        <v>0.16700000000000001</v>
      </c>
    </row>
    <row r="105" spans="1:8" x14ac:dyDescent="0.25">
      <c r="A105" t="s">
        <v>111</v>
      </c>
      <c r="B105">
        <v>58770</v>
      </c>
      <c r="C105">
        <v>7891910030316</v>
      </c>
      <c r="D105">
        <v>8.99</v>
      </c>
      <c r="E105">
        <v>6.38</v>
      </c>
      <c r="F105" s="3">
        <v>0.21379999999999999</v>
      </c>
      <c r="G105">
        <v>4.6182999999999996</v>
      </c>
      <c r="H105">
        <v>12.433</v>
      </c>
    </row>
    <row r="106" spans="1:8" x14ac:dyDescent="0.25">
      <c r="A106" t="s">
        <v>112</v>
      </c>
      <c r="B106">
        <v>4578</v>
      </c>
      <c r="C106">
        <v>7891910020058</v>
      </c>
      <c r="D106">
        <v>8.99</v>
      </c>
      <c r="E106">
        <v>5.72</v>
      </c>
      <c r="F106" s="3">
        <v>0.26500000000000001</v>
      </c>
      <c r="G106">
        <v>4.1582999999999997</v>
      </c>
      <c r="H106">
        <v>10.167</v>
      </c>
    </row>
    <row r="107" spans="1:8" x14ac:dyDescent="0.25">
      <c r="A107" t="s">
        <v>113</v>
      </c>
      <c r="B107">
        <v>35201</v>
      </c>
      <c r="C107">
        <v>7896094906624</v>
      </c>
      <c r="D107">
        <v>15.9</v>
      </c>
      <c r="E107">
        <v>8.32</v>
      </c>
      <c r="F107" s="3">
        <v>0.34710000000000002</v>
      </c>
      <c r="G107">
        <v>6.0486000000000004</v>
      </c>
      <c r="H107">
        <v>8.6</v>
      </c>
    </row>
    <row r="108" spans="1:8" x14ac:dyDescent="0.25">
      <c r="A108" t="s">
        <v>114</v>
      </c>
      <c r="B108">
        <v>35202</v>
      </c>
      <c r="C108">
        <v>7896094919853</v>
      </c>
      <c r="D108">
        <v>13.9</v>
      </c>
      <c r="E108">
        <v>7.41</v>
      </c>
      <c r="F108" s="3">
        <v>0.3392</v>
      </c>
      <c r="G108">
        <v>5.3978000000000002</v>
      </c>
      <c r="H108">
        <v>4.5670000000000002</v>
      </c>
    </row>
    <row r="109" spans="1:8" x14ac:dyDescent="0.25">
      <c r="A109" t="s">
        <v>115</v>
      </c>
      <c r="B109">
        <v>64393</v>
      </c>
      <c r="C109">
        <v>7896569405775</v>
      </c>
      <c r="D109">
        <v>26.9</v>
      </c>
      <c r="E109">
        <v>14.3</v>
      </c>
      <c r="F109" s="3">
        <v>0.34</v>
      </c>
      <c r="G109">
        <v>10.4246</v>
      </c>
      <c r="H109">
        <v>0.86699999999999999</v>
      </c>
    </row>
    <row r="110" spans="1:8" x14ac:dyDescent="0.25">
      <c r="A110" t="s">
        <v>116</v>
      </c>
      <c r="B110">
        <v>13415</v>
      </c>
      <c r="C110">
        <v>7896569405768</v>
      </c>
      <c r="D110">
        <v>16.899999999999999</v>
      </c>
      <c r="E110">
        <v>8.7799999999999994</v>
      </c>
      <c r="F110" s="3">
        <v>0.34130000000000005</v>
      </c>
      <c r="G110">
        <v>6.5270999999999999</v>
      </c>
      <c r="H110">
        <v>1.0329999999999999</v>
      </c>
    </row>
    <row r="111" spans="1:8" x14ac:dyDescent="0.25">
      <c r="A111" t="s">
        <v>117</v>
      </c>
      <c r="B111">
        <v>4583</v>
      </c>
      <c r="C111">
        <v>7896094910904</v>
      </c>
      <c r="D111">
        <v>8.2899999999999991</v>
      </c>
      <c r="E111">
        <v>4.91</v>
      </c>
      <c r="F111" s="3">
        <v>0.29609999999999997</v>
      </c>
      <c r="G111">
        <v>3.5764</v>
      </c>
      <c r="H111">
        <v>15.933</v>
      </c>
    </row>
    <row r="112" spans="1:8" x14ac:dyDescent="0.25">
      <c r="A112" t="s">
        <v>118</v>
      </c>
      <c r="B112">
        <v>4586</v>
      </c>
      <c r="C112">
        <v>7896094910959</v>
      </c>
      <c r="D112">
        <v>16.899999999999999</v>
      </c>
      <c r="E112">
        <v>8.77</v>
      </c>
      <c r="F112" s="3">
        <v>0.34990000000000004</v>
      </c>
      <c r="G112">
        <v>6.3807999999999998</v>
      </c>
      <c r="H112">
        <v>6.9669999999999996</v>
      </c>
    </row>
    <row r="113" spans="1:8" x14ac:dyDescent="0.25">
      <c r="A113" t="s">
        <v>119</v>
      </c>
      <c r="B113">
        <v>4580</v>
      </c>
      <c r="C113">
        <v>7896094911000</v>
      </c>
      <c r="D113">
        <v>32.9</v>
      </c>
      <c r="E113">
        <v>20.04</v>
      </c>
      <c r="F113" s="3">
        <v>0.28289999999999998</v>
      </c>
      <c r="G113">
        <v>14.626300000000001</v>
      </c>
      <c r="H113">
        <v>0.76700000000000002</v>
      </c>
    </row>
    <row r="114" spans="1:8" x14ac:dyDescent="0.25">
      <c r="A114" t="s">
        <v>120</v>
      </c>
      <c r="B114">
        <v>52180</v>
      </c>
      <c r="C114">
        <v>7894900521504</v>
      </c>
      <c r="D114">
        <v>3.19</v>
      </c>
      <c r="E114">
        <v>1.82</v>
      </c>
      <c r="F114" s="3">
        <v>0.44140000000000001</v>
      </c>
      <c r="G114">
        <v>1.7821</v>
      </c>
      <c r="H114">
        <v>53.933</v>
      </c>
    </row>
    <row r="115" spans="1:8" x14ac:dyDescent="0.25">
      <c r="A115" t="s">
        <v>121</v>
      </c>
      <c r="B115">
        <v>46358</v>
      </c>
      <c r="C115">
        <v>7894900520507</v>
      </c>
      <c r="D115">
        <v>3.19</v>
      </c>
      <c r="E115">
        <v>2.17</v>
      </c>
      <c r="F115" s="3">
        <v>0.32049999999999995</v>
      </c>
      <c r="G115">
        <v>2.1676000000000002</v>
      </c>
      <c r="H115">
        <v>20.632999999999999</v>
      </c>
    </row>
    <row r="116" spans="1:8" x14ac:dyDescent="0.25">
      <c r="A116" t="s">
        <v>122</v>
      </c>
      <c r="B116">
        <v>46359</v>
      </c>
      <c r="C116">
        <v>7894900521009</v>
      </c>
      <c r="D116">
        <v>3.19</v>
      </c>
      <c r="E116">
        <v>2.17</v>
      </c>
      <c r="F116" s="3">
        <v>0.31769999999999998</v>
      </c>
      <c r="G116">
        <v>2.1764999999999999</v>
      </c>
      <c r="H116">
        <v>40.332999999999998</v>
      </c>
    </row>
    <row r="117" spans="1:8" x14ac:dyDescent="0.25">
      <c r="A117" t="s">
        <v>123</v>
      </c>
      <c r="B117">
        <v>64349</v>
      </c>
      <c r="C117">
        <v>7894900523003</v>
      </c>
      <c r="D117">
        <v>3.19</v>
      </c>
      <c r="E117">
        <v>1.99</v>
      </c>
      <c r="F117" s="3">
        <v>0.34350000000000003</v>
      </c>
      <c r="G117">
        <v>2.0943000000000001</v>
      </c>
      <c r="H117">
        <v>22.332999999999998</v>
      </c>
    </row>
    <row r="118" spans="1:8" x14ac:dyDescent="0.25">
      <c r="A118" t="s">
        <v>124</v>
      </c>
      <c r="B118">
        <v>62892</v>
      </c>
      <c r="C118">
        <v>7896931614941</v>
      </c>
      <c r="D118">
        <v>5.99</v>
      </c>
      <c r="E118">
        <v>4.03</v>
      </c>
      <c r="F118" s="3">
        <v>0.2974</v>
      </c>
      <c r="G118">
        <v>3.6543000000000001</v>
      </c>
      <c r="H118">
        <v>33.799999999999997</v>
      </c>
    </row>
    <row r="119" spans="1:8" x14ac:dyDescent="0.25">
      <c r="A119" t="s">
        <v>125</v>
      </c>
      <c r="B119">
        <v>58151</v>
      </c>
      <c r="C119">
        <v>7896931614910</v>
      </c>
      <c r="D119">
        <v>11.9</v>
      </c>
      <c r="E119">
        <v>8.7200000000000006</v>
      </c>
      <c r="F119" s="3">
        <v>0.2427</v>
      </c>
      <c r="G119">
        <v>7.9108999999999998</v>
      </c>
      <c r="H119">
        <v>189.333</v>
      </c>
    </row>
    <row r="120" spans="1:8" x14ac:dyDescent="0.25">
      <c r="A120" t="s">
        <v>126</v>
      </c>
      <c r="B120">
        <v>5676</v>
      </c>
      <c r="C120">
        <v>7896828000239</v>
      </c>
      <c r="D120">
        <v>15.9</v>
      </c>
      <c r="E120">
        <v>10.68</v>
      </c>
      <c r="F120" s="3">
        <v>0.28270000000000001</v>
      </c>
      <c r="G120">
        <v>9.9343000000000004</v>
      </c>
      <c r="H120">
        <v>128.56700000000001</v>
      </c>
    </row>
    <row r="121" spans="1:8" x14ac:dyDescent="0.25">
      <c r="A121" t="s">
        <v>127</v>
      </c>
      <c r="B121">
        <v>5898</v>
      </c>
      <c r="C121">
        <v>7896828000017</v>
      </c>
      <c r="D121">
        <v>3.49</v>
      </c>
      <c r="E121">
        <v>2.33</v>
      </c>
      <c r="F121" s="3">
        <v>0.30130000000000001</v>
      </c>
      <c r="G121">
        <v>2.1154999999999999</v>
      </c>
      <c r="H121">
        <v>142.267</v>
      </c>
    </row>
    <row r="122" spans="1:8" x14ac:dyDescent="0.25">
      <c r="A122" t="s">
        <v>128</v>
      </c>
      <c r="B122">
        <v>5681</v>
      </c>
      <c r="C122">
        <v>7896828000482</v>
      </c>
      <c r="D122">
        <v>6.9</v>
      </c>
      <c r="E122">
        <v>4.8600000000000003</v>
      </c>
      <c r="F122" s="3">
        <v>0.26819999999999999</v>
      </c>
      <c r="G122">
        <v>4.4109999999999996</v>
      </c>
      <c r="H122">
        <v>17.632999999999999</v>
      </c>
    </row>
    <row r="123" spans="1:8" x14ac:dyDescent="0.25">
      <c r="A123" t="s">
        <v>129</v>
      </c>
      <c r="B123">
        <v>63546</v>
      </c>
      <c r="C123">
        <v>7896183307974</v>
      </c>
      <c r="D123">
        <v>32.9</v>
      </c>
      <c r="E123">
        <v>21.17</v>
      </c>
      <c r="F123" s="3">
        <v>0.25890000000000002</v>
      </c>
      <c r="G123">
        <v>15.417199999999999</v>
      </c>
      <c r="H123">
        <v>0.46700000000000003</v>
      </c>
    </row>
    <row r="124" spans="1:8" x14ac:dyDescent="0.25">
      <c r="A124" t="s">
        <v>130</v>
      </c>
      <c r="B124">
        <v>63547</v>
      </c>
      <c r="C124">
        <v>7896183307998</v>
      </c>
      <c r="D124">
        <v>32.9</v>
      </c>
      <c r="E124">
        <v>20.02</v>
      </c>
      <c r="F124" s="3">
        <v>0.2923</v>
      </c>
      <c r="G124">
        <v>14.317600000000001</v>
      </c>
      <c r="H124">
        <v>0.16700000000000001</v>
      </c>
    </row>
    <row r="125" spans="1:8" x14ac:dyDescent="0.25">
      <c r="A125" t="s">
        <v>131</v>
      </c>
      <c r="B125">
        <v>63548</v>
      </c>
      <c r="C125">
        <v>7896183313753</v>
      </c>
      <c r="D125">
        <v>32.9</v>
      </c>
      <c r="E125">
        <v>19.41</v>
      </c>
      <c r="F125" s="3">
        <v>0.29809999999999998</v>
      </c>
      <c r="G125">
        <v>14.128399999999999</v>
      </c>
      <c r="H125">
        <v>0</v>
      </c>
    </row>
    <row r="126" spans="1:8" x14ac:dyDescent="0.25">
      <c r="A126" t="s">
        <v>132</v>
      </c>
      <c r="B126">
        <v>66282</v>
      </c>
      <c r="C126">
        <v>7891010251031</v>
      </c>
      <c r="D126">
        <v>63.9</v>
      </c>
      <c r="E126">
        <v>39.51</v>
      </c>
      <c r="F126" s="3">
        <v>0.34639999999999999</v>
      </c>
      <c r="G126">
        <v>35.851500000000001</v>
      </c>
      <c r="H126">
        <v>3.3000000000000002E-2</v>
      </c>
    </row>
    <row r="127" spans="1:8" x14ac:dyDescent="0.25">
      <c r="A127" t="s">
        <v>133</v>
      </c>
      <c r="B127">
        <v>66154</v>
      </c>
      <c r="C127">
        <v>7891010251048</v>
      </c>
      <c r="D127">
        <v>49.9</v>
      </c>
      <c r="E127">
        <v>31.82</v>
      </c>
      <c r="F127" s="3">
        <v>0.32880000000000004</v>
      </c>
      <c r="G127">
        <v>28.877800000000001</v>
      </c>
      <c r="H127">
        <v>3.3000000000000002E-2</v>
      </c>
    </row>
    <row r="128" spans="1:8" x14ac:dyDescent="0.25">
      <c r="A128" t="s">
        <v>134</v>
      </c>
      <c r="B128">
        <v>66157</v>
      </c>
      <c r="C128">
        <v>7891010245160</v>
      </c>
      <c r="D128">
        <v>42.9</v>
      </c>
      <c r="E128">
        <v>25.89</v>
      </c>
      <c r="F128" s="3">
        <v>0.35969999999999996</v>
      </c>
      <c r="G128">
        <v>23.499400000000001</v>
      </c>
      <c r="H128">
        <v>0.2</v>
      </c>
    </row>
    <row r="129" spans="1:8" x14ac:dyDescent="0.25">
      <c r="A129" t="s">
        <v>135</v>
      </c>
      <c r="B129">
        <v>66408</v>
      </c>
      <c r="C129">
        <v>7891010251055</v>
      </c>
      <c r="D129">
        <v>69.900000000000006</v>
      </c>
      <c r="E129">
        <v>45.85</v>
      </c>
      <c r="F129" s="3">
        <v>0.31209999999999999</v>
      </c>
      <c r="G129">
        <v>41.616900000000001</v>
      </c>
      <c r="H129">
        <v>0</v>
      </c>
    </row>
    <row r="130" spans="1:8" x14ac:dyDescent="0.25">
      <c r="A130" t="s">
        <v>136</v>
      </c>
      <c r="B130">
        <v>67898</v>
      </c>
      <c r="C130">
        <v>8002270009211</v>
      </c>
      <c r="D130">
        <v>11.9</v>
      </c>
      <c r="E130">
        <v>8.18</v>
      </c>
      <c r="F130" s="3">
        <v>0.31459999999999999</v>
      </c>
      <c r="G130">
        <v>8.1561000000000003</v>
      </c>
      <c r="H130">
        <v>1.0329999999999999</v>
      </c>
    </row>
    <row r="131" spans="1:8" x14ac:dyDescent="0.25">
      <c r="A131" t="s">
        <v>137</v>
      </c>
      <c r="B131">
        <v>67810</v>
      </c>
      <c r="C131">
        <v>8002270966576</v>
      </c>
      <c r="D131">
        <v>12.9</v>
      </c>
      <c r="E131">
        <v>8.57</v>
      </c>
      <c r="F131" s="3">
        <v>0.33840000000000003</v>
      </c>
      <c r="G131">
        <v>8.5350999999999999</v>
      </c>
      <c r="H131">
        <v>0.1</v>
      </c>
    </row>
    <row r="132" spans="1:8" x14ac:dyDescent="0.25">
      <c r="A132" t="s">
        <v>138</v>
      </c>
      <c r="B132">
        <v>5832</v>
      </c>
      <c r="C132">
        <v>8000815065265</v>
      </c>
      <c r="D132">
        <v>19.899999999999999</v>
      </c>
      <c r="E132">
        <v>12.25</v>
      </c>
      <c r="F132" s="3">
        <v>0.38719999999999999</v>
      </c>
      <c r="G132">
        <v>12.1938</v>
      </c>
      <c r="H132">
        <v>6.7000000000000004E-2</v>
      </c>
    </row>
    <row r="133" spans="1:8" x14ac:dyDescent="0.25">
      <c r="A133" t="s">
        <v>139</v>
      </c>
      <c r="B133">
        <v>5854</v>
      </c>
      <c r="C133">
        <v>7896371000144</v>
      </c>
      <c r="D133">
        <v>3.79</v>
      </c>
      <c r="E133">
        <v>2.19</v>
      </c>
      <c r="F133" s="3">
        <v>0.41170000000000001</v>
      </c>
      <c r="G133">
        <v>2.2294999999999998</v>
      </c>
      <c r="H133">
        <v>198.03299999999999</v>
      </c>
    </row>
    <row r="134" spans="1:8" x14ac:dyDescent="0.25">
      <c r="A134" t="s">
        <v>140</v>
      </c>
      <c r="B134">
        <v>5883</v>
      </c>
      <c r="C134">
        <v>7896371000052</v>
      </c>
      <c r="D134">
        <v>3.19</v>
      </c>
      <c r="E134">
        <v>1.98</v>
      </c>
      <c r="F134" s="3">
        <v>0.38069999999999998</v>
      </c>
      <c r="G134">
        <v>1.9756</v>
      </c>
      <c r="H134">
        <v>423.96699999999998</v>
      </c>
    </row>
    <row r="135" spans="1:8" x14ac:dyDescent="0.25">
      <c r="A135" t="s">
        <v>141</v>
      </c>
      <c r="B135">
        <v>24201</v>
      </c>
      <c r="C135">
        <v>7894900530025</v>
      </c>
      <c r="D135">
        <v>2.89</v>
      </c>
      <c r="E135">
        <v>1.75</v>
      </c>
      <c r="F135" s="3">
        <v>0.39409999999999995</v>
      </c>
      <c r="G135">
        <v>1.7512000000000001</v>
      </c>
      <c r="H135">
        <v>92.033000000000001</v>
      </c>
    </row>
    <row r="136" spans="1:8" x14ac:dyDescent="0.25">
      <c r="A136" t="s">
        <v>142</v>
      </c>
      <c r="B136">
        <v>5858</v>
      </c>
      <c r="C136">
        <v>7894900531008</v>
      </c>
      <c r="D136">
        <v>2.4900000000000002</v>
      </c>
      <c r="E136">
        <v>1.79</v>
      </c>
      <c r="F136" s="3">
        <v>0.28100000000000003</v>
      </c>
      <c r="G136">
        <v>1.7903</v>
      </c>
      <c r="H136">
        <v>451.46699999999998</v>
      </c>
    </row>
    <row r="137" spans="1:8" x14ac:dyDescent="0.25">
      <c r="A137" t="s">
        <v>143</v>
      </c>
      <c r="B137">
        <v>5881</v>
      </c>
      <c r="C137">
        <v>7894900530001</v>
      </c>
      <c r="D137">
        <v>2.19</v>
      </c>
      <c r="E137">
        <v>1.27</v>
      </c>
      <c r="F137" s="3">
        <v>0.42049999999999998</v>
      </c>
      <c r="G137">
        <v>1.2689999999999999</v>
      </c>
      <c r="H137">
        <v>291.36700000000002</v>
      </c>
    </row>
    <row r="138" spans="1:8" x14ac:dyDescent="0.25">
      <c r="A138" t="s">
        <v>144</v>
      </c>
      <c r="B138">
        <v>5877</v>
      </c>
      <c r="C138">
        <v>7896371000113</v>
      </c>
      <c r="D138">
        <v>10.69</v>
      </c>
      <c r="E138">
        <v>7.38</v>
      </c>
      <c r="F138" s="3">
        <v>0.31190000000000001</v>
      </c>
      <c r="G138">
        <v>7.3556999999999997</v>
      </c>
      <c r="H138">
        <v>73.400000000000006</v>
      </c>
    </row>
    <row r="139" spans="1:8" x14ac:dyDescent="0.25">
      <c r="A139" t="s">
        <v>145</v>
      </c>
      <c r="B139">
        <v>5870</v>
      </c>
      <c r="C139">
        <v>7896371050163</v>
      </c>
      <c r="D139">
        <v>2.4900000000000002</v>
      </c>
      <c r="E139">
        <v>1.78</v>
      </c>
      <c r="F139" s="3">
        <v>0.28510000000000002</v>
      </c>
      <c r="G139">
        <v>1.78</v>
      </c>
      <c r="H139">
        <v>167.51499999999999</v>
      </c>
    </row>
    <row r="140" spans="1:8" x14ac:dyDescent="0.25">
      <c r="A140" t="s">
        <v>146</v>
      </c>
      <c r="B140">
        <v>5871</v>
      </c>
      <c r="C140">
        <v>7896371050149</v>
      </c>
      <c r="D140">
        <v>2.4900000000000002</v>
      </c>
      <c r="E140">
        <v>1.65</v>
      </c>
      <c r="F140" s="3">
        <v>0.33539999999999998</v>
      </c>
      <c r="G140">
        <v>1.655</v>
      </c>
      <c r="H140">
        <v>39.267000000000003</v>
      </c>
    </row>
    <row r="141" spans="1:8" x14ac:dyDescent="0.25">
      <c r="A141" t="s">
        <v>147</v>
      </c>
      <c r="B141">
        <v>68135</v>
      </c>
      <c r="C141">
        <v>7898968759015</v>
      </c>
      <c r="D141">
        <v>2.99</v>
      </c>
      <c r="E141">
        <v>2.2400000000000002</v>
      </c>
      <c r="F141" s="3">
        <v>0.25</v>
      </c>
      <c r="G141">
        <v>2.2425000000000002</v>
      </c>
      <c r="H141">
        <v>20.766999999999999</v>
      </c>
    </row>
    <row r="142" spans="1:8" x14ac:dyDescent="0.25">
      <c r="A142" t="s">
        <v>148</v>
      </c>
      <c r="B142">
        <v>68136</v>
      </c>
      <c r="C142">
        <v>7898968759008</v>
      </c>
      <c r="D142">
        <v>2.99</v>
      </c>
      <c r="E142">
        <v>2.23</v>
      </c>
      <c r="F142" s="3">
        <v>0.25409999999999999</v>
      </c>
      <c r="G142">
        <v>2.2302</v>
      </c>
      <c r="H142">
        <v>9.9</v>
      </c>
    </row>
    <row r="143" spans="1:8" x14ac:dyDescent="0.25">
      <c r="A143" t="s">
        <v>149</v>
      </c>
      <c r="B143">
        <v>13268</v>
      </c>
      <c r="C143">
        <v>7896065870510</v>
      </c>
      <c r="D143">
        <v>3.79</v>
      </c>
      <c r="E143">
        <v>2.5299999999999998</v>
      </c>
      <c r="F143" s="3">
        <v>0.33189999999999997</v>
      </c>
      <c r="G143">
        <v>2.5318999999999998</v>
      </c>
      <c r="H143">
        <v>130.233</v>
      </c>
    </row>
    <row r="144" spans="1:8" x14ac:dyDescent="0.25">
      <c r="A144" t="s">
        <v>150</v>
      </c>
      <c r="B144">
        <v>5583</v>
      </c>
      <c r="C144">
        <v>7896065880106</v>
      </c>
      <c r="D144">
        <v>3.29</v>
      </c>
      <c r="E144">
        <v>2.37</v>
      </c>
      <c r="F144" s="3">
        <v>0.2666</v>
      </c>
      <c r="G144">
        <v>2.4129</v>
      </c>
      <c r="H144">
        <v>336.63299999999998</v>
      </c>
    </row>
    <row r="145" spans="1:8" x14ac:dyDescent="0.25">
      <c r="A145" t="s">
        <v>151</v>
      </c>
      <c r="B145">
        <v>57348</v>
      </c>
      <c r="C145">
        <v>7896065815016</v>
      </c>
      <c r="D145">
        <v>17.899999999999999</v>
      </c>
      <c r="E145">
        <v>13.11</v>
      </c>
      <c r="F145" s="3">
        <v>0.26669999999999999</v>
      </c>
      <c r="G145">
        <v>13.126099999999999</v>
      </c>
      <c r="H145">
        <v>81.233000000000004</v>
      </c>
    </row>
    <row r="146" spans="1:8" x14ac:dyDescent="0.25">
      <c r="A146" t="s">
        <v>152</v>
      </c>
      <c r="B146">
        <v>5574</v>
      </c>
      <c r="C146">
        <v>7896065870497</v>
      </c>
      <c r="D146">
        <v>2.79</v>
      </c>
      <c r="E146">
        <v>1.85</v>
      </c>
      <c r="F146" s="3">
        <v>0.32539999999999997</v>
      </c>
      <c r="G146">
        <v>1.8819999999999999</v>
      </c>
      <c r="H146">
        <v>142.80000000000001</v>
      </c>
    </row>
    <row r="147" spans="1:8" x14ac:dyDescent="0.25">
      <c r="A147" t="s">
        <v>153</v>
      </c>
      <c r="B147">
        <v>5576</v>
      </c>
      <c r="C147">
        <v>7896065880069</v>
      </c>
      <c r="D147">
        <v>2.19</v>
      </c>
      <c r="E147">
        <v>1.51</v>
      </c>
      <c r="F147" s="3">
        <v>0.30590000000000001</v>
      </c>
      <c r="G147">
        <v>1.5201</v>
      </c>
      <c r="H147">
        <v>224.833</v>
      </c>
    </row>
    <row r="148" spans="1:8" x14ac:dyDescent="0.25">
      <c r="A148" t="s">
        <v>154</v>
      </c>
      <c r="B148">
        <v>5585</v>
      </c>
      <c r="C148">
        <v>7896065810592</v>
      </c>
      <c r="D148">
        <v>10.9</v>
      </c>
      <c r="E148">
        <v>8.0500000000000007</v>
      </c>
      <c r="F148" s="3">
        <v>0.25609999999999999</v>
      </c>
      <c r="G148">
        <v>8.1081000000000003</v>
      </c>
      <c r="H148">
        <v>30.433</v>
      </c>
    </row>
    <row r="149" spans="1:8" x14ac:dyDescent="0.25">
      <c r="A149" t="s">
        <v>155</v>
      </c>
      <c r="B149">
        <v>5842</v>
      </c>
      <c r="C149">
        <v>7896062800176</v>
      </c>
      <c r="D149">
        <v>2.99</v>
      </c>
      <c r="E149">
        <v>2.1</v>
      </c>
      <c r="F149" s="3">
        <v>0.29520000000000002</v>
      </c>
      <c r="G149">
        <v>2.1074000000000002</v>
      </c>
      <c r="H149">
        <v>299.66699999999997</v>
      </c>
    </row>
    <row r="150" spans="1:8" x14ac:dyDescent="0.25">
      <c r="A150" t="s">
        <v>156</v>
      </c>
      <c r="B150">
        <v>57970</v>
      </c>
      <c r="C150">
        <v>7896062800237</v>
      </c>
      <c r="D150">
        <v>12.49</v>
      </c>
      <c r="E150">
        <v>8.3699999999999992</v>
      </c>
      <c r="F150" s="3">
        <v>0.3301</v>
      </c>
      <c r="G150">
        <v>8.3674999999999997</v>
      </c>
      <c r="H150">
        <v>15.233000000000001</v>
      </c>
    </row>
    <row r="151" spans="1:8" x14ac:dyDescent="0.25">
      <c r="A151" t="s">
        <v>157</v>
      </c>
      <c r="B151">
        <v>59198</v>
      </c>
      <c r="C151">
        <v>7613287525758</v>
      </c>
      <c r="D151">
        <v>13.9</v>
      </c>
      <c r="E151">
        <v>9.6</v>
      </c>
      <c r="F151" s="3">
        <v>0.30930000000000002</v>
      </c>
      <c r="G151">
        <v>9.6013000000000002</v>
      </c>
      <c r="H151">
        <v>0.83299999999999996</v>
      </c>
    </row>
    <row r="152" spans="1:8" x14ac:dyDescent="0.25">
      <c r="A152" t="s">
        <v>158</v>
      </c>
      <c r="B152">
        <v>5844</v>
      </c>
      <c r="C152">
        <v>7613287922618</v>
      </c>
      <c r="D152">
        <v>12.9</v>
      </c>
      <c r="E152">
        <v>9.16</v>
      </c>
      <c r="F152" s="3">
        <v>0.29170000000000001</v>
      </c>
      <c r="G152">
        <v>9.1365999999999996</v>
      </c>
      <c r="H152">
        <v>0.63300000000000001</v>
      </c>
    </row>
    <row r="153" spans="1:8" x14ac:dyDescent="0.25">
      <c r="A153" t="s">
        <v>159</v>
      </c>
      <c r="B153">
        <v>59199</v>
      </c>
      <c r="C153">
        <v>8002270566554</v>
      </c>
      <c r="D153">
        <v>21.49</v>
      </c>
      <c r="E153">
        <v>15</v>
      </c>
      <c r="F153" s="3">
        <v>0.3019</v>
      </c>
      <c r="G153">
        <v>15.0032</v>
      </c>
      <c r="H153">
        <v>29.3</v>
      </c>
    </row>
    <row r="154" spans="1:8" x14ac:dyDescent="0.25">
      <c r="A154" t="s">
        <v>160</v>
      </c>
      <c r="B154">
        <v>21861</v>
      </c>
      <c r="C154">
        <v>8002270015991</v>
      </c>
      <c r="D154">
        <v>13.9</v>
      </c>
      <c r="E154">
        <v>9.17</v>
      </c>
      <c r="F154" s="3">
        <v>0.3306</v>
      </c>
      <c r="G154">
        <v>9.3047000000000004</v>
      </c>
      <c r="H154">
        <v>0.66700000000000004</v>
      </c>
    </row>
    <row r="155" spans="1:8" x14ac:dyDescent="0.25">
      <c r="A155" t="s">
        <v>161</v>
      </c>
      <c r="B155">
        <v>67811</v>
      </c>
      <c r="C155">
        <v>41508803052</v>
      </c>
      <c r="D155">
        <v>16.29</v>
      </c>
      <c r="E155">
        <v>11.26</v>
      </c>
      <c r="F155" s="3">
        <v>0.30909999999999999</v>
      </c>
      <c r="G155">
        <v>11.255000000000001</v>
      </c>
      <c r="H155">
        <v>0</v>
      </c>
    </row>
    <row r="156" spans="1:8" x14ac:dyDescent="0.25">
      <c r="A156" t="s">
        <v>162</v>
      </c>
      <c r="B156">
        <v>59200</v>
      </c>
      <c r="C156">
        <v>8002270136559</v>
      </c>
      <c r="D156">
        <v>10.9</v>
      </c>
      <c r="E156">
        <v>8.9700000000000006</v>
      </c>
      <c r="F156" s="3">
        <v>0.16519999999999999</v>
      </c>
      <c r="G156">
        <v>9.0995000000000008</v>
      </c>
      <c r="H156">
        <v>1.633</v>
      </c>
    </row>
    <row r="157" spans="1:8" x14ac:dyDescent="0.25">
      <c r="A157" t="s">
        <v>163</v>
      </c>
      <c r="B157">
        <v>5839</v>
      </c>
      <c r="C157">
        <v>8002270536472</v>
      </c>
      <c r="D157">
        <v>12.49</v>
      </c>
      <c r="E157">
        <v>11.12</v>
      </c>
      <c r="F157" s="3">
        <v>0.11470000000000001</v>
      </c>
      <c r="G157">
        <v>11.0579</v>
      </c>
      <c r="H157">
        <v>6.1</v>
      </c>
    </row>
    <row r="158" spans="1:8" x14ac:dyDescent="0.25">
      <c r="A158" t="s">
        <v>164</v>
      </c>
      <c r="B158">
        <v>5847</v>
      </c>
      <c r="C158">
        <v>7896062801067</v>
      </c>
      <c r="D158">
        <v>4.9000000000000004</v>
      </c>
      <c r="E158">
        <v>3.38</v>
      </c>
      <c r="F158" s="3">
        <v>0.30940000000000001</v>
      </c>
      <c r="G158">
        <v>3.3841000000000001</v>
      </c>
      <c r="H158">
        <v>56.732999999999997</v>
      </c>
    </row>
    <row r="159" spans="1:8" x14ac:dyDescent="0.25">
      <c r="A159" t="s">
        <v>165</v>
      </c>
      <c r="B159">
        <v>40761</v>
      </c>
      <c r="C159">
        <v>7896062801203</v>
      </c>
      <c r="D159">
        <v>2.99</v>
      </c>
      <c r="E159">
        <v>1.86</v>
      </c>
      <c r="F159" s="3">
        <v>0.34720000000000001</v>
      </c>
      <c r="G159">
        <v>1.9518</v>
      </c>
      <c r="H159">
        <v>95.533000000000001</v>
      </c>
    </row>
    <row r="160" spans="1:8" x14ac:dyDescent="0.25">
      <c r="A160" t="s">
        <v>166</v>
      </c>
      <c r="B160">
        <v>5850</v>
      </c>
      <c r="C160">
        <v>7896062801050</v>
      </c>
      <c r="D160">
        <v>3.29</v>
      </c>
      <c r="E160">
        <v>1.89</v>
      </c>
      <c r="F160" s="3">
        <v>0.3987</v>
      </c>
      <c r="G160">
        <v>1.9783999999999999</v>
      </c>
      <c r="H160">
        <v>55.567</v>
      </c>
    </row>
    <row r="161" spans="1:8" x14ac:dyDescent="0.25">
      <c r="A161" t="s">
        <v>167</v>
      </c>
      <c r="B161">
        <v>56931</v>
      </c>
      <c r="C161">
        <v>7894900524505</v>
      </c>
      <c r="D161">
        <v>5.49</v>
      </c>
      <c r="E161">
        <v>3.29</v>
      </c>
      <c r="F161" s="3">
        <v>0.40399999999999997</v>
      </c>
      <c r="G161">
        <v>3.2719999999999998</v>
      </c>
      <c r="H161">
        <v>10</v>
      </c>
    </row>
    <row r="162" spans="1:8" x14ac:dyDescent="0.25">
      <c r="A162" t="s">
        <v>168</v>
      </c>
      <c r="B162">
        <v>53858</v>
      </c>
      <c r="C162">
        <v>7894900524000</v>
      </c>
      <c r="D162">
        <v>5.49</v>
      </c>
      <c r="E162">
        <v>3.4</v>
      </c>
      <c r="F162" s="3">
        <v>0.38479999999999998</v>
      </c>
      <c r="G162">
        <v>3.3776999999999999</v>
      </c>
      <c r="H162">
        <v>7.1669999999999998</v>
      </c>
    </row>
    <row r="163" spans="1:8" x14ac:dyDescent="0.25">
      <c r="A163" t="s">
        <v>169</v>
      </c>
      <c r="B163">
        <v>63959</v>
      </c>
      <c r="C163">
        <v>56004083</v>
      </c>
      <c r="D163">
        <v>13.9</v>
      </c>
      <c r="E163">
        <v>10.53</v>
      </c>
      <c r="F163" s="3">
        <v>0.23910000000000001</v>
      </c>
      <c r="G163">
        <v>10.576000000000001</v>
      </c>
      <c r="H163">
        <v>2.3330000000000002</v>
      </c>
    </row>
    <row r="164" spans="1:8" x14ac:dyDescent="0.25">
      <c r="A164" t="s">
        <v>170</v>
      </c>
      <c r="B164">
        <v>4877</v>
      </c>
      <c r="C164">
        <v>7891038160308</v>
      </c>
      <c r="D164">
        <v>12.9</v>
      </c>
      <c r="E164">
        <v>8.31</v>
      </c>
      <c r="F164" s="3">
        <v>0.32299999999999995</v>
      </c>
      <c r="G164">
        <v>7.5396000000000001</v>
      </c>
      <c r="H164">
        <v>0.63300000000000001</v>
      </c>
    </row>
    <row r="165" spans="1:8" x14ac:dyDescent="0.25">
      <c r="A165" t="s">
        <v>171</v>
      </c>
      <c r="B165">
        <v>4878</v>
      </c>
      <c r="C165">
        <v>7891038161602</v>
      </c>
      <c r="D165">
        <v>22.9</v>
      </c>
      <c r="E165">
        <v>14.93</v>
      </c>
      <c r="F165" s="3">
        <v>0.31590000000000001</v>
      </c>
      <c r="G165">
        <v>13.5466</v>
      </c>
      <c r="H165">
        <v>2.2999999999999998</v>
      </c>
    </row>
    <row r="166" spans="1:8" x14ac:dyDescent="0.25">
      <c r="A166" t="s">
        <v>172</v>
      </c>
      <c r="B166">
        <v>5236</v>
      </c>
      <c r="C166">
        <v>7896083800032</v>
      </c>
      <c r="D166">
        <v>4.49</v>
      </c>
      <c r="E166">
        <v>2.56</v>
      </c>
      <c r="F166" s="3">
        <v>0.38850000000000001</v>
      </c>
      <c r="G166">
        <v>2.3304999999999998</v>
      </c>
      <c r="H166">
        <v>48.966999999999999</v>
      </c>
    </row>
    <row r="167" spans="1:8" x14ac:dyDescent="0.25">
      <c r="A167" t="s">
        <v>173</v>
      </c>
      <c r="B167">
        <v>5237</v>
      </c>
      <c r="C167">
        <v>7896083800155</v>
      </c>
      <c r="D167">
        <v>7.9</v>
      </c>
      <c r="E167">
        <v>4.53</v>
      </c>
      <c r="F167" s="3">
        <v>0.38409999999999994</v>
      </c>
      <c r="G167">
        <v>4.1349</v>
      </c>
      <c r="H167">
        <v>159.03299999999999</v>
      </c>
    </row>
    <row r="168" spans="1:8" x14ac:dyDescent="0.25">
      <c r="A168" t="s">
        <v>174</v>
      </c>
      <c r="B168">
        <v>5238</v>
      </c>
      <c r="C168">
        <v>7896083800254</v>
      </c>
      <c r="D168">
        <v>17.899999999999999</v>
      </c>
      <c r="E168">
        <v>10.67</v>
      </c>
      <c r="F168" s="3">
        <v>0.3669</v>
      </c>
      <c r="G168">
        <v>9.6774000000000004</v>
      </c>
      <c r="H168">
        <v>17.067</v>
      </c>
    </row>
    <row r="169" spans="1:8" x14ac:dyDescent="0.25">
      <c r="A169" t="s">
        <v>175</v>
      </c>
      <c r="B169">
        <v>5239</v>
      </c>
      <c r="C169">
        <v>7896098904671</v>
      </c>
      <c r="D169">
        <v>4.9000000000000004</v>
      </c>
      <c r="E169">
        <v>2.42</v>
      </c>
      <c r="F169" s="3">
        <v>0.45850000000000002</v>
      </c>
      <c r="G169">
        <v>2.2000000000000002</v>
      </c>
      <c r="H169">
        <v>15.467000000000001</v>
      </c>
    </row>
    <row r="170" spans="1:8" x14ac:dyDescent="0.25">
      <c r="A170" t="s">
        <v>176</v>
      </c>
      <c r="B170">
        <v>5240</v>
      </c>
      <c r="C170">
        <v>7896098904688</v>
      </c>
      <c r="D170">
        <v>8.9</v>
      </c>
      <c r="E170">
        <v>4.41</v>
      </c>
      <c r="F170" s="3">
        <v>0.45810000000000001</v>
      </c>
      <c r="G170">
        <v>3.9996999999999998</v>
      </c>
      <c r="H170">
        <v>17.567</v>
      </c>
    </row>
    <row r="171" spans="1:8" x14ac:dyDescent="0.25">
      <c r="A171" t="s">
        <v>177</v>
      </c>
      <c r="B171">
        <v>16785</v>
      </c>
      <c r="C171">
        <v>7896098904664</v>
      </c>
      <c r="D171">
        <v>18.899999999999999</v>
      </c>
      <c r="E171">
        <v>9.92</v>
      </c>
      <c r="F171" s="3">
        <v>0.43130000000000002</v>
      </c>
      <c r="G171">
        <v>8.9997000000000007</v>
      </c>
      <c r="H171">
        <v>12.233000000000001</v>
      </c>
    </row>
    <row r="172" spans="1:8" x14ac:dyDescent="0.25">
      <c r="A172" t="s">
        <v>178</v>
      </c>
      <c r="B172">
        <v>57295</v>
      </c>
      <c r="C172">
        <v>7891991015936</v>
      </c>
      <c r="D172">
        <v>3.19</v>
      </c>
      <c r="E172">
        <v>1.92</v>
      </c>
      <c r="F172" s="3">
        <v>0.39960000000000001</v>
      </c>
      <c r="G172">
        <v>1.9153</v>
      </c>
      <c r="H172">
        <v>77.566999999999993</v>
      </c>
    </row>
    <row r="173" spans="1:8" x14ac:dyDescent="0.25">
      <c r="A173" t="s">
        <v>179</v>
      </c>
      <c r="B173">
        <v>59236</v>
      </c>
      <c r="C173">
        <v>7891991015974</v>
      </c>
      <c r="D173">
        <v>3.19</v>
      </c>
      <c r="E173">
        <v>1.9</v>
      </c>
      <c r="F173" s="3">
        <v>0.40460000000000002</v>
      </c>
      <c r="G173">
        <v>1.8992</v>
      </c>
      <c r="H173">
        <v>23.4</v>
      </c>
    </row>
    <row r="174" spans="1:8" x14ac:dyDescent="0.25">
      <c r="A174" t="s">
        <v>180</v>
      </c>
      <c r="B174">
        <v>57294</v>
      </c>
      <c r="C174">
        <v>7891991015998</v>
      </c>
      <c r="D174">
        <v>2.99</v>
      </c>
      <c r="E174">
        <v>2.16</v>
      </c>
      <c r="F174" s="3">
        <v>0.27760000000000001</v>
      </c>
      <c r="G174">
        <v>2.1598999999999999</v>
      </c>
      <c r="H174">
        <v>15.567</v>
      </c>
    </row>
    <row r="175" spans="1:8" x14ac:dyDescent="0.25">
      <c r="A175" t="s">
        <v>181</v>
      </c>
      <c r="B175">
        <v>57296</v>
      </c>
      <c r="C175">
        <v>7891991015950</v>
      </c>
      <c r="D175">
        <v>3.19</v>
      </c>
      <c r="E175">
        <v>1.91</v>
      </c>
      <c r="F175" s="3">
        <v>0.40229999999999999</v>
      </c>
      <c r="G175">
        <v>1.9067000000000001</v>
      </c>
      <c r="H175">
        <v>96.1</v>
      </c>
    </row>
    <row r="176" spans="1:8" x14ac:dyDescent="0.25">
      <c r="A176" t="s">
        <v>182</v>
      </c>
      <c r="B176">
        <v>5591</v>
      </c>
      <c r="C176">
        <v>7891991000840</v>
      </c>
      <c r="D176">
        <v>3.99</v>
      </c>
      <c r="E176">
        <v>2.48</v>
      </c>
      <c r="F176" s="3">
        <v>0.37689999999999996</v>
      </c>
      <c r="G176">
        <v>2.4862000000000002</v>
      </c>
      <c r="H176">
        <v>60.732999999999997</v>
      </c>
    </row>
    <row r="177" spans="1:8" x14ac:dyDescent="0.25">
      <c r="A177" t="s">
        <v>183</v>
      </c>
      <c r="B177">
        <v>5589</v>
      </c>
      <c r="C177">
        <v>7891991000888</v>
      </c>
      <c r="D177">
        <v>3.99</v>
      </c>
      <c r="E177">
        <v>2.6</v>
      </c>
      <c r="F177" s="3">
        <v>0.36310000000000003</v>
      </c>
      <c r="G177">
        <v>2.5411000000000001</v>
      </c>
      <c r="H177">
        <v>81.066999999999993</v>
      </c>
    </row>
    <row r="178" spans="1:8" x14ac:dyDescent="0.25">
      <c r="A178" t="s">
        <v>184</v>
      </c>
      <c r="B178">
        <v>65010</v>
      </c>
      <c r="C178">
        <v>7896052607228</v>
      </c>
      <c r="D178">
        <v>2.99</v>
      </c>
      <c r="E178">
        <v>2.31</v>
      </c>
      <c r="F178" s="3">
        <v>0.19159999999999999</v>
      </c>
      <c r="G178">
        <v>2.4171999999999998</v>
      </c>
      <c r="H178">
        <v>9.6999999999999993</v>
      </c>
    </row>
    <row r="179" spans="1:8" x14ac:dyDescent="0.25">
      <c r="A179" t="s">
        <v>185</v>
      </c>
      <c r="B179">
        <v>65015</v>
      </c>
      <c r="C179">
        <v>7896052607587</v>
      </c>
      <c r="D179">
        <v>2.79</v>
      </c>
      <c r="E179">
        <v>1.89</v>
      </c>
      <c r="F179" s="3">
        <v>0.32179999999999997</v>
      </c>
      <c r="G179">
        <v>1.8922000000000001</v>
      </c>
      <c r="H179">
        <v>6.0670000000000002</v>
      </c>
    </row>
    <row r="180" spans="1:8" x14ac:dyDescent="0.25">
      <c r="A180" t="s">
        <v>186</v>
      </c>
      <c r="B180">
        <v>66963</v>
      </c>
      <c r="C180">
        <v>7898950338457</v>
      </c>
      <c r="D180">
        <v>6.49</v>
      </c>
      <c r="E180">
        <v>4.16</v>
      </c>
      <c r="F180" s="3">
        <v>0.33500000000000002</v>
      </c>
      <c r="G180">
        <v>4.3159999999999998</v>
      </c>
      <c r="H180">
        <v>0.6</v>
      </c>
    </row>
    <row r="181" spans="1:8" x14ac:dyDescent="0.25">
      <c r="A181" t="s">
        <v>187</v>
      </c>
      <c r="B181">
        <v>66965</v>
      </c>
      <c r="C181">
        <v>7898950338365</v>
      </c>
      <c r="D181">
        <v>6.49</v>
      </c>
      <c r="E181">
        <v>4.07</v>
      </c>
      <c r="F181" s="3">
        <v>0.33049999999999996</v>
      </c>
      <c r="G181">
        <v>4.3448000000000002</v>
      </c>
      <c r="H181">
        <v>0.5</v>
      </c>
    </row>
    <row r="182" spans="1:8" x14ac:dyDescent="0.25">
      <c r="A182" t="s">
        <v>188</v>
      </c>
      <c r="B182">
        <v>66964</v>
      </c>
      <c r="C182">
        <v>7898950338464</v>
      </c>
      <c r="D182">
        <v>6.49</v>
      </c>
      <c r="E182">
        <v>3.98</v>
      </c>
      <c r="F182" s="3">
        <v>0.3468</v>
      </c>
      <c r="G182">
        <v>4.2392000000000003</v>
      </c>
      <c r="H182">
        <v>1.9</v>
      </c>
    </row>
    <row r="183" spans="1:8" x14ac:dyDescent="0.25">
      <c r="A183" t="s">
        <v>189</v>
      </c>
      <c r="B183">
        <v>66966</v>
      </c>
      <c r="C183">
        <v>7898950338495</v>
      </c>
      <c r="D183">
        <v>6.49</v>
      </c>
      <c r="E183">
        <v>3.97</v>
      </c>
      <c r="F183" s="3">
        <v>0.38060000000000005</v>
      </c>
      <c r="G183">
        <v>4.0197000000000003</v>
      </c>
      <c r="H183">
        <v>1.4</v>
      </c>
    </row>
    <row r="184" spans="1:8" x14ac:dyDescent="0.25">
      <c r="A184" t="s">
        <v>190</v>
      </c>
      <c r="B184">
        <v>66969</v>
      </c>
      <c r="C184">
        <v>7898950338181</v>
      </c>
      <c r="D184">
        <v>6.49</v>
      </c>
      <c r="E184">
        <v>3.75</v>
      </c>
      <c r="F184" s="3">
        <v>0.41969999999999996</v>
      </c>
      <c r="G184">
        <v>3.7663000000000002</v>
      </c>
      <c r="H184">
        <v>2.2330000000000001</v>
      </c>
    </row>
    <row r="185" spans="1:8" x14ac:dyDescent="0.25">
      <c r="A185" t="s">
        <v>191</v>
      </c>
      <c r="B185">
        <v>60373</v>
      </c>
      <c r="C185">
        <v>7894900301755</v>
      </c>
      <c r="D185">
        <v>9.2200000000000006</v>
      </c>
      <c r="E185">
        <v>7.17</v>
      </c>
      <c r="F185" s="3">
        <v>0.2223</v>
      </c>
      <c r="G185">
        <v>7.1738</v>
      </c>
      <c r="H185">
        <v>9.2330000000000005</v>
      </c>
    </row>
    <row r="186" spans="1:8" x14ac:dyDescent="0.25">
      <c r="A186" t="s">
        <v>192</v>
      </c>
      <c r="B186">
        <v>63734</v>
      </c>
      <c r="C186">
        <v>7894900184402</v>
      </c>
      <c r="D186">
        <v>2.99</v>
      </c>
      <c r="E186">
        <v>2.25</v>
      </c>
      <c r="F186" s="3">
        <v>0.2475</v>
      </c>
      <c r="G186">
        <v>2.25</v>
      </c>
      <c r="H186">
        <v>10</v>
      </c>
    </row>
    <row r="187" spans="1:8" x14ac:dyDescent="0.25">
      <c r="A187" t="s">
        <v>193</v>
      </c>
      <c r="B187">
        <v>65033</v>
      </c>
      <c r="C187">
        <v>7894900184600</v>
      </c>
      <c r="D187">
        <v>2.99</v>
      </c>
      <c r="E187">
        <v>2.25</v>
      </c>
      <c r="F187" s="3">
        <v>0.2475</v>
      </c>
      <c r="G187">
        <v>2.25</v>
      </c>
      <c r="H187">
        <v>15.333</v>
      </c>
    </row>
    <row r="188" spans="1:8" x14ac:dyDescent="0.25">
      <c r="A188" t="s">
        <v>194</v>
      </c>
      <c r="B188">
        <v>58352</v>
      </c>
      <c r="C188">
        <v>7894900360394</v>
      </c>
      <c r="D188">
        <v>2.69</v>
      </c>
      <c r="E188">
        <v>1.88</v>
      </c>
      <c r="F188" s="3">
        <v>0.3024</v>
      </c>
      <c r="G188">
        <v>1.8765000000000001</v>
      </c>
      <c r="H188">
        <v>40.133000000000003</v>
      </c>
    </row>
    <row r="189" spans="1:8" x14ac:dyDescent="0.25">
      <c r="A189" t="s">
        <v>195</v>
      </c>
      <c r="B189">
        <v>65828</v>
      </c>
      <c r="C189">
        <v>7894900303407</v>
      </c>
      <c r="D189">
        <v>3.49</v>
      </c>
      <c r="E189">
        <v>2.92</v>
      </c>
      <c r="F189" s="3">
        <v>0.16879999999999998</v>
      </c>
      <c r="G189">
        <v>2.9007999999999998</v>
      </c>
      <c r="H189">
        <v>14.733000000000001</v>
      </c>
    </row>
    <row r="190" spans="1:8" x14ac:dyDescent="0.25">
      <c r="A190" t="s">
        <v>196</v>
      </c>
      <c r="B190">
        <v>5598</v>
      </c>
      <c r="C190">
        <v>7894900300017</v>
      </c>
      <c r="D190">
        <v>3.69</v>
      </c>
      <c r="E190">
        <v>2.29</v>
      </c>
      <c r="F190" s="3">
        <v>0.38250000000000001</v>
      </c>
      <c r="G190">
        <v>2.2784</v>
      </c>
      <c r="H190">
        <v>33.700000000000003</v>
      </c>
    </row>
    <row r="191" spans="1:8" x14ac:dyDescent="0.25">
      <c r="A191" t="s">
        <v>197</v>
      </c>
      <c r="B191">
        <v>51369</v>
      </c>
      <c r="C191">
        <v>7894900360011</v>
      </c>
      <c r="D191">
        <v>3.69</v>
      </c>
      <c r="E191">
        <v>2.52</v>
      </c>
      <c r="F191" s="3">
        <v>0.32229999999999998</v>
      </c>
      <c r="G191">
        <v>2.5007000000000001</v>
      </c>
      <c r="H191">
        <v>17.8</v>
      </c>
    </row>
    <row r="192" spans="1:8" x14ac:dyDescent="0.25">
      <c r="A192" t="s">
        <v>198</v>
      </c>
      <c r="B192">
        <v>60689</v>
      </c>
      <c r="C192">
        <v>7898152992259</v>
      </c>
      <c r="D192">
        <v>38.9</v>
      </c>
      <c r="E192">
        <v>25.66</v>
      </c>
      <c r="F192" s="3">
        <v>0.32579999999999998</v>
      </c>
      <c r="G192">
        <v>22.63</v>
      </c>
      <c r="H192">
        <v>1.0329999999999999</v>
      </c>
    </row>
    <row r="193" spans="1:8" x14ac:dyDescent="0.25">
      <c r="A193" t="s">
        <v>199</v>
      </c>
      <c r="B193">
        <v>8923</v>
      </c>
      <c r="C193">
        <v>7896196020013</v>
      </c>
      <c r="D193">
        <v>15.9</v>
      </c>
      <c r="E193">
        <v>11.35</v>
      </c>
      <c r="F193" s="3">
        <v>0.24660000000000001</v>
      </c>
      <c r="G193">
        <v>10.5078</v>
      </c>
      <c r="H193">
        <v>2</v>
      </c>
    </row>
    <row r="194" spans="1:8" x14ac:dyDescent="0.25">
      <c r="A194" t="s">
        <v>200</v>
      </c>
      <c r="B194">
        <v>36192</v>
      </c>
      <c r="C194">
        <v>8410182033055</v>
      </c>
      <c r="D194">
        <v>12.9</v>
      </c>
      <c r="E194">
        <v>10.3</v>
      </c>
      <c r="F194" s="3">
        <v>0.18210000000000001</v>
      </c>
      <c r="G194">
        <v>9.3569999999999993</v>
      </c>
      <c r="H194">
        <v>9.1329999999999991</v>
      </c>
    </row>
    <row r="195" spans="1:8" x14ac:dyDescent="0.25">
      <c r="A195" t="s">
        <v>201</v>
      </c>
      <c r="B195">
        <v>67645</v>
      </c>
      <c r="C195">
        <v>7896196062358</v>
      </c>
      <c r="D195">
        <v>54.25</v>
      </c>
      <c r="E195">
        <v>36.85</v>
      </c>
      <c r="F195" s="3">
        <v>0.2908</v>
      </c>
      <c r="G195">
        <v>33.458599999999997</v>
      </c>
      <c r="H195">
        <v>6.7000000000000004E-2</v>
      </c>
    </row>
    <row r="196" spans="1:8" x14ac:dyDescent="0.25">
      <c r="A196" t="s">
        <v>202</v>
      </c>
      <c r="B196">
        <v>50342</v>
      </c>
      <c r="C196">
        <v>7896090700776</v>
      </c>
      <c r="D196">
        <v>8.9</v>
      </c>
      <c r="E196">
        <v>4.7300000000000004</v>
      </c>
      <c r="F196" s="3">
        <v>0.33689999999999998</v>
      </c>
      <c r="G196">
        <v>3.476</v>
      </c>
      <c r="H196">
        <v>4.4000000000000004</v>
      </c>
    </row>
    <row r="197" spans="1:8" x14ac:dyDescent="0.25">
      <c r="A197" t="s">
        <v>203</v>
      </c>
      <c r="B197">
        <v>50341</v>
      </c>
      <c r="C197">
        <v>7896090700752</v>
      </c>
      <c r="D197">
        <v>8.9</v>
      </c>
      <c r="E197">
        <v>5.0599999999999996</v>
      </c>
      <c r="F197" s="3">
        <v>0.31579999999999997</v>
      </c>
      <c r="G197">
        <v>3.6640999999999999</v>
      </c>
      <c r="H197">
        <v>1.8</v>
      </c>
    </row>
    <row r="198" spans="1:8" x14ac:dyDescent="0.25">
      <c r="A198" t="s">
        <v>204</v>
      </c>
      <c r="B198">
        <v>5247</v>
      </c>
      <c r="C198">
        <v>7896090703609</v>
      </c>
      <c r="D198">
        <v>13.9</v>
      </c>
      <c r="E198">
        <v>8.34</v>
      </c>
      <c r="F198" s="3">
        <v>0.2908</v>
      </c>
      <c r="G198">
        <v>6.0696000000000003</v>
      </c>
      <c r="H198">
        <v>18.966999999999999</v>
      </c>
    </row>
    <row r="199" spans="1:8" x14ac:dyDescent="0.25">
      <c r="A199" t="s">
        <v>205</v>
      </c>
      <c r="B199">
        <v>5241</v>
      </c>
      <c r="C199">
        <v>7896090704460</v>
      </c>
      <c r="D199">
        <v>15.9</v>
      </c>
      <c r="E199">
        <v>10.42</v>
      </c>
      <c r="F199" s="3">
        <v>0.25129999999999997</v>
      </c>
      <c r="G199">
        <v>7.5717999999999996</v>
      </c>
      <c r="H199">
        <v>5.3330000000000002</v>
      </c>
    </row>
    <row r="200" spans="1:8" x14ac:dyDescent="0.25">
      <c r="A200" t="s">
        <v>206</v>
      </c>
      <c r="B200">
        <v>41043</v>
      </c>
      <c r="C200">
        <v>7896090704422</v>
      </c>
      <c r="D200">
        <v>15.9</v>
      </c>
      <c r="E200">
        <v>7.64</v>
      </c>
      <c r="F200" s="3">
        <v>0.43209999999999998</v>
      </c>
      <c r="G200">
        <v>6.1684000000000001</v>
      </c>
      <c r="H200">
        <v>0.8</v>
      </c>
    </row>
    <row r="201" spans="1:8" x14ac:dyDescent="0.25">
      <c r="A201" t="s">
        <v>207</v>
      </c>
      <c r="B201">
        <v>5242</v>
      </c>
      <c r="C201">
        <v>7896090704545</v>
      </c>
      <c r="D201">
        <v>19.899999999999999</v>
      </c>
      <c r="E201">
        <v>7.73</v>
      </c>
      <c r="F201" s="3">
        <v>0.4395</v>
      </c>
      <c r="G201">
        <v>5.7309000000000001</v>
      </c>
      <c r="H201">
        <v>1.9</v>
      </c>
    </row>
    <row r="202" spans="1:8" x14ac:dyDescent="0.25">
      <c r="A202" t="s">
        <v>208</v>
      </c>
      <c r="B202">
        <v>13239</v>
      </c>
      <c r="C202">
        <v>7896090703616</v>
      </c>
      <c r="D202">
        <v>8.9</v>
      </c>
      <c r="E202">
        <v>5.07</v>
      </c>
      <c r="F202" s="3">
        <v>0.31629999999999997</v>
      </c>
      <c r="G202">
        <v>3.6598000000000002</v>
      </c>
      <c r="H202">
        <v>6.7</v>
      </c>
    </row>
    <row r="203" spans="1:8" x14ac:dyDescent="0.25">
      <c r="A203" t="s">
        <v>209</v>
      </c>
      <c r="B203">
        <v>5245</v>
      </c>
      <c r="C203">
        <v>7896090703630</v>
      </c>
      <c r="D203">
        <v>8.9</v>
      </c>
      <c r="E203">
        <v>5.04</v>
      </c>
      <c r="F203" s="3">
        <v>0.31379999999999997</v>
      </c>
      <c r="G203">
        <v>3.6816</v>
      </c>
      <c r="H203">
        <v>2.6669999999999998</v>
      </c>
    </row>
    <row r="204" spans="1:8" x14ac:dyDescent="0.25">
      <c r="A204" t="s">
        <v>210</v>
      </c>
      <c r="B204">
        <v>5243</v>
      </c>
      <c r="C204">
        <v>7896090703913</v>
      </c>
      <c r="D204">
        <v>13.9</v>
      </c>
      <c r="E204">
        <v>8.4700000000000006</v>
      </c>
      <c r="F204" s="3">
        <v>0.28520000000000001</v>
      </c>
      <c r="G204">
        <v>6.1473000000000004</v>
      </c>
      <c r="H204">
        <v>10.1</v>
      </c>
    </row>
    <row r="205" spans="1:8" x14ac:dyDescent="0.25">
      <c r="A205" t="s">
        <v>211</v>
      </c>
      <c r="B205">
        <v>62781</v>
      </c>
      <c r="C205">
        <v>7896090704767</v>
      </c>
      <c r="D205">
        <v>9.9</v>
      </c>
      <c r="E205">
        <v>5.76</v>
      </c>
      <c r="F205" s="3">
        <v>0.38060000000000005</v>
      </c>
      <c r="G205">
        <v>5.2164999999999999</v>
      </c>
      <c r="H205">
        <v>8.9670000000000005</v>
      </c>
    </row>
    <row r="206" spans="1:8" x14ac:dyDescent="0.25">
      <c r="A206" t="s">
        <v>212</v>
      </c>
      <c r="B206">
        <v>5249</v>
      </c>
      <c r="C206">
        <v>7896090704729</v>
      </c>
      <c r="D206">
        <v>14.9</v>
      </c>
      <c r="E206">
        <v>7.47</v>
      </c>
      <c r="F206" s="3">
        <v>0.36369999999999997</v>
      </c>
      <c r="G206">
        <v>5.4200999999999997</v>
      </c>
      <c r="H206">
        <v>2.2330000000000001</v>
      </c>
    </row>
    <row r="207" spans="1:8" x14ac:dyDescent="0.25">
      <c r="A207" t="s">
        <v>213</v>
      </c>
      <c r="B207">
        <v>5251</v>
      </c>
      <c r="C207">
        <v>7896090704705</v>
      </c>
      <c r="D207">
        <v>14.9</v>
      </c>
      <c r="E207">
        <v>7.33</v>
      </c>
      <c r="F207" s="3">
        <v>0.36270000000000002</v>
      </c>
      <c r="G207">
        <v>5.4352999999999998</v>
      </c>
      <c r="H207">
        <v>6.633</v>
      </c>
    </row>
    <row r="208" spans="1:8" x14ac:dyDescent="0.25">
      <c r="A208" t="s">
        <v>214</v>
      </c>
      <c r="B208">
        <v>8411</v>
      </c>
      <c r="C208">
        <v>7896090704736</v>
      </c>
      <c r="D208">
        <v>7.9</v>
      </c>
      <c r="E208">
        <v>4.2</v>
      </c>
      <c r="F208" s="3">
        <v>0.33750000000000002</v>
      </c>
      <c r="G208">
        <v>3.0811000000000002</v>
      </c>
      <c r="H208">
        <v>3.9</v>
      </c>
    </row>
    <row r="209" spans="1:8" x14ac:dyDescent="0.25">
      <c r="A209" t="s">
        <v>215</v>
      </c>
      <c r="B209">
        <v>8098</v>
      </c>
      <c r="C209">
        <v>7896090704743</v>
      </c>
      <c r="D209">
        <v>8.9</v>
      </c>
      <c r="E209">
        <v>4.16</v>
      </c>
      <c r="F209" s="3">
        <v>0.38719999999999999</v>
      </c>
      <c r="G209">
        <v>3.0291000000000001</v>
      </c>
      <c r="H209">
        <v>1.4</v>
      </c>
    </row>
    <row r="210" spans="1:8" x14ac:dyDescent="0.25">
      <c r="A210" t="s">
        <v>216</v>
      </c>
      <c r="B210">
        <v>5256</v>
      </c>
      <c r="C210">
        <v>7896090704804</v>
      </c>
      <c r="D210">
        <v>12.9</v>
      </c>
      <c r="E210">
        <v>7.1</v>
      </c>
      <c r="F210" s="3">
        <v>0.4531</v>
      </c>
      <c r="G210">
        <v>7.0552000000000001</v>
      </c>
      <c r="H210">
        <v>11.7</v>
      </c>
    </row>
    <row r="211" spans="1:8" x14ac:dyDescent="0.25">
      <c r="A211" t="s">
        <v>217</v>
      </c>
      <c r="B211">
        <v>5255</v>
      </c>
      <c r="C211">
        <v>7896090704613</v>
      </c>
      <c r="D211">
        <v>9.9</v>
      </c>
      <c r="E211">
        <v>5.4</v>
      </c>
      <c r="F211" s="3">
        <v>0.45450000000000002</v>
      </c>
      <c r="G211">
        <v>5.4</v>
      </c>
      <c r="H211">
        <v>1</v>
      </c>
    </row>
    <row r="212" spans="1:8" x14ac:dyDescent="0.25">
      <c r="A212" t="s">
        <v>218</v>
      </c>
      <c r="B212">
        <v>26289</v>
      </c>
      <c r="C212">
        <v>7898629610082</v>
      </c>
      <c r="D212">
        <v>5.49</v>
      </c>
      <c r="E212">
        <v>1.75</v>
      </c>
      <c r="F212" s="3">
        <v>0.61819999999999997</v>
      </c>
      <c r="G212">
        <v>1.5881000000000001</v>
      </c>
      <c r="H212">
        <v>6.133</v>
      </c>
    </row>
    <row r="213" spans="1:8" x14ac:dyDescent="0.25">
      <c r="A213" t="s">
        <v>219</v>
      </c>
      <c r="B213">
        <v>17323</v>
      </c>
      <c r="C213">
        <v>7898115900963</v>
      </c>
      <c r="D213">
        <v>7.99</v>
      </c>
      <c r="E213">
        <v>5.4</v>
      </c>
      <c r="F213" s="3">
        <v>0.29410000000000003</v>
      </c>
      <c r="G213">
        <v>4.9015000000000004</v>
      </c>
      <c r="H213">
        <v>0.13300000000000001</v>
      </c>
    </row>
    <row r="214" spans="1:8" x14ac:dyDescent="0.25">
      <c r="A214" t="s">
        <v>220</v>
      </c>
      <c r="B214">
        <v>61111</v>
      </c>
      <c r="C214">
        <v>7898994498025</v>
      </c>
      <c r="D214">
        <v>9.75</v>
      </c>
      <c r="E214">
        <v>5.78</v>
      </c>
      <c r="F214" s="3">
        <v>0.38579999999999998</v>
      </c>
      <c r="G214">
        <v>5.0877999999999997</v>
      </c>
      <c r="H214">
        <v>21</v>
      </c>
    </row>
    <row r="215" spans="1:8" x14ac:dyDescent="0.25">
      <c r="A215" t="s">
        <v>221</v>
      </c>
      <c r="B215">
        <v>61112</v>
      </c>
      <c r="C215">
        <v>7898994498032</v>
      </c>
      <c r="D215">
        <v>5.9</v>
      </c>
      <c r="E215">
        <v>3.75</v>
      </c>
      <c r="F215" s="3">
        <v>0.3306</v>
      </c>
      <c r="G215">
        <v>3.4039000000000001</v>
      </c>
      <c r="H215">
        <v>35.267000000000003</v>
      </c>
    </row>
    <row r="216" spans="1:8" x14ac:dyDescent="0.25">
      <c r="A216" t="s">
        <v>222</v>
      </c>
      <c r="B216">
        <v>61115</v>
      </c>
      <c r="C216">
        <v>7898994498018</v>
      </c>
      <c r="D216">
        <v>5.9</v>
      </c>
      <c r="E216">
        <v>3.73</v>
      </c>
      <c r="F216" s="3">
        <v>0.33110000000000001</v>
      </c>
      <c r="G216">
        <v>3.4005999999999998</v>
      </c>
      <c r="H216">
        <v>71.933000000000007</v>
      </c>
    </row>
    <row r="217" spans="1:8" x14ac:dyDescent="0.25">
      <c r="A217" t="s">
        <v>223</v>
      </c>
      <c r="B217">
        <v>15260</v>
      </c>
      <c r="C217">
        <v>7460100840662</v>
      </c>
      <c r="D217">
        <v>27.9</v>
      </c>
      <c r="E217">
        <v>16.3</v>
      </c>
      <c r="F217" s="3">
        <v>0.3019</v>
      </c>
      <c r="G217">
        <v>11.873699999999999</v>
      </c>
      <c r="H217">
        <v>2.9</v>
      </c>
    </row>
    <row r="218" spans="1:8" x14ac:dyDescent="0.25">
      <c r="A218" t="s">
        <v>224</v>
      </c>
      <c r="B218">
        <v>45941</v>
      </c>
      <c r="C218">
        <v>6915917000460</v>
      </c>
      <c r="D218">
        <v>39.9</v>
      </c>
      <c r="E218">
        <v>22.4</v>
      </c>
      <c r="F218" s="3">
        <v>0.31900000000000001</v>
      </c>
      <c r="G218">
        <v>16.297599999999999</v>
      </c>
      <c r="H218">
        <v>2.7</v>
      </c>
    </row>
    <row r="219" spans="1:8" x14ac:dyDescent="0.25">
      <c r="A219" t="s">
        <v>225</v>
      </c>
      <c r="B219">
        <v>68194</v>
      </c>
      <c r="C219">
        <v>7896007803293</v>
      </c>
      <c r="D219">
        <v>21.9</v>
      </c>
      <c r="E219">
        <v>12.9</v>
      </c>
      <c r="F219" s="3">
        <v>0.3029</v>
      </c>
      <c r="G219">
        <v>9.2997999999999994</v>
      </c>
      <c r="H219">
        <v>9.3000000000000007</v>
      </c>
    </row>
    <row r="220" spans="1:8" x14ac:dyDescent="0.25">
      <c r="A220" t="s">
        <v>226</v>
      </c>
      <c r="B220">
        <v>31834</v>
      </c>
      <c r="C220">
        <v>7896007838776</v>
      </c>
      <c r="D220">
        <v>20.9</v>
      </c>
      <c r="E220">
        <v>12.2</v>
      </c>
      <c r="F220" s="3">
        <v>0.29109999999999997</v>
      </c>
      <c r="G220">
        <v>9.1204999999999998</v>
      </c>
      <c r="H220">
        <v>1.633</v>
      </c>
    </row>
    <row r="221" spans="1:8" x14ac:dyDescent="0.25">
      <c r="A221" t="s">
        <v>227</v>
      </c>
      <c r="B221">
        <v>63747</v>
      </c>
      <c r="C221">
        <v>7896224410724</v>
      </c>
      <c r="D221">
        <v>14.9</v>
      </c>
      <c r="E221">
        <v>7.76</v>
      </c>
      <c r="F221" s="3">
        <v>0.3488</v>
      </c>
      <c r="G221">
        <v>5.6425999999999998</v>
      </c>
      <c r="H221">
        <v>2.0329999999999999</v>
      </c>
    </row>
    <row r="222" spans="1:8" x14ac:dyDescent="0.25">
      <c r="A222" t="s">
        <v>228</v>
      </c>
      <c r="B222">
        <v>6930</v>
      </c>
      <c r="C222">
        <v>7896224410717</v>
      </c>
      <c r="D222">
        <v>7.9</v>
      </c>
      <c r="E222">
        <v>4.09</v>
      </c>
      <c r="F222" s="3">
        <v>0.3508</v>
      </c>
      <c r="G222">
        <v>2.9758</v>
      </c>
      <c r="H222">
        <v>2.7330000000000001</v>
      </c>
    </row>
    <row r="223" spans="1:8" x14ac:dyDescent="0.25">
      <c r="A223" t="s">
        <v>229</v>
      </c>
      <c r="B223">
        <v>63748</v>
      </c>
      <c r="C223">
        <v>7896224410670</v>
      </c>
      <c r="D223">
        <v>8.9</v>
      </c>
      <c r="E223">
        <v>5.05</v>
      </c>
      <c r="F223" s="3">
        <v>0.31489999999999996</v>
      </c>
      <c r="G223">
        <v>3.6720999999999999</v>
      </c>
      <c r="H223">
        <v>2.5329999999999999</v>
      </c>
    </row>
    <row r="224" spans="1:8" x14ac:dyDescent="0.25">
      <c r="A224" t="s">
        <v>230</v>
      </c>
      <c r="B224">
        <v>63749</v>
      </c>
      <c r="C224">
        <v>7896224410687</v>
      </c>
      <c r="D224">
        <v>16.899999999999999</v>
      </c>
      <c r="E224">
        <v>9.0399999999999991</v>
      </c>
      <c r="F224" s="3">
        <v>0.33829999999999999</v>
      </c>
      <c r="G224">
        <v>6.5777999999999999</v>
      </c>
      <c r="H224">
        <v>3.5329999999999999</v>
      </c>
    </row>
    <row r="225" spans="1:8" x14ac:dyDescent="0.25">
      <c r="A225" t="s">
        <v>231</v>
      </c>
      <c r="B225">
        <v>63746</v>
      </c>
      <c r="C225">
        <v>7896224410137</v>
      </c>
      <c r="D225">
        <v>14.9</v>
      </c>
      <c r="E225">
        <v>8.52</v>
      </c>
      <c r="F225" s="3">
        <v>0.31170000000000003</v>
      </c>
      <c r="G225">
        <v>6.1951000000000001</v>
      </c>
      <c r="H225">
        <v>0.33300000000000002</v>
      </c>
    </row>
    <row r="226" spans="1:8" x14ac:dyDescent="0.25">
      <c r="A226" t="s">
        <v>232</v>
      </c>
      <c r="B226">
        <v>6932</v>
      </c>
      <c r="C226">
        <v>7896224410113</v>
      </c>
      <c r="D226">
        <v>4.9000000000000004</v>
      </c>
      <c r="E226">
        <v>2.42</v>
      </c>
      <c r="F226" s="3">
        <v>0.36810000000000004</v>
      </c>
      <c r="G226">
        <v>1.7612000000000001</v>
      </c>
      <c r="H226">
        <v>2.1</v>
      </c>
    </row>
    <row r="227" spans="1:8" x14ac:dyDescent="0.25">
      <c r="A227" t="s">
        <v>233</v>
      </c>
      <c r="B227">
        <v>63753</v>
      </c>
      <c r="C227">
        <v>7896224410120</v>
      </c>
      <c r="D227">
        <v>7.9</v>
      </c>
      <c r="E227">
        <v>4.3899999999999997</v>
      </c>
      <c r="F227" s="3">
        <v>0.32340000000000002</v>
      </c>
      <c r="G227">
        <v>3.1928000000000001</v>
      </c>
      <c r="H227">
        <v>0.433</v>
      </c>
    </row>
    <row r="228" spans="1:8" x14ac:dyDescent="0.25">
      <c r="A228" t="s">
        <v>234</v>
      </c>
      <c r="B228">
        <v>63751</v>
      </c>
      <c r="C228">
        <v>7896224410335</v>
      </c>
      <c r="D228">
        <v>14.9</v>
      </c>
      <c r="E228">
        <v>8.6999999999999993</v>
      </c>
      <c r="F228" s="3">
        <v>0.30370000000000003</v>
      </c>
      <c r="G228">
        <v>6.3144</v>
      </c>
      <c r="H228">
        <v>0.7</v>
      </c>
    </row>
    <row r="229" spans="1:8" x14ac:dyDescent="0.25">
      <c r="A229" t="s">
        <v>235</v>
      </c>
      <c r="B229">
        <v>63750</v>
      </c>
      <c r="C229">
        <v>7896224410304</v>
      </c>
      <c r="D229">
        <v>7.9</v>
      </c>
      <c r="E229">
        <v>4.67</v>
      </c>
      <c r="F229" s="3">
        <v>0.29719999999999996</v>
      </c>
      <c r="G229">
        <v>3.399</v>
      </c>
      <c r="H229">
        <v>2</v>
      </c>
    </row>
    <row r="230" spans="1:8" x14ac:dyDescent="0.25">
      <c r="A230" t="s">
        <v>236</v>
      </c>
      <c r="B230">
        <v>21286</v>
      </c>
      <c r="C230">
        <v>7898954052113</v>
      </c>
      <c r="D230">
        <v>8.99</v>
      </c>
      <c r="E230">
        <v>5.16</v>
      </c>
      <c r="F230" s="3">
        <v>0.3856</v>
      </c>
      <c r="G230">
        <v>4.6920999999999999</v>
      </c>
      <c r="H230">
        <v>6.2</v>
      </c>
    </row>
    <row r="231" spans="1:8" x14ac:dyDescent="0.25">
      <c r="A231" t="s">
        <v>237</v>
      </c>
      <c r="B231">
        <v>61766</v>
      </c>
      <c r="C231">
        <v>7898954052250</v>
      </c>
      <c r="D231">
        <v>8.99</v>
      </c>
      <c r="E231">
        <v>5.34</v>
      </c>
      <c r="F231" s="3">
        <v>0.36849999999999999</v>
      </c>
      <c r="G231">
        <v>4.8459000000000003</v>
      </c>
      <c r="H231">
        <v>28.966999999999999</v>
      </c>
    </row>
    <row r="232" spans="1:8" x14ac:dyDescent="0.25">
      <c r="A232" t="s">
        <v>238</v>
      </c>
      <c r="B232">
        <v>61767</v>
      </c>
      <c r="C232">
        <v>7898954052267</v>
      </c>
      <c r="D232">
        <v>16.989999999999998</v>
      </c>
      <c r="E232">
        <v>10.67</v>
      </c>
      <c r="F232" s="3">
        <v>0.33729999999999999</v>
      </c>
      <c r="G232">
        <v>9.6877999999999993</v>
      </c>
      <c r="H232">
        <v>12.266999999999999</v>
      </c>
    </row>
    <row r="233" spans="1:8" x14ac:dyDescent="0.25">
      <c r="A233" t="s">
        <v>239</v>
      </c>
      <c r="B233">
        <v>21283</v>
      </c>
      <c r="C233">
        <v>7898954052052</v>
      </c>
      <c r="D233">
        <v>7.99</v>
      </c>
      <c r="E233">
        <v>4.57</v>
      </c>
      <c r="F233" s="3">
        <v>0.3881</v>
      </c>
      <c r="G233">
        <v>4.1496000000000004</v>
      </c>
      <c r="H233">
        <v>17.867000000000001</v>
      </c>
    </row>
    <row r="234" spans="1:8" x14ac:dyDescent="0.25">
      <c r="A234" t="s">
        <v>240</v>
      </c>
      <c r="B234">
        <v>21284</v>
      </c>
      <c r="C234">
        <v>7898954052069</v>
      </c>
      <c r="D234">
        <v>14.99</v>
      </c>
      <c r="E234">
        <v>9.15</v>
      </c>
      <c r="F234" s="3">
        <v>0.35359999999999997</v>
      </c>
      <c r="G234">
        <v>8.3030000000000008</v>
      </c>
      <c r="H234">
        <v>5.5</v>
      </c>
    </row>
    <row r="235" spans="1:8" x14ac:dyDescent="0.25">
      <c r="A235" t="s">
        <v>241</v>
      </c>
      <c r="B235">
        <v>21285</v>
      </c>
      <c r="C235">
        <v>7898954052274</v>
      </c>
      <c r="D235">
        <v>29.99</v>
      </c>
      <c r="E235">
        <v>18.98</v>
      </c>
      <c r="F235" s="3">
        <v>0.33240000000000003</v>
      </c>
      <c r="G235">
        <v>17.246600000000001</v>
      </c>
      <c r="H235">
        <v>2.2999999999999998</v>
      </c>
    </row>
    <row r="236" spans="1:8" x14ac:dyDescent="0.25">
      <c r="A236" t="s">
        <v>242</v>
      </c>
      <c r="B236">
        <v>4680</v>
      </c>
      <c r="C236">
        <v>789628990046</v>
      </c>
      <c r="D236">
        <v>7.99</v>
      </c>
      <c r="E236">
        <v>5.0999999999999996</v>
      </c>
      <c r="F236" s="3">
        <v>0.32840000000000003</v>
      </c>
      <c r="G236">
        <v>4.6273999999999997</v>
      </c>
      <c r="H236">
        <v>5.4329999999999998</v>
      </c>
    </row>
    <row r="237" spans="1:8" x14ac:dyDescent="0.25">
      <c r="A237" t="s">
        <v>243</v>
      </c>
      <c r="B237">
        <v>4684</v>
      </c>
      <c r="C237">
        <v>7896289900079</v>
      </c>
      <c r="D237">
        <v>36.9</v>
      </c>
      <c r="E237">
        <v>19.59</v>
      </c>
      <c r="F237" s="3">
        <v>0.42749999999999999</v>
      </c>
      <c r="G237">
        <v>17.710599999999999</v>
      </c>
      <c r="H237">
        <v>0.5</v>
      </c>
    </row>
    <row r="238" spans="1:8" x14ac:dyDescent="0.25">
      <c r="A238" t="s">
        <v>244</v>
      </c>
      <c r="B238">
        <v>4688</v>
      </c>
      <c r="C238">
        <v>7896289900062</v>
      </c>
      <c r="D238">
        <v>14.9</v>
      </c>
      <c r="E238">
        <v>8.3800000000000008</v>
      </c>
      <c r="F238" s="3">
        <v>0.3972</v>
      </c>
      <c r="G238">
        <v>7.6032000000000002</v>
      </c>
      <c r="H238">
        <v>6.0330000000000004</v>
      </c>
    </row>
    <row r="239" spans="1:8" x14ac:dyDescent="0.25">
      <c r="A239" t="s">
        <v>245</v>
      </c>
      <c r="B239">
        <v>13034</v>
      </c>
      <c r="C239">
        <v>7896289900055</v>
      </c>
      <c r="D239">
        <v>7.99</v>
      </c>
      <c r="E239">
        <v>4.8600000000000003</v>
      </c>
      <c r="F239" s="3">
        <v>0.35590000000000005</v>
      </c>
      <c r="G239">
        <v>4.4073000000000002</v>
      </c>
      <c r="H239">
        <v>20.567</v>
      </c>
    </row>
    <row r="240" spans="1:8" x14ac:dyDescent="0.25">
      <c r="A240" t="s">
        <v>246</v>
      </c>
      <c r="B240">
        <v>67870</v>
      </c>
      <c r="C240">
        <v>7896196083889</v>
      </c>
      <c r="D240">
        <v>49.9</v>
      </c>
      <c r="E240">
        <v>33.119999999999997</v>
      </c>
      <c r="F240" s="3">
        <v>0.30510000000000004</v>
      </c>
      <c r="G240">
        <v>30.059200000000001</v>
      </c>
      <c r="H240">
        <v>3.3000000000000002E-2</v>
      </c>
    </row>
    <row r="241" spans="1:8" x14ac:dyDescent="0.25">
      <c r="A241" t="s">
        <v>247</v>
      </c>
      <c r="B241">
        <v>66637</v>
      </c>
      <c r="C241">
        <v>7898453460105</v>
      </c>
      <c r="D241">
        <v>24.9</v>
      </c>
      <c r="E241">
        <v>13.87</v>
      </c>
      <c r="F241" s="3">
        <v>0.36340000000000006</v>
      </c>
      <c r="G241">
        <v>11.3695</v>
      </c>
      <c r="H241">
        <v>0.33300000000000002</v>
      </c>
    </row>
    <row r="242" spans="1:8" x14ac:dyDescent="0.25">
      <c r="A242" t="s">
        <v>248</v>
      </c>
      <c r="B242">
        <v>46976</v>
      </c>
      <c r="C242">
        <v>7896214500763</v>
      </c>
      <c r="D242">
        <v>26.9</v>
      </c>
      <c r="E242">
        <v>15.88</v>
      </c>
      <c r="F242" s="3">
        <v>0.376</v>
      </c>
      <c r="G242">
        <v>14.296799999999999</v>
      </c>
      <c r="H242">
        <v>0.26700000000000002</v>
      </c>
    </row>
    <row r="243" spans="1:8" x14ac:dyDescent="0.25">
      <c r="A243" t="s">
        <v>249</v>
      </c>
      <c r="B243">
        <v>63756</v>
      </c>
      <c r="C243">
        <v>7898635644248</v>
      </c>
      <c r="D243">
        <v>15.9</v>
      </c>
      <c r="E243">
        <v>12.05</v>
      </c>
      <c r="F243" s="3">
        <v>0.21739999999999998</v>
      </c>
      <c r="G243">
        <v>9.5808999999999997</v>
      </c>
      <c r="H243">
        <v>0.83299999999999996</v>
      </c>
    </row>
    <row r="244" spans="1:8" x14ac:dyDescent="0.25">
      <c r="A244" t="s">
        <v>250</v>
      </c>
      <c r="B244">
        <v>53156</v>
      </c>
      <c r="C244">
        <v>7898629611683</v>
      </c>
      <c r="D244">
        <v>5.99</v>
      </c>
      <c r="E244">
        <v>2.68</v>
      </c>
      <c r="F244" s="3">
        <v>0.45270000000000005</v>
      </c>
      <c r="G244">
        <v>2.2000000000000002</v>
      </c>
      <c r="H244">
        <v>11.233000000000001</v>
      </c>
    </row>
    <row r="245" spans="1:8" x14ac:dyDescent="0.25">
      <c r="A245" t="s">
        <v>251</v>
      </c>
      <c r="B245">
        <v>34324</v>
      </c>
      <c r="C245">
        <v>7898954052175</v>
      </c>
      <c r="D245">
        <v>8.99</v>
      </c>
      <c r="E245">
        <v>5.71</v>
      </c>
      <c r="F245" s="3">
        <v>0.33149999999999996</v>
      </c>
      <c r="G245">
        <v>5.1780999999999997</v>
      </c>
      <c r="H245">
        <v>6.0670000000000002</v>
      </c>
    </row>
    <row r="246" spans="1:8" x14ac:dyDescent="0.25">
      <c r="A246" t="s">
        <v>252</v>
      </c>
      <c r="B246">
        <v>67356</v>
      </c>
      <c r="C246">
        <v>7898635644811</v>
      </c>
      <c r="D246">
        <v>18.899999999999999</v>
      </c>
      <c r="E246">
        <v>10.83</v>
      </c>
      <c r="F246" s="3">
        <v>0.38679999999999998</v>
      </c>
      <c r="G246">
        <v>9.8408999999999995</v>
      </c>
      <c r="H246">
        <v>0.73299999999999998</v>
      </c>
    </row>
    <row r="247" spans="1:8" x14ac:dyDescent="0.25">
      <c r="A247" t="s">
        <v>253</v>
      </c>
      <c r="B247">
        <v>26276</v>
      </c>
      <c r="C247">
        <v>7898629610136</v>
      </c>
      <c r="D247">
        <v>9.9</v>
      </c>
      <c r="E247">
        <v>4.5</v>
      </c>
      <c r="F247" s="3">
        <v>0.495</v>
      </c>
      <c r="G247">
        <v>4.0837000000000003</v>
      </c>
      <c r="H247">
        <v>1.4330000000000001</v>
      </c>
    </row>
    <row r="248" spans="1:8" x14ac:dyDescent="0.25">
      <c r="A248" t="s">
        <v>254</v>
      </c>
      <c r="B248">
        <v>26275</v>
      </c>
      <c r="C248">
        <v>7898629610143</v>
      </c>
      <c r="D248">
        <v>9.9</v>
      </c>
      <c r="E248">
        <v>4.83</v>
      </c>
      <c r="F248" s="3">
        <v>0.42</v>
      </c>
      <c r="G248">
        <v>3.96</v>
      </c>
      <c r="H248">
        <v>3.867</v>
      </c>
    </row>
    <row r="249" spans="1:8" x14ac:dyDescent="0.25">
      <c r="A249" t="s">
        <v>255</v>
      </c>
      <c r="B249">
        <v>50298</v>
      </c>
      <c r="C249">
        <v>7894900083507</v>
      </c>
      <c r="D249">
        <v>15.9</v>
      </c>
      <c r="E249">
        <v>10.53</v>
      </c>
      <c r="F249" s="3">
        <v>0.30630000000000002</v>
      </c>
      <c r="G249">
        <v>9.5595999999999997</v>
      </c>
      <c r="H249">
        <v>5.5</v>
      </c>
    </row>
    <row r="250" spans="1:8" x14ac:dyDescent="0.25">
      <c r="A250" t="s">
        <v>256</v>
      </c>
      <c r="B250">
        <v>50299</v>
      </c>
      <c r="C250">
        <v>7894900083002</v>
      </c>
      <c r="D250">
        <v>15.9</v>
      </c>
      <c r="E250">
        <v>10.53</v>
      </c>
      <c r="F250" s="3">
        <v>0.30630000000000002</v>
      </c>
      <c r="G250">
        <v>9.5595999999999997</v>
      </c>
      <c r="H250">
        <v>3.9670000000000001</v>
      </c>
    </row>
    <row r="251" spans="1:8" x14ac:dyDescent="0.25">
      <c r="A251" t="s">
        <v>257</v>
      </c>
      <c r="B251">
        <v>50297</v>
      </c>
      <c r="C251">
        <v>7894900084504</v>
      </c>
      <c r="D251">
        <v>15.9</v>
      </c>
      <c r="E251">
        <v>11.7</v>
      </c>
      <c r="F251" s="3">
        <v>0.23949999999999999</v>
      </c>
      <c r="G251">
        <v>10.621700000000001</v>
      </c>
      <c r="H251">
        <v>1</v>
      </c>
    </row>
    <row r="252" spans="1:8" x14ac:dyDescent="0.25">
      <c r="A252" t="s">
        <v>258</v>
      </c>
      <c r="B252">
        <v>67890</v>
      </c>
      <c r="C252">
        <v>7894900084009</v>
      </c>
      <c r="D252">
        <v>15.9</v>
      </c>
      <c r="E252">
        <v>10.53</v>
      </c>
      <c r="F252" s="3">
        <v>0.30630000000000002</v>
      </c>
      <c r="G252">
        <v>9.5595999999999997</v>
      </c>
      <c r="H252">
        <v>1.4330000000000001</v>
      </c>
    </row>
    <row r="253" spans="1:8" x14ac:dyDescent="0.25">
      <c r="A253" t="s">
        <v>259</v>
      </c>
      <c r="B253">
        <v>36842</v>
      </c>
      <c r="C253">
        <v>7896083801060</v>
      </c>
      <c r="D253">
        <v>18.899999999999999</v>
      </c>
      <c r="E253">
        <v>12.82</v>
      </c>
      <c r="F253" s="3">
        <v>0.28949999999999998</v>
      </c>
      <c r="G253">
        <v>11.68</v>
      </c>
      <c r="H253">
        <v>3.8</v>
      </c>
    </row>
    <row r="254" spans="1:8" x14ac:dyDescent="0.25">
      <c r="A254" t="s">
        <v>260</v>
      </c>
      <c r="B254">
        <v>36844</v>
      </c>
      <c r="C254">
        <v>7896083801046</v>
      </c>
      <c r="D254">
        <v>18.899999999999999</v>
      </c>
      <c r="E254">
        <v>12.78</v>
      </c>
      <c r="F254" s="3">
        <v>0.29339999999999999</v>
      </c>
      <c r="G254">
        <v>11.606</v>
      </c>
      <c r="H254">
        <v>5.133</v>
      </c>
    </row>
    <row r="255" spans="1:8" x14ac:dyDescent="0.25">
      <c r="A255" t="s">
        <v>261</v>
      </c>
      <c r="B255">
        <v>36845</v>
      </c>
      <c r="C255">
        <v>7896083801053</v>
      </c>
      <c r="D255">
        <v>6.9</v>
      </c>
      <c r="E255">
        <v>4.6900000000000004</v>
      </c>
      <c r="F255" s="3">
        <v>0.2908</v>
      </c>
      <c r="G255">
        <v>4.2553999999999998</v>
      </c>
      <c r="H255">
        <v>3.9329999999999998</v>
      </c>
    </row>
    <row r="256" spans="1:8" x14ac:dyDescent="0.25">
      <c r="A256" t="s">
        <v>262</v>
      </c>
      <c r="B256">
        <v>5104</v>
      </c>
      <c r="C256">
        <v>7896083800681</v>
      </c>
      <c r="D256">
        <v>5.9</v>
      </c>
      <c r="E256">
        <v>3</v>
      </c>
      <c r="F256" s="3">
        <v>0.44530000000000003</v>
      </c>
      <c r="G256">
        <v>2.7267999999999999</v>
      </c>
      <c r="H256">
        <v>4.0330000000000004</v>
      </c>
    </row>
    <row r="257" spans="1:8" x14ac:dyDescent="0.25">
      <c r="A257" t="s">
        <v>263</v>
      </c>
      <c r="B257">
        <v>5114</v>
      </c>
      <c r="C257">
        <v>7896083800094</v>
      </c>
      <c r="D257">
        <v>5.9</v>
      </c>
      <c r="E257">
        <v>2.95</v>
      </c>
      <c r="F257" s="3">
        <v>0.4531</v>
      </c>
      <c r="G257">
        <v>2.6808000000000001</v>
      </c>
      <c r="H257">
        <v>2.9670000000000001</v>
      </c>
    </row>
    <row r="258" spans="1:8" x14ac:dyDescent="0.25">
      <c r="A258" t="s">
        <v>264</v>
      </c>
      <c r="B258">
        <v>5121</v>
      </c>
      <c r="C258">
        <v>7896083800353</v>
      </c>
      <c r="D258">
        <v>5.9</v>
      </c>
      <c r="E258">
        <v>2.93</v>
      </c>
      <c r="F258" s="3">
        <v>0.44650000000000001</v>
      </c>
      <c r="G258">
        <v>2.72</v>
      </c>
      <c r="H258">
        <v>4.633</v>
      </c>
    </row>
    <row r="259" spans="1:8" x14ac:dyDescent="0.25">
      <c r="A259" t="s">
        <v>265</v>
      </c>
      <c r="B259">
        <v>5122</v>
      </c>
      <c r="C259">
        <v>7896083800483</v>
      </c>
      <c r="D259">
        <v>8.9</v>
      </c>
      <c r="E259">
        <v>5.43</v>
      </c>
      <c r="F259" s="3">
        <v>0.35350000000000004</v>
      </c>
      <c r="G259">
        <v>4.9309000000000003</v>
      </c>
      <c r="H259">
        <v>5.5670000000000002</v>
      </c>
    </row>
    <row r="260" spans="1:8" x14ac:dyDescent="0.25">
      <c r="A260" t="s">
        <v>266</v>
      </c>
      <c r="B260">
        <v>57151</v>
      </c>
      <c r="C260">
        <v>7891035000027</v>
      </c>
      <c r="D260">
        <v>26.9</v>
      </c>
      <c r="E260">
        <v>18.04</v>
      </c>
      <c r="F260" s="3">
        <v>0.2989</v>
      </c>
      <c r="G260">
        <v>16.371200000000002</v>
      </c>
      <c r="H260">
        <v>2</v>
      </c>
    </row>
    <row r="261" spans="1:8" x14ac:dyDescent="0.25">
      <c r="A261" t="s">
        <v>267</v>
      </c>
      <c r="B261">
        <v>57150</v>
      </c>
      <c r="C261">
        <v>7891035000010</v>
      </c>
      <c r="D261">
        <v>26.9</v>
      </c>
      <c r="E261">
        <v>18.03</v>
      </c>
      <c r="F261" s="3">
        <v>0.29920000000000002</v>
      </c>
      <c r="G261">
        <v>16.361999999999998</v>
      </c>
      <c r="H261">
        <v>2.5</v>
      </c>
    </row>
    <row r="262" spans="1:8" x14ac:dyDescent="0.25">
      <c r="A262" t="s">
        <v>268</v>
      </c>
      <c r="B262">
        <v>19521</v>
      </c>
      <c r="C262">
        <v>7891035040412</v>
      </c>
      <c r="D262">
        <v>39.9</v>
      </c>
      <c r="E262">
        <v>29.7</v>
      </c>
      <c r="F262" s="3">
        <v>0.23180000000000001</v>
      </c>
      <c r="G262">
        <v>26.959299999999999</v>
      </c>
      <c r="H262">
        <v>0.8</v>
      </c>
    </row>
    <row r="263" spans="1:8" x14ac:dyDescent="0.25">
      <c r="A263" t="s">
        <v>269</v>
      </c>
      <c r="B263">
        <v>56777</v>
      </c>
      <c r="C263">
        <v>7891035040443</v>
      </c>
      <c r="D263">
        <v>75.900000000000006</v>
      </c>
      <c r="E263">
        <v>53.84</v>
      </c>
      <c r="F263" s="3">
        <v>0.26950000000000002</v>
      </c>
      <c r="G263">
        <v>48.421100000000003</v>
      </c>
      <c r="H263">
        <v>0.26700000000000002</v>
      </c>
    </row>
    <row r="264" spans="1:8" x14ac:dyDescent="0.25">
      <c r="A264" t="s">
        <v>270</v>
      </c>
      <c r="B264">
        <v>5342</v>
      </c>
      <c r="C264">
        <v>7891035040009</v>
      </c>
      <c r="D264">
        <v>17.899999999999999</v>
      </c>
      <c r="E264">
        <v>11.56</v>
      </c>
      <c r="F264" s="3">
        <v>0.32530000000000003</v>
      </c>
      <c r="G264">
        <v>10.422000000000001</v>
      </c>
      <c r="H264">
        <v>1.5</v>
      </c>
    </row>
    <row r="265" spans="1:8" x14ac:dyDescent="0.25">
      <c r="A265" t="s">
        <v>271</v>
      </c>
      <c r="B265">
        <v>5340</v>
      </c>
      <c r="C265">
        <v>7891035040405</v>
      </c>
      <c r="D265">
        <v>17.899999999999999</v>
      </c>
      <c r="E265">
        <v>11.53</v>
      </c>
      <c r="F265" s="3">
        <v>0.3246</v>
      </c>
      <c r="G265">
        <v>10.4331</v>
      </c>
      <c r="H265">
        <v>2.7669999999999999</v>
      </c>
    </row>
    <row r="266" spans="1:8" x14ac:dyDescent="0.25">
      <c r="A266" t="s">
        <v>272</v>
      </c>
      <c r="B266">
        <v>19522</v>
      </c>
      <c r="C266">
        <v>7891035040436</v>
      </c>
      <c r="D266">
        <v>13.9</v>
      </c>
      <c r="E266">
        <v>9.34</v>
      </c>
      <c r="F266" s="3">
        <v>0.3</v>
      </c>
      <c r="G266">
        <v>8.4448000000000008</v>
      </c>
      <c r="H266">
        <v>4.2670000000000003</v>
      </c>
    </row>
    <row r="267" spans="1:8" x14ac:dyDescent="0.25">
      <c r="A267" t="s">
        <v>273</v>
      </c>
      <c r="B267">
        <v>19520</v>
      </c>
      <c r="C267">
        <v>7891035040504</v>
      </c>
      <c r="D267">
        <v>39.9</v>
      </c>
      <c r="E267">
        <v>29.36</v>
      </c>
      <c r="F267" s="3">
        <v>0.24160000000000001</v>
      </c>
      <c r="G267">
        <v>26.5702</v>
      </c>
      <c r="H267">
        <v>1.367</v>
      </c>
    </row>
    <row r="268" spans="1:8" x14ac:dyDescent="0.25">
      <c r="A268" t="s">
        <v>274</v>
      </c>
      <c r="B268">
        <v>5136</v>
      </c>
      <c r="C268">
        <v>7891035041006</v>
      </c>
      <c r="D268">
        <v>13.9</v>
      </c>
      <c r="E268">
        <v>9.27</v>
      </c>
      <c r="F268" s="3">
        <v>0.30409999999999998</v>
      </c>
      <c r="G268">
        <v>8.3866999999999994</v>
      </c>
      <c r="H268">
        <v>4.2</v>
      </c>
    </row>
    <row r="269" spans="1:8" x14ac:dyDescent="0.25">
      <c r="A269" t="s">
        <v>275</v>
      </c>
      <c r="B269">
        <v>59389</v>
      </c>
      <c r="C269">
        <v>7891150079274</v>
      </c>
      <c r="D269">
        <v>22.9</v>
      </c>
      <c r="E269">
        <v>19.309999999999999</v>
      </c>
      <c r="F269" s="3">
        <v>0.1308</v>
      </c>
      <c r="G269">
        <v>17.786799999999999</v>
      </c>
      <c r="H269">
        <v>1.5669999999999999</v>
      </c>
    </row>
    <row r="270" spans="1:8" x14ac:dyDescent="0.25">
      <c r="A270" t="s">
        <v>276</v>
      </c>
      <c r="B270">
        <v>57656</v>
      </c>
      <c r="C270">
        <v>7891150070981</v>
      </c>
      <c r="D270">
        <v>22.9</v>
      </c>
      <c r="E270">
        <v>20.260000000000002</v>
      </c>
      <c r="F270" s="3">
        <v>0.1009</v>
      </c>
      <c r="G270">
        <v>18.472200000000001</v>
      </c>
      <c r="H270">
        <v>1.9330000000000001</v>
      </c>
    </row>
    <row r="271" spans="1:8" x14ac:dyDescent="0.25">
      <c r="A271" t="s">
        <v>277</v>
      </c>
      <c r="B271">
        <v>57654</v>
      </c>
      <c r="C271">
        <v>7891150070974</v>
      </c>
      <c r="D271">
        <v>22.9</v>
      </c>
      <c r="E271">
        <v>20.39</v>
      </c>
      <c r="F271" s="3">
        <v>9.9399999999999988E-2</v>
      </c>
      <c r="G271">
        <v>18.506599999999999</v>
      </c>
      <c r="H271">
        <v>8.7330000000000005</v>
      </c>
    </row>
    <row r="272" spans="1:8" x14ac:dyDescent="0.25">
      <c r="A272" t="s">
        <v>278</v>
      </c>
      <c r="B272">
        <v>57655</v>
      </c>
      <c r="C272">
        <v>7891150070967</v>
      </c>
      <c r="D272">
        <v>22.9</v>
      </c>
      <c r="E272">
        <v>20.350000000000001</v>
      </c>
      <c r="F272" s="3">
        <v>0.10039999999999999</v>
      </c>
      <c r="G272">
        <v>18.4817</v>
      </c>
      <c r="H272">
        <v>5.8330000000000002</v>
      </c>
    </row>
    <row r="273" spans="1:8" x14ac:dyDescent="0.25">
      <c r="A273" t="s">
        <v>279</v>
      </c>
      <c r="B273">
        <v>61792</v>
      </c>
      <c r="C273">
        <v>7891150087507</v>
      </c>
      <c r="D273">
        <v>20.9</v>
      </c>
      <c r="E273">
        <v>14.57</v>
      </c>
      <c r="F273" s="3">
        <v>0.26690000000000003</v>
      </c>
      <c r="G273">
        <v>13.389200000000001</v>
      </c>
      <c r="H273">
        <v>7.8330000000000002</v>
      </c>
    </row>
    <row r="274" spans="1:8" x14ac:dyDescent="0.25">
      <c r="A274" t="s">
        <v>280</v>
      </c>
      <c r="B274">
        <v>65391</v>
      </c>
      <c r="C274">
        <v>7891150094178</v>
      </c>
      <c r="D274">
        <v>21.9</v>
      </c>
      <c r="E274">
        <v>14.89</v>
      </c>
      <c r="F274" s="3">
        <v>0.2903</v>
      </c>
      <c r="G274">
        <v>13.5158</v>
      </c>
      <c r="H274">
        <v>0.56699999999999995</v>
      </c>
    </row>
    <row r="275" spans="1:8" x14ac:dyDescent="0.25">
      <c r="A275" t="s">
        <v>281</v>
      </c>
      <c r="B275">
        <v>64268</v>
      </c>
      <c r="C275">
        <v>7891150090477</v>
      </c>
      <c r="D275">
        <v>21.9</v>
      </c>
      <c r="E275">
        <v>14.86</v>
      </c>
      <c r="F275" s="3">
        <v>0.29189999999999999</v>
      </c>
      <c r="G275">
        <v>13.481</v>
      </c>
      <c r="H275">
        <v>3.2669999999999999</v>
      </c>
    </row>
    <row r="276" spans="1:8" x14ac:dyDescent="0.25">
      <c r="A276" t="s">
        <v>282</v>
      </c>
      <c r="B276">
        <v>59305</v>
      </c>
      <c r="C276">
        <v>7891150080010</v>
      </c>
      <c r="D276">
        <v>25.9</v>
      </c>
      <c r="E276">
        <v>24.12</v>
      </c>
      <c r="F276" s="3">
        <v>6.1100000000000002E-2</v>
      </c>
      <c r="G276">
        <v>21.920500000000001</v>
      </c>
      <c r="H276">
        <v>13.667</v>
      </c>
    </row>
    <row r="277" spans="1:8" x14ac:dyDescent="0.25">
      <c r="A277" t="s">
        <v>283</v>
      </c>
      <c r="B277">
        <v>54357</v>
      </c>
      <c r="C277">
        <v>7891150065178</v>
      </c>
      <c r="D277">
        <v>25.9</v>
      </c>
      <c r="E277">
        <v>24.2</v>
      </c>
      <c r="F277" s="3">
        <v>5.8200000000000002E-2</v>
      </c>
      <c r="G277">
        <v>21.996500000000001</v>
      </c>
      <c r="H277">
        <v>18.466999999999999</v>
      </c>
    </row>
    <row r="278" spans="1:8" x14ac:dyDescent="0.25">
      <c r="A278" t="s">
        <v>284</v>
      </c>
      <c r="B278">
        <v>59306</v>
      </c>
      <c r="C278">
        <v>7891150079984</v>
      </c>
      <c r="D278">
        <v>25.9</v>
      </c>
      <c r="E278">
        <v>24.12</v>
      </c>
      <c r="F278" s="3">
        <v>5.96E-2</v>
      </c>
      <c r="G278">
        <v>21.959700000000002</v>
      </c>
      <c r="H278">
        <v>12.532999999999999</v>
      </c>
    </row>
    <row r="279" spans="1:8" x14ac:dyDescent="0.25">
      <c r="A279" t="s">
        <v>285</v>
      </c>
      <c r="B279">
        <v>65187</v>
      </c>
      <c r="C279">
        <v>7891150090903</v>
      </c>
      <c r="D279">
        <v>25.9</v>
      </c>
      <c r="E279">
        <v>24.02</v>
      </c>
      <c r="F279" s="3">
        <v>6.0199999999999997E-2</v>
      </c>
      <c r="G279">
        <v>21.945699999999999</v>
      </c>
      <c r="H279">
        <v>7.8</v>
      </c>
    </row>
    <row r="280" spans="1:8" x14ac:dyDescent="0.25">
      <c r="A280" t="s">
        <v>286</v>
      </c>
      <c r="B280">
        <v>59535</v>
      </c>
      <c r="C280">
        <v>7891150065154</v>
      </c>
      <c r="D280">
        <v>25.9</v>
      </c>
      <c r="E280">
        <v>24.06</v>
      </c>
      <c r="F280" s="3">
        <v>5.9699999999999996E-2</v>
      </c>
      <c r="G280">
        <v>21.957000000000001</v>
      </c>
      <c r="H280">
        <v>14.167</v>
      </c>
    </row>
    <row r="281" spans="1:8" x14ac:dyDescent="0.25">
      <c r="A281" t="s">
        <v>287</v>
      </c>
      <c r="B281">
        <v>65185</v>
      </c>
      <c r="C281">
        <v>7891150093775</v>
      </c>
      <c r="D281">
        <v>35.9</v>
      </c>
      <c r="E281">
        <v>25.8</v>
      </c>
      <c r="F281" s="3">
        <v>0.25359999999999999</v>
      </c>
      <c r="G281">
        <v>23.474</v>
      </c>
      <c r="H281">
        <v>1.4</v>
      </c>
    </row>
    <row r="282" spans="1:8" x14ac:dyDescent="0.25">
      <c r="A282" t="s">
        <v>288</v>
      </c>
      <c r="B282">
        <v>65186</v>
      </c>
      <c r="C282">
        <v>7891150093782</v>
      </c>
      <c r="D282">
        <v>35.9</v>
      </c>
      <c r="E282">
        <v>25.67</v>
      </c>
      <c r="F282" s="3">
        <v>0.2505</v>
      </c>
      <c r="G282">
        <v>23.585899999999999</v>
      </c>
      <c r="H282">
        <v>1.667</v>
      </c>
    </row>
    <row r="283" spans="1:8" x14ac:dyDescent="0.25">
      <c r="A283" t="s">
        <v>289</v>
      </c>
      <c r="B283">
        <v>66697</v>
      </c>
      <c r="C283">
        <v>7891150094369</v>
      </c>
      <c r="D283">
        <v>34.9</v>
      </c>
      <c r="E283">
        <v>27.41</v>
      </c>
      <c r="F283" s="3">
        <v>0.19390000000000002</v>
      </c>
      <c r="G283">
        <v>24.9039</v>
      </c>
      <c r="H283">
        <v>1.7330000000000001</v>
      </c>
    </row>
    <row r="284" spans="1:8" x14ac:dyDescent="0.25">
      <c r="A284" t="s">
        <v>290</v>
      </c>
      <c r="B284">
        <v>15315</v>
      </c>
      <c r="C284">
        <v>7891150028944</v>
      </c>
      <c r="D284">
        <v>24.9</v>
      </c>
      <c r="E284">
        <v>18.11</v>
      </c>
      <c r="F284" s="3">
        <v>0.2465</v>
      </c>
      <c r="G284">
        <v>16.458100000000002</v>
      </c>
      <c r="H284">
        <v>3.4329999999999998</v>
      </c>
    </row>
    <row r="285" spans="1:8" x14ac:dyDescent="0.25">
      <c r="A285" t="s">
        <v>291</v>
      </c>
      <c r="B285">
        <v>37588</v>
      </c>
      <c r="C285">
        <v>7891150045484</v>
      </c>
      <c r="D285">
        <v>24.9</v>
      </c>
      <c r="E285">
        <v>18.07</v>
      </c>
      <c r="F285" s="3">
        <v>0.24719999999999998</v>
      </c>
      <c r="G285">
        <v>16.441600000000001</v>
      </c>
      <c r="H285">
        <v>1.4330000000000001</v>
      </c>
    </row>
    <row r="286" spans="1:8" x14ac:dyDescent="0.25">
      <c r="A286" t="s">
        <v>292</v>
      </c>
      <c r="B286">
        <v>32195</v>
      </c>
      <c r="C286">
        <v>7891150042117</v>
      </c>
      <c r="D286">
        <v>24.9</v>
      </c>
      <c r="E286">
        <v>17.98</v>
      </c>
      <c r="F286" s="3">
        <v>0.2487</v>
      </c>
      <c r="G286">
        <v>16.405200000000001</v>
      </c>
      <c r="H286">
        <v>0.86699999999999999</v>
      </c>
    </row>
    <row r="287" spans="1:8" x14ac:dyDescent="0.25">
      <c r="A287" t="s">
        <v>293</v>
      </c>
      <c r="B287">
        <v>32198</v>
      </c>
      <c r="C287">
        <v>7891150042131</v>
      </c>
      <c r="D287">
        <v>24.9</v>
      </c>
      <c r="E287">
        <v>17.75</v>
      </c>
      <c r="F287" s="3">
        <v>0.25579999999999997</v>
      </c>
      <c r="G287">
        <v>16.228200000000001</v>
      </c>
      <c r="H287">
        <v>2.2999999999999998</v>
      </c>
    </row>
    <row r="288" spans="1:8" x14ac:dyDescent="0.25">
      <c r="A288" t="s">
        <v>294</v>
      </c>
      <c r="B288">
        <v>65181</v>
      </c>
      <c r="C288">
        <v>7891150091948</v>
      </c>
      <c r="D288">
        <v>26.9</v>
      </c>
      <c r="E288">
        <v>18.86</v>
      </c>
      <c r="F288" s="3">
        <v>0.2752</v>
      </c>
      <c r="G288">
        <v>17.0093</v>
      </c>
      <c r="H288">
        <v>0.3</v>
      </c>
    </row>
    <row r="289" spans="1:8" x14ac:dyDescent="0.25">
      <c r="A289" t="s">
        <v>295</v>
      </c>
      <c r="B289">
        <v>65182</v>
      </c>
      <c r="C289">
        <v>7891150091993</v>
      </c>
      <c r="D289">
        <v>26.9</v>
      </c>
      <c r="E289">
        <v>17.79</v>
      </c>
      <c r="F289" s="3">
        <v>0.30299999999999999</v>
      </c>
      <c r="G289">
        <v>16.259799999999998</v>
      </c>
      <c r="H289">
        <v>1</v>
      </c>
    </row>
    <row r="290" spans="1:8" x14ac:dyDescent="0.25">
      <c r="A290" t="s">
        <v>296</v>
      </c>
      <c r="B290">
        <v>5299</v>
      </c>
      <c r="C290">
        <v>7891150000971</v>
      </c>
      <c r="D290">
        <v>14.9</v>
      </c>
      <c r="E290">
        <v>9.77</v>
      </c>
      <c r="F290" s="3">
        <v>0.3125</v>
      </c>
      <c r="G290">
        <v>8.8650000000000002</v>
      </c>
      <c r="H290">
        <v>2.1</v>
      </c>
    </row>
    <row r="291" spans="1:8" x14ac:dyDescent="0.25">
      <c r="A291" t="s">
        <v>297</v>
      </c>
      <c r="B291">
        <v>37587</v>
      </c>
      <c r="C291">
        <v>7891150045460</v>
      </c>
      <c r="D291">
        <v>14.9</v>
      </c>
      <c r="E291">
        <v>9.3699999999999992</v>
      </c>
      <c r="F291" s="3">
        <v>0.3342</v>
      </c>
      <c r="G291">
        <v>8.5417000000000005</v>
      </c>
      <c r="H291">
        <v>0.73299999999999998</v>
      </c>
    </row>
    <row r="292" spans="1:8" x14ac:dyDescent="0.25">
      <c r="A292" t="s">
        <v>298</v>
      </c>
      <c r="B292">
        <v>9552</v>
      </c>
      <c r="C292">
        <v>7891150025288</v>
      </c>
      <c r="D292">
        <v>14.9</v>
      </c>
      <c r="E292">
        <v>9.64</v>
      </c>
      <c r="F292" s="3">
        <v>0.31559999999999999</v>
      </c>
      <c r="G292">
        <v>8.8193999999999999</v>
      </c>
      <c r="H292">
        <v>1.5669999999999999</v>
      </c>
    </row>
    <row r="293" spans="1:8" x14ac:dyDescent="0.25">
      <c r="A293" t="s">
        <v>299</v>
      </c>
      <c r="B293">
        <v>64269</v>
      </c>
      <c r="C293">
        <v>7891150090460</v>
      </c>
      <c r="D293">
        <v>14.9</v>
      </c>
      <c r="E293">
        <v>9.68</v>
      </c>
      <c r="F293" s="3">
        <v>0.315</v>
      </c>
      <c r="G293">
        <v>8.8287999999999993</v>
      </c>
      <c r="H293">
        <v>0.7</v>
      </c>
    </row>
    <row r="294" spans="1:8" x14ac:dyDescent="0.25">
      <c r="A294" t="s">
        <v>300</v>
      </c>
      <c r="B294">
        <v>24681</v>
      </c>
      <c r="C294">
        <v>7891150039001</v>
      </c>
      <c r="D294">
        <v>14.9</v>
      </c>
      <c r="E294">
        <v>9.64</v>
      </c>
      <c r="F294" s="3">
        <v>0.31659999999999999</v>
      </c>
      <c r="G294">
        <v>8.8047000000000004</v>
      </c>
      <c r="H294">
        <v>2.2330000000000001</v>
      </c>
    </row>
    <row r="295" spans="1:8" x14ac:dyDescent="0.25">
      <c r="A295" t="s">
        <v>301</v>
      </c>
      <c r="B295">
        <v>65184</v>
      </c>
      <c r="C295">
        <v>7891150091979</v>
      </c>
      <c r="D295">
        <v>15.9</v>
      </c>
      <c r="E295">
        <v>9.8699999999999992</v>
      </c>
      <c r="F295" s="3">
        <v>0.34389999999999998</v>
      </c>
      <c r="G295">
        <v>8.9610000000000003</v>
      </c>
      <c r="H295">
        <v>0.4</v>
      </c>
    </row>
    <row r="296" spans="1:8" x14ac:dyDescent="0.25">
      <c r="A296" t="s">
        <v>302</v>
      </c>
      <c r="B296">
        <v>65183</v>
      </c>
      <c r="C296">
        <v>7891150091986</v>
      </c>
      <c r="D296">
        <v>15.9</v>
      </c>
      <c r="E296">
        <v>9.84</v>
      </c>
      <c r="F296" s="3">
        <v>0.34439999999999998</v>
      </c>
      <c r="G296">
        <v>8.9535999999999998</v>
      </c>
      <c r="H296">
        <v>0.5</v>
      </c>
    </row>
    <row r="297" spans="1:8" x14ac:dyDescent="0.25">
      <c r="A297" t="s">
        <v>303</v>
      </c>
      <c r="B297">
        <v>61793</v>
      </c>
      <c r="C297">
        <v>7891150087491</v>
      </c>
      <c r="D297">
        <v>27.9</v>
      </c>
      <c r="E297">
        <v>18.059999999999999</v>
      </c>
      <c r="F297" s="3">
        <v>0.31969999999999998</v>
      </c>
      <c r="G297">
        <v>16.399899999999999</v>
      </c>
      <c r="H297">
        <v>2.0329999999999999</v>
      </c>
    </row>
    <row r="298" spans="1:8" x14ac:dyDescent="0.25">
      <c r="A298" t="s">
        <v>304</v>
      </c>
      <c r="B298">
        <v>44122</v>
      </c>
      <c r="C298">
        <v>7891150054585</v>
      </c>
      <c r="D298">
        <v>21.9</v>
      </c>
      <c r="E298">
        <v>14.88</v>
      </c>
      <c r="F298" s="3">
        <v>0.29020000000000001</v>
      </c>
      <c r="G298">
        <v>13.519399999999999</v>
      </c>
      <c r="H298">
        <v>8.5670000000000002</v>
      </c>
    </row>
    <row r="299" spans="1:8" x14ac:dyDescent="0.25">
      <c r="A299" t="s">
        <v>305</v>
      </c>
      <c r="B299">
        <v>44123</v>
      </c>
      <c r="C299">
        <v>7891150054561</v>
      </c>
      <c r="D299">
        <v>21.9</v>
      </c>
      <c r="E299">
        <v>14.9</v>
      </c>
      <c r="F299" s="3">
        <v>0.2888</v>
      </c>
      <c r="G299">
        <v>13.5486</v>
      </c>
      <c r="H299">
        <v>6.633</v>
      </c>
    </row>
    <row r="300" spans="1:8" x14ac:dyDescent="0.25">
      <c r="A300" t="s">
        <v>306</v>
      </c>
      <c r="B300">
        <v>65390</v>
      </c>
      <c r="C300">
        <v>7891150094123</v>
      </c>
      <c r="D300">
        <v>21.9</v>
      </c>
      <c r="E300">
        <v>14.86</v>
      </c>
      <c r="F300" s="3">
        <v>0.2918</v>
      </c>
      <c r="G300">
        <v>13.482799999999999</v>
      </c>
      <c r="H300">
        <v>0.76700000000000002</v>
      </c>
    </row>
    <row r="301" spans="1:8" x14ac:dyDescent="0.25">
      <c r="A301" t="s">
        <v>307</v>
      </c>
      <c r="B301">
        <v>60002</v>
      </c>
      <c r="C301">
        <v>7891150079991</v>
      </c>
      <c r="D301">
        <v>11.9</v>
      </c>
      <c r="E301">
        <v>7.62</v>
      </c>
      <c r="F301" s="3">
        <v>0.32280000000000003</v>
      </c>
      <c r="G301">
        <v>6.9581999999999997</v>
      </c>
      <c r="H301">
        <v>18.8</v>
      </c>
    </row>
    <row r="302" spans="1:8" x14ac:dyDescent="0.25">
      <c r="A302" t="s">
        <v>308</v>
      </c>
      <c r="B302">
        <v>45004</v>
      </c>
      <c r="C302">
        <v>7891150048492</v>
      </c>
      <c r="D302">
        <v>11.9</v>
      </c>
      <c r="E302">
        <v>7.69</v>
      </c>
      <c r="F302" s="3">
        <v>0.31929999999999997</v>
      </c>
      <c r="G302">
        <v>6.9995000000000003</v>
      </c>
      <c r="H302">
        <v>36.832999999999998</v>
      </c>
    </row>
    <row r="303" spans="1:8" x14ac:dyDescent="0.25">
      <c r="A303" t="s">
        <v>309</v>
      </c>
      <c r="B303">
        <v>45005</v>
      </c>
      <c r="C303">
        <v>7891150048485</v>
      </c>
      <c r="D303">
        <v>11.9</v>
      </c>
      <c r="E303">
        <v>7.81</v>
      </c>
      <c r="F303" s="3">
        <v>0.3115</v>
      </c>
      <c r="G303">
        <v>7.0929000000000002</v>
      </c>
      <c r="H303">
        <v>4.4329999999999998</v>
      </c>
    </row>
    <row r="304" spans="1:8" x14ac:dyDescent="0.25">
      <c r="A304" t="s">
        <v>310</v>
      </c>
      <c r="B304">
        <v>5305</v>
      </c>
      <c r="C304">
        <v>7506195143834</v>
      </c>
      <c r="D304">
        <v>14.9</v>
      </c>
      <c r="E304">
        <v>9.6</v>
      </c>
      <c r="F304" s="3">
        <v>0.31579999999999997</v>
      </c>
      <c r="G304">
        <v>8.8169000000000004</v>
      </c>
      <c r="H304">
        <v>9.8330000000000002</v>
      </c>
    </row>
    <row r="305" spans="1:8" x14ac:dyDescent="0.25">
      <c r="A305" t="s">
        <v>311</v>
      </c>
      <c r="B305">
        <v>5302</v>
      </c>
      <c r="C305">
        <v>7506195143872</v>
      </c>
      <c r="D305">
        <v>14.9</v>
      </c>
      <c r="E305">
        <v>9.2899999999999991</v>
      </c>
      <c r="F305" s="3">
        <v>0.32880000000000004</v>
      </c>
      <c r="G305">
        <v>8.6219000000000001</v>
      </c>
      <c r="H305">
        <v>5.9329999999999998</v>
      </c>
    </row>
    <row r="306" spans="1:8" x14ac:dyDescent="0.25">
      <c r="A306" t="s">
        <v>312</v>
      </c>
      <c r="B306">
        <v>4892</v>
      </c>
      <c r="C306">
        <v>7506195143858</v>
      </c>
      <c r="D306">
        <v>14.9</v>
      </c>
      <c r="E306">
        <v>9.7899999999999991</v>
      </c>
      <c r="F306" s="3">
        <v>0.31120000000000003</v>
      </c>
      <c r="G306">
        <v>8.8841999999999999</v>
      </c>
      <c r="H306">
        <v>5.3</v>
      </c>
    </row>
    <row r="307" spans="1:8" x14ac:dyDescent="0.25">
      <c r="A307" t="s">
        <v>313</v>
      </c>
      <c r="B307">
        <v>65188</v>
      </c>
      <c r="C307">
        <v>7891150090842</v>
      </c>
      <c r="D307">
        <v>28.9</v>
      </c>
      <c r="E307">
        <v>18.149999999999999</v>
      </c>
      <c r="F307" s="3">
        <v>0.33759999999999996</v>
      </c>
      <c r="G307">
        <v>16.468699999999998</v>
      </c>
      <c r="H307">
        <v>1.0329999999999999</v>
      </c>
    </row>
    <row r="308" spans="1:8" x14ac:dyDescent="0.25">
      <c r="A308" t="s">
        <v>314</v>
      </c>
      <c r="B308">
        <v>65189</v>
      </c>
      <c r="C308">
        <v>7891150092730</v>
      </c>
      <c r="D308">
        <v>20.9</v>
      </c>
      <c r="E308">
        <v>15.26</v>
      </c>
      <c r="F308" s="3">
        <v>0.23780000000000001</v>
      </c>
      <c r="G308">
        <v>13.9976</v>
      </c>
      <c r="H308">
        <v>1.3</v>
      </c>
    </row>
    <row r="309" spans="1:8" x14ac:dyDescent="0.25">
      <c r="A309" t="s">
        <v>315</v>
      </c>
      <c r="B309">
        <v>65190</v>
      </c>
      <c r="C309">
        <v>7891150092716</v>
      </c>
      <c r="D309">
        <v>12.9</v>
      </c>
      <c r="E309">
        <v>8.0500000000000007</v>
      </c>
      <c r="F309" s="3">
        <v>0.34079999999999999</v>
      </c>
      <c r="G309">
        <v>7.31</v>
      </c>
      <c r="H309">
        <v>0.63300000000000001</v>
      </c>
    </row>
    <row r="310" spans="1:8" x14ac:dyDescent="0.25">
      <c r="A310" t="s">
        <v>316</v>
      </c>
      <c r="B310">
        <v>65192</v>
      </c>
      <c r="C310">
        <v>7891150092754</v>
      </c>
      <c r="D310">
        <v>12.9</v>
      </c>
      <c r="E310">
        <v>7.8</v>
      </c>
      <c r="F310" s="3">
        <v>0.35869999999999996</v>
      </c>
      <c r="G310">
        <v>7.0800999999999998</v>
      </c>
      <c r="H310">
        <v>0</v>
      </c>
    </row>
    <row r="311" spans="1:8" x14ac:dyDescent="0.25">
      <c r="A311" t="s">
        <v>317</v>
      </c>
      <c r="B311">
        <v>65191</v>
      </c>
      <c r="C311">
        <v>7891150092723</v>
      </c>
      <c r="D311">
        <v>12.9</v>
      </c>
      <c r="E311">
        <v>7.82</v>
      </c>
      <c r="F311" s="3">
        <v>0.34380000000000005</v>
      </c>
      <c r="G311">
        <v>7.2714999999999996</v>
      </c>
      <c r="H311">
        <v>0.3</v>
      </c>
    </row>
    <row r="312" spans="1:8" x14ac:dyDescent="0.25">
      <c r="A312" t="s">
        <v>318</v>
      </c>
      <c r="B312">
        <v>65194</v>
      </c>
      <c r="C312">
        <v>7891150092709</v>
      </c>
      <c r="D312">
        <v>13.9</v>
      </c>
      <c r="E312">
        <v>12.18</v>
      </c>
      <c r="F312" s="3">
        <v>0.1119</v>
      </c>
      <c r="G312">
        <v>11.058199999999999</v>
      </c>
      <c r="H312">
        <v>3.3</v>
      </c>
    </row>
    <row r="313" spans="1:8" x14ac:dyDescent="0.25">
      <c r="A313" t="s">
        <v>319</v>
      </c>
      <c r="B313">
        <v>65196</v>
      </c>
      <c r="C313">
        <v>7891150092761</v>
      </c>
      <c r="D313">
        <v>10.3</v>
      </c>
      <c r="E313">
        <v>6.27</v>
      </c>
      <c r="F313" s="3">
        <v>0.3513</v>
      </c>
      <c r="G313">
        <v>5.7283999999999997</v>
      </c>
      <c r="H313">
        <v>2.4</v>
      </c>
    </row>
    <row r="314" spans="1:8" x14ac:dyDescent="0.25">
      <c r="A314" t="s">
        <v>320</v>
      </c>
      <c r="B314">
        <v>63135</v>
      </c>
      <c r="C314">
        <v>7891022860429</v>
      </c>
      <c r="D314">
        <v>10.9</v>
      </c>
      <c r="E314">
        <v>6.52</v>
      </c>
      <c r="F314" s="3">
        <v>0.36560000000000004</v>
      </c>
      <c r="G314">
        <v>5.9069000000000003</v>
      </c>
      <c r="H314">
        <v>2.7330000000000001</v>
      </c>
    </row>
    <row r="315" spans="1:8" x14ac:dyDescent="0.25">
      <c r="A315" t="s">
        <v>321</v>
      </c>
      <c r="B315">
        <v>63139</v>
      </c>
      <c r="C315">
        <v>7891022867459</v>
      </c>
      <c r="D315">
        <v>10.9</v>
      </c>
      <c r="E315">
        <v>6.52</v>
      </c>
      <c r="F315" s="3">
        <v>0.36599999999999999</v>
      </c>
      <c r="G315">
        <v>5.9028</v>
      </c>
      <c r="H315">
        <v>1.0329999999999999</v>
      </c>
    </row>
    <row r="316" spans="1:8" x14ac:dyDescent="0.25">
      <c r="A316" t="s">
        <v>322</v>
      </c>
      <c r="B316">
        <v>63136</v>
      </c>
      <c r="C316">
        <v>7891022867336</v>
      </c>
      <c r="D316">
        <v>10.9</v>
      </c>
      <c r="E316">
        <v>6.61</v>
      </c>
      <c r="F316" s="3">
        <v>0.35920000000000002</v>
      </c>
      <c r="G316">
        <v>5.9764999999999997</v>
      </c>
      <c r="H316">
        <v>0.76700000000000002</v>
      </c>
    </row>
    <row r="317" spans="1:8" x14ac:dyDescent="0.25">
      <c r="A317" t="s">
        <v>323</v>
      </c>
      <c r="B317">
        <v>63133</v>
      </c>
      <c r="C317">
        <v>7891022860450</v>
      </c>
      <c r="D317">
        <v>10.9</v>
      </c>
      <c r="E317">
        <v>6.5</v>
      </c>
      <c r="F317" s="3">
        <v>0.36609999999999998</v>
      </c>
      <c r="G317">
        <v>5.9013</v>
      </c>
      <c r="H317">
        <v>6.9</v>
      </c>
    </row>
    <row r="318" spans="1:8" x14ac:dyDescent="0.25">
      <c r="A318" t="s">
        <v>324</v>
      </c>
      <c r="B318">
        <v>63138</v>
      </c>
      <c r="C318">
        <v>7891022867442</v>
      </c>
      <c r="D318">
        <v>10.9</v>
      </c>
      <c r="E318">
        <v>6.52</v>
      </c>
      <c r="F318" s="3">
        <v>0.3644</v>
      </c>
      <c r="G318">
        <v>5.9196999999999997</v>
      </c>
      <c r="H318">
        <v>2.2330000000000001</v>
      </c>
    </row>
    <row r="319" spans="1:8" x14ac:dyDescent="0.25">
      <c r="A319" t="s">
        <v>325</v>
      </c>
      <c r="B319">
        <v>63134</v>
      </c>
      <c r="C319">
        <v>7891022860498</v>
      </c>
      <c r="D319">
        <v>12.9</v>
      </c>
      <c r="E319">
        <v>6.59</v>
      </c>
      <c r="F319" s="3">
        <v>0.44530000000000003</v>
      </c>
      <c r="G319">
        <v>5.9623999999999997</v>
      </c>
      <c r="H319">
        <v>1</v>
      </c>
    </row>
    <row r="320" spans="1:8" x14ac:dyDescent="0.25">
      <c r="A320" t="s">
        <v>326</v>
      </c>
      <c r="B320">
        <v>53062</v>
      </c>
      <c r="C320">
        <v>7896056404441</v>
      </c>
      <c r="D320">
        <v>9.9</v>
      </c>
      <c r="E320">
        <v>5.4</v>
      </c>
      <c r="F320" s="3">
        <v>0.41170000000000001</v>
      </c>
      <c r="G320">
        <v>4.9081999999999999</v>
      </c>
      <c r="H320">
        <v>4.133</v>
      </c>
    </row>
    <row r="321" spans="1:8" x14ac:dyDescent="0.25">
      <c r="A321" t="s">
        <v>327</v>
      </c>
      <c r="B321">
        <v>4911</v>
      </c>
      <c r="C321">
        <v>7896098902400</v>
      </c>
      <c r="D321">
        <v>9.9</v>
      </c>
      <c r="E321">
        <v>6.73</v>
      </c>
      <c r="F321" s="3">
        <v>0.29039999999999999</v>
      </c>
      <c r="G321">
        <v>6.1092000000000004</v>
      </c>
      <c r="H321">
        <v>19.766999999999999</v>
      </c>
    </row>
    <row r="322" spans="1:8" x14ac:dyDescent="0.25">
      <c r="A322" t="s">
        <v>328</v>
      </c>
      <c r="B322">
        <v>4913</v>
      </c>
      <c r="C322">
        <v>7896098902424</v>
      </c>
      <c r="D322">
        <v>9.9</v>
      </c>
      <c r="E322">
        <v>6.73</v>
      </c>
      <c r="F322" s="3">
        <v>0.29070000000000001</v>
      </c>
      <c r="G322">
        <v>6.1067</v>
      </c>
      <c r="H322">
        <v>7.7</v>
      </c>
    </row>
    <row r="323" spans="1:8" x14ac:dyDescent="0.25">
      <c r="A323" t="s">
        <v>329</v>
      </c>
      <c r="B323">
        <v>4912</v>
      </c>
      <c r="C323">
        <v>7896098902455</v>
      </c>
      <c r="D323">
        <v>9.9</v>
      </c>
      <c r="E323">
        <v>6.74</v>
      </c>
      <c r="F323" s="3">
        <v>0.28989999999999999</v>
      </c>
      <c r="G323">
        <v>6.1139000000000001</v>
      </c>
      <c r="H323">
        <v>8.1329999999999991</v>
      </c>
    </row>
    <row r="324" spans="1:8" x14ac:dyDescent="0.25">
      <c r="A324" t="s">
        <v>330</v>
      </c>
      <c r="B324">
        <v>4916</v>
      </c>
      <c r="C324">
        <v>7896098903032</v>
      </c>
      <c r="D324">
        <v>9.9</v>
      </c>
      <c r="E324">
        <v>6.73</v>
      </c>
      <c r="F324" s="3">
        <v>0.29049999999999998</v>
      </c>
      <c r="G324">
        <v>6.1078999999999999</v>
      </c>
      <c r="H324">
        <v>15.833</v>
      </c>
    </row>
    <row r="325" spans="1:8" x14ac:dyDescent="0.25">
      <c r="A325" t="s">
        <v>331</v>
      </c>
      <c r="B325">
        <v>4917</v>
      </c>
      <c r="C325">
        <v>7896098902417</v>
      </c>
      <c r="D325">
        <v>9.9</v>
      </c>
      <c r="E325">
        <v>6.76</v>
      </c>
      <c r="F325" s="3">
        <v>0.28839999999999999</v>
      </c>
      <c r="G325">
        <v>6.1291000000000002</v>
      </c>
      <c r="H325">
        <v>5.2</v>
      </c>
    </row>
    <row r="326" spans="1:8" x14ac:dyDescent="0.25">
      <c r="A326" t="s">
        <v>332</v>
      </c>
      <c r="B326">
        <v>4918</v>
      </c>
      <c r="C326">
        <v>7896098900406</v>
      </c>
      <c r="D326">
        <v>4.9000000000000004</v>
      </c>
      <c r="E326">
        <v>2.36</v>
      </c>
      <c r="F326" s="3">
        <v>0.47110000000000002</v>
      </c>
      <c r="G326">
        <v>2.1383000000000001</v>
      </c>
      <c r="H326">
        <v>3.133</v>
      </c>
    </row>
    <row r="327" spans="1:8" x14ac:dyDescent="0.25">
      <c r="A327" t="s">
        <v>333</v>
      </c>
      <c r="B327">
        <v>4924</v>
      </c>
      <c r="C327">
        <v>7896098900413</v>
      </c>
      <c r="D327">
        <v>4.9000000000000004</v>
      </c>
      <c r="E327">
        <v>2.36</v>
      </c>
      <c r="F327" s="3">
        <v>0.46689999999999998</v>
      </c>
      <c r="G327">
        <v>2.1587999999999998</v>
      </c>
      <c r="H327">
        <v>1.2669999999999999</v>
      </c>
    </row>
    <row r="328" spans="1:8" x14ac:dyDescent="0.25">
      <c r="A328" t="s">
        <v>334</v>
      </c>
      <c r="B328">
        <v>16786</v>
      </c>
      <c r="C328">
        <v>7896098905401</v>
      </c>
      <c r="D328">
        <v>29.9</v>
      </c>
      <c r="E328">
        <v>15.14</v>
      </c>
      <c r="F328" s="3">
        <v>0.44789999999999996</v>
      </c>
      <c r="G328">
        <v>13.7425</v>
      </c>
      <c r="H328">
        <v>5.2670000000000003</v>
      </c>
    </row>
    <row r="329" spans="1:8" x14ac:dyDescent="0.25">
      <c r="A329" t="s">
        <v>335</v>
      </c>
      <c r="B329">
        <v>69195</v>
      </c>
      <c r="C329">
        <v>7896098901557</v>
      </c>
      <c r="D329">
        <v>26.9</v>
      </c>
      <c r="E329">
        <v>16.579999999999998</v>
      </c>
      <c r="F329" s="3">
        <v>0.34810000000000002</v>
      </c>
      <c r="G329">
        <v>15.046799999999999</v>
      </c>
      <c r="H329">
        <v>1.7330000000000001</v>
      </c>
    </row>
    <row r="330" spans="1:8" x14ac:dyDescent="0.25">
      <c r="A330" t="s">
        <v>336</v>
      </c>
      <c r="B330">
        <v>69196</v>
      </c>
      <c r="C330">
        <v>7896098901564</v>
      </c>
      <c r="D330">
        <v>26.9</v>
      </c>
      <c r="E330">
        <v>16.579999999999998</v>
      </c>
      <c r="F330" s="3">
        <v>0.34810000000000002</v>
      </c>
      <c r="G330">
        <v>15.047599999999999</v>
      </c>
      <c r="H330">
        <v>0.9</v>
      </c>
    </row>
    <row r="331" spans="1:8" x14ac:dyDescent="0.25">
      <c r="A331" t="s">
        <v>337</v>
      </c>
      <c r="B331">
        <v>62336</v>
      </c>
      <c r="C331">
        <v>7896098902967</v>
      </c>
      <c r="D331">
        <v>23.9</v>
      </c>
      <c r="E331">
        <v>15.44</v>
      </c>
      <c r="F331" s="3">
        <v>0.32439999999999997</v>
      </c>
      <c r="G331">
        <v>13.9368</v>
      </c>
      <c r="H331">
        <v>0.16700000000000001</v>
      </c>
    </row>
    <row r="332" spans="1:8" x14ac:dyDescent="0.25">
      <c r="A332" t="s">
        <v>338</v>
      </c>
      <c r="B332">
        <v>59995</v>
      </c>
      <c r="C332">
        <v>7896098901847</v>
      </c>
      <c r="D332">
        <v>23.9</v>
      </c>
      <c r="E332">
        <v>15</v>
      </c>
      <c r="F332" s="3">
        <v>0.35170000000000001</v>
      </c>
      <c r="G332">
        <v>13.283099999999999</v>
      </c>
      <c r="H332">
        <v>0.2</v>
      </c>
    </row>
    <row r="333" spans="1:8" x14ac:dyDescent="0.25">
      <c r="A333" t="s">
        <v>339</v>
      </c>
      <c r="B333">
        <v>69194</v>
      </c>
      <c r="C333">
        <v>7896098902141</v>
      </c>
      <c r="D333">
        <v>22.9</v>
      </c>
      <c r="E333">
        <v>14.37</v>
      </c>
      <c r="F333" s="3">
        <v>0.33799999999999997</v>
      </c>
      <c r="G333">
        <v>13.041499999999999</v>
      </c>
      <c r="H333">
        <v>0.4</v>
      </c>
    </row>
    <row r="334" spans="1:8" x14ac:dyDescent="0.25">
      <c r="A334" t="s">
        <v>340</v>
      </c>
      <c r="B334">
        <v>4926</v>
      </c>
      <c r="C334">
        <v>7896098900390</v>
      </c>
      <c r="D334">
        <v>11.9</v>
      </c>
      <c r="E334">
        <v>6.57</v>
      </c>
      <c r="F334" s="3">
        <v>0.40679999999999999</v>
      </c>
      <c r="G334">
        <v>5.9588999999999999</v>
      </c>
      <c r="H334">
        <v>2.8330000000000002</v>
      </c>
    </row>
    <row r="335" spans="1:8" x14ac:dyDescent="0.25">
      <c r="A335" t="s">
        <v>341</v>
      </c>
      <c r="B335">
        <v>46017</v>
      </c>
      <c r="C335">
        <v>7896098903049</v>
      </c>
      <c r="D335">
        <v>11.9</v>
      </c>
      <c r="E335">
        <v>6.49</v>
      </c>
      <c r="F335" s="3">
        <v>0.4133</v>
      </c>
      <c r="G335">
        <v>5.8806000000000003</v>
      </c>
      <c r="H335">
        <v>2.2999999999999998</v>
      </c>
    </row>
    <row r="336" spans="1:8" x14ac:dyDescent="0.25">
      <c r="A336" t="s">
        <v>342</v>
      </c>
      <c r="B336">
        <v>48116</v>
      </c>
      <c r="C336">
        <v>7896098901489</v>
      </c>
      <c r="D336">
        <v>11.9</v>
      </c>
      <c r="E336">
        <v>6.72</v>
      </c>
      <c r="F336" s="3">
        <v>0.40560000000000002</v>
      </c>
      <c r="G336">
        <v>5.9722999999999997</v>
      </c>
      <c r="H336">
        <v>0.96699999999999997</v>
      </c>
    </row>
    <row r="337" spans="1:8" x14ac:dyDescent="0.25">
      <c r="A337" t="s">
        <v>343</v>
      </c>
      <c r="B337">
        <v>4930</v>
      </c>
      <c r="C337">
        <v>7896098900864</v>
      </c>
      <c r="D337">
        <v>11.9</v>
      </c>
      <c r="E337">
        <v>7.26</v>
      </c>
      <c r="F337" s="3">
        <v>0.35479999999999995</v>
      </c>
      <c r="G337">
        <v>6.5770999999999997</v>
      </c>
      <c r="H337">
        <v>0.26700000000000002</v>
      </c>
    </row>
    <row r="338" spans="1:8" x14ac:dyDescent="0.25">
      <c r="A338" t="s">
        <v>344</v>
      </c>
      <c r="B338">
        <v>4927</v>
      </c>
      <c r="C338">
        <v>7896098900871</v>
      </c>
      <c r="D338">
        <v>11.9</v>
      </c>
      <c r="E338">
        <v>7.07</v>
      </c>
      <c r="F338" s="3">
        <v>0.35869999999999996</v>
      </c>
      <c r="G338">
        <v>6.5305</v>
      </c>
      <c r="H338">
        <v>0.433</v>
      </c>
    </row>
    <row r="339" spans="1:8" x14ac:dyDescent="0.25">
      <c r="A339" t="s">
        <v>345</v>
      </c>
      <c r="B339">
        <v>4928</v>
      </c>
      <c r="C339">
        <v>7896098900383</v>
      </c>
      <c r="D339">
        <v>11.9</v>
      </c>
      <c r="E339">
        <v>6.62</v>
      </c>
      <c r="F339" s="3">
        <v>0.40139999999999998</v>
      </c>
      <c r="G339">
        <v>6.0224000000000002</v>
      </c>
      <c r="H339">
        <v>1.367</v>
      </c>
    </row>
    <row r="340" spans="1:8" x14ac:dyDescent="0.25">
      <c r="A340" t="s">
        <v>346</v>
      </c>
      <c r="B340">
        <v>69197</v>
      </c>
      <c r="C340">
        <v>7896098903018</v>
      </c>
      <c r="D340">
        <v>16.899999999999999</v>
      </c>
      <c r="E340">
        <v>10.28</v>
      </c>
      <c r="F340" s="3">
        <v>0.35549999999999998</v>
      </c>
      <c r="G340">
        <v>9.3283000000000005</v>
      </c>
      <c r="H340">
        <v>4.6669999999999998</v>
      </c>
    </row>
    <row r="341" spans="1:8" x14ac:dyDescent="0.25">
      <c r="A341" t="s">
        <v>347</v>
      </c>
      <c r="B341">
        <v>69198</v>
      </c>
      <c r="C341">
        <v>7896098903025</v>
      </c>
      <c r="D341">
        <v>16.899999999999999</v>
      </c>
      <c r="E341">
        <v>10.28</v>
      </c>
      <c r="F341" s="3">
        <v>0.35549999999999998</v>
      </c>
      <c r="G341">
        <v>9.3282000000000007</v>
      </c>
      <c r="H341">
        <v>2.5</v>
      </c>
    </row>
    <row r="342" spans="1:8" x14ac:dyDescent="0.25">
      <c r="A342" t="s">
        <v>348</v>
      </c>
      <c r="B342">
        <v>58005</v>
      </c>
      <c r="C342">
        <v>7896098901854</v>
      </c>
      <c r="D342">
        <v>10.3</v>
      </c>
      <c r="E342">
        <v>6.48</v>
      </c>
      <c r="F342" s="3">
        <v>0.33850000000000002</v>
      </c>
      <c r="G342">
        <v>5.8602999999999996</v>
      </c>
      <c r="H342">
        <v>4</v>
      </c>
    </row>
    <row r="343" spans="1:8" x14ac:dyDescent="0.25">
      <c r="A343" t="s">
        <v>349</v>
      </c>
      <c r="B343">
        <v>58007</v>
      </c>
      <c r="C343">
        <v>7896098901885</v>
      </c>
      <c r="D343">
        <v>10.3</v>
      </c>
      <c r="E343">
        <v>6.41</v>
      </c>
      <c r="F343" s="3">
        <v>0.34289999999999998</v>
      </c>
      <c r="G343">
        <v>5.8158000000000003</v>
      </c>
      <c r="H343">
        <v>5.133</v>
      </c>
    </row>
    <row r="344" spans="1:8" x14ac:dyDescent="0.25">
      <c r="A344" t="s">
        <v>350</v>
      </c>
      <c r="B344">
        <v>67992</v>
      </c>
      <c r="C344">
        <v>7898994905219</v>
      </c>
      <c r="D344">
        <v>32.9</v>
      </c>
      <c r="E344">
        <v>19.649999999999999</v>
      </c>
      <c r="F344" s="3">
        <v>0.29299999999999998</v>
      </c>
      <c r="G344">
        <v>14.2949</v>
      </c>
      <c r="H344">
        <v>0.63300000000000001</v>
      </c>
    </row>
    <row r="345" spans="1:8" x14ac:dyDescent="0.25">
      <c r="A345" t="s">
        <v>351</v>
      </c>
      <c r="B345">
        <v>57676</v>
      </c>
      <c r="C345">
        <v>7891032016960</v>
      </c>
      <c r="D345">
        <v>7.99</v>
      </c>
      <c r="E345">
        <v>4.7300000000000004</v>
      </c>
      <c r="F345" s="3">
        <v>0.37009999999999998</v>
      </c>
      <c r="G345">
        <v>4.2942</v>
      </c>
      <c r="H345">
        <v>2.1</v>
      </c>
    </row>
    <row r="346" spans="1:8" x14ac:dyDescent="0.25">
      <c r="A346" t="s">
        <v>352</v>
      </c>
      <c r="B346">
        <v>61564</v>
      </c>
      <c r="C346">
        <v>5601008602248</v>
      </c>
      <c r="D346">
        <v>54.9</v>
      </c>
      <c r="E346">
        <v>24.54</v>
      </c>
      <c r="F346" s="3">
        <v>0.49990000000000001</v>
      </c>
      <c r="G346">
        <v>22.3752</v>
      </c>
      <c r="H346">
        <v>0.63300000000000001</v>
      </c>
    </row>
    <row r="347" spans="1:8" x14ac:dyDescent="0.25">
      <c r="A347" t="s">
        <v>353</v>
      </c>
      <c r="B347">
        <v>61559</v>
      </c>
      <c r="C347">
        <v>5601008602194</v>
      </c>
      <c r="D347">
        <v>54.9</v>
      </c>
      <c r="E347">
        <v>24.49</v>
      </c>
      <c r="F347" s="3">
        <v>0.50130000000000008</v>
      </c>
      <c r="G347">
        <v>22.298100000000002</v>
      </c>
      <c r="H347">
        <v>0.4</v>
      </c>
    </row>
    <row r="348" spans="1:8" x14ac:dyDescent="0.25">
      <c r="A348" t="s">
        <v>354</v>
      </c>
      <c r="B348">
        <v>61561</v>
      </c>
      <c r="C348">
        <v>5601008602217</v>
      </c>
      <c r="D348">
        <v>54.9</v>
      </c>
      <c r="E348">
        <v>25.21</v>
      </c>
      <c r="F348" s="3">
        <v>0.47479999999999994</v>
      </c>
      <c r="G348">
        <v>23.755299999999998</v>
      </c>
      <c r="H348">
        <v>0.86699999999999999</v>
      </c>
    </row>
    <row r="349" spans="1:8" x14ac:dyDescent="0.25">
      <c r="A349" t="s">
        <v>355</v>
      </c>
      <c r="B349">
        <v>66077</v>
      </c>
      <c r="C349">
        <v>7896058599626</v>
      </c>
      <c r="D349">
        <v>6.99</v>
      </c>
      <c r="E349">
        <v>4.41</v>
      </c>
      <c r="F349" s="3">
        <v>0.33579999999999999</v>
      </c>
      <c r="G349">
        <v>3.9958999999999998</v>
      </c>
      <c r="H349">
        <v>9.6</v>
      </c>
    </row>
    <row r="350" spans="1:8" x14ac:dyDescent="0.25">
      <c r="A350" t="s">
        <v>356</v>
      </c>
      <c r="B350">
        <v>4065</v>
      </c>
      <c r="C350">
        <v>7892840821470</v>
      </c>
      <c r="D350">
        <v>9.9</v>
      </c>
      <c r="E350">
        <v>5.5</v>
      </c>
      <c r="F350" s="3">
        <v>0.4143</v>
      </c>
      <c r="G350">
        <v>4.8830999999999998</v>
      </c>
      <c r="H350">
        <v>54.2</v>
      </c>
    </row>
    <row r="351" spans="1:8" x14ac:dyDescent="0.25">
      <c r="A351" t="s">
        <v>357</v>
      </c>
      <c r="B351">
        <v>62198</v>
      </c>
      <c r="C351">
        <v>7892840823368</v>
      </c>
      <c r="D351">
        <v>9.9</v>
      </c>
      <c r="E351">
        <v>8.18</v>
      </c>
      <c r="F351" s="3">
        <v>0.16570000000000001</v>
      </c>
      <c r="G351">
        <v>7.3433999999999999</v>
      </c>
      <c r="H351">
        <v>18.067</v>
      </c>
    </row>
    <row r="352" spans="1:8" x14ac:dyDescent="0.25">
      <c r="A352" t="s">
        <v>358</v>
      </c>
      <c r="B352">
        <v>67017</v>
      </c>
      <c r="C352">
        <v>7892840817749</v>
      </c>
      <c r="D352">
        <v>18.899999999999999</v>
      </c>
      <c r="E352">
        <v>13.35</v>
      </c>
      <c r="F352" s="3">
        <v>0.26379999999999998</v>
      </c>
      <c r="G352">
        <v>12.166700000000001</v>
      </c>
      <c r="H352">
        <v>2.7</v>
      </c>
    </row>
    <row r="353" spans="1:8" x14ac:dyDescent="0.25">
      <c r="A353" t="s">
        <v>359</v>
      </c>
      <c r="B353">
        <v>56774</v>
      </c>
      <c r="C353">
        <v>7898962676097</v>
      </c>
      <c r="D353">
        <v>18.899999999999999</v>
      </c>
      <c r="E353">
        <v>13.32</v>
      </c>
      <c r="F353" s="3">
        <v>0.26860000000000001</v>
      </c>
      <c r="G353">
        <v>12.0748</v>
      </c>
      <c r="H353">
        <v>23.3</v>
      </c>
    </row>
    <row r="354" spans="1:8" x14ac:dyDescent="0.25">
      <c r="A354" t="s">
        <v>360</v>
      </c>
      <c r="B354">
        <v>67018</v>
      </c>
      <c r="C354">
        <v>7892840819903</v>
      </c>
      <c r="D354">
        <v>18.899999999999999</v>
      </c>
      <c r="E354">
        <v>13.35</v>
      </c>
      <c r="F354" s="3">
        <v>0.26150000000000001</v>
      </c>
      <c r="G354">
        <v>12.2102</v>
      </c>
      <c r="H354">
        <v>1.3</v>
      </c>
    </row>
    <row r="355" spans="1:8" x14ac:dyDescent="0.25">
      <c r="A355" t="s">
        <v>361</v>
      </c>
      <c r="B355">
        <v>4063</v>
      </c>
      <c r="C355">
        <v>7892840818258</v>
      </c>
      <c r="D355">
        <v>4.21</v>
      </c>
      <c r="E355">
        <v>2.61</v>
      </c>
      <c r="F355" s="3">
        <v>0.34549999999999997</v>
      </c>
      <c r="G355">
        <v>2.3654000000000002</v>
      </c>
      <c r="H355">
        <v>43.366999999999997</v>
      </c>
    </row>
    <row r="356" spans="1:8" x14ac:dyDescent="0.25">
      <c r="A356" t="s">
        <v>362</v>
      </c>
      <c r="B356">
        <v>4243</v>
      </c>
      <c r="C356">
        <v>7892840814724</v>
      </c>
      <c r="D356">
        <v>7.9</v>
      </c>
      <c r="E356">
        <v>5.52</v>
      </c>
      <c r="F356" s="3">
        <v>0.28539999999999999</v>
      </c>
      <c r="G356">
        <v>4.9142999999999999</v>
      </c>
      <c r="H356">
        <v>24.466999999999999</v>
      </c>
    </row>
    <row r="357" spans="1:8" x14ac:dyDescent="0.25">
      <c r="A357" t="s">
        <v>363</v>
      </c>
      <c r="B357">
        <v>66075</v>
      </c>
      <c r="C357">
        <v>7896058501889</v>
      </c>
      <c r="D357">
        <v>6.99</v>
      </c>
      <c r="E357">
        <v>4.5199999999999996</v>
      </c>
      <c r="F357" s="3">
        <v>0.31940000000000002</v>
      </c>
      <c r="G357">
        <v>4.1106999999999996</v>
      </c>
      <c r="H357">
        <v>4.9669999999999996</v>
      </c>
    </row>
    <row r="358" spans="1:8" x14ac:dyDescent="0.25">
      <c r="A358" t="s">
        <v>364</v>
      </c>
      <c r="B358">
        <v>9199</v>
      </c>
      <c r="C358">
        <v>7896058599831</v>
      </c>
      <c r="D358">
        <v>7.49</v>
      </c>
      <c r="E358">
        <v>4.2300000000000004</v>
      </c>
      <c r="F358" s="3">
        <v>0.38530000000000003</v>
      </c>
      <c r="G358">
        <v>3.9116</v>
      </c>
      <c r="H358">
        <v>7.5330000000000004</v>
      </c>
    </row>
    <row r="359" spans="1:8" x14ac:dyDescent="0.25">
      <c r="A359" t="s">
        <v>365</v>
      </c>
      <c r="B359">
        <v>9200</v>
      </c>
      <c r="C359">
        <v>7896058599848</v>
      </c>
      <c r="D359">
        <v>7.49</v>
      </c>
      <c r="E359">
        <v>4.3</v>
      </c>
      <c r="F359" s="3">
        <v>0.38750000000000001</v>
      </c>
      <c r="G359">
        <v>3.8946000000000001</v>
      </c>
      <c r="H359">
        <v>5.0330000000000004</v>
      </c>
    </row>
    <row r="360" spans="1:8" x14ac:dyDescent="0.25">
      <c r="A360" t="s">
        <v>366</v>
      </c>
      <c r="B360">
        <v>9201</v>
      </c>
      <c r="C360">
        <v>7896058599794</v>
      </c>
      <c r="D360">
        <v>7.49</v>
      </c>
      <c r="E360">
        <v>4.2300000000000004</v>
      </c>
      <c r="F360" s="3">
        <v>0.38020000000000004</v>
      </c>
      <c r="G360">
        <v>3.9496000000000002</v>
      </c>
      <c r="H360">
        <v>6.0330000000000004</v>
      </c>
    </row>
    <row r="361" spans="1:8" x14ac:dyDescent="0.25">
      <c r="A361" t="s">
        <v>367</v>
      </c>
      <c r="B361">
        <v>39890</v>
      </c>
      <c r="C361">
        <v>7896058599824</v>
      </c>
      <c r="D361">
        <v>7.45</v>
      </c>
      <c r="E361">
        <v>5.01</v>
      </c>
      <c r="F361" s="3">
        <v>0.2928</v>
      </c>
      <c r="G361">
        <v>4.5818000000000003</v>
      </c>
      <c r="H361">
        <v>7.2</v>
      </c>
    </row>
    <row r="362" spans="1:8" x14ac:dyDescent="0.25">
      <c r="A362" t="s">
        <v>368</v>
      </c>
      <c r="B362">
        <v>61944</v>
      </c>
      <c r="C362">
        <v>7891095910946</v>
      </c>
      <c r="D362">
        <v>6.99</v>
      </c>
      <c r="E362">
        <v>4.5999999999999996</v>
      </c>
      <c r="F362" s="3">
        <v>0.31509999999999999</v>
      </c>
      <c r="G362">
        <v>4.1410999999999998</v>
      </c>
      <c r="H362">
        <v>7.4</v>
      </c>
    </row>
    <row r="363" spans="1:8" x14ac:dyDescent="0.25">
      <c r="A363" t="s">
        <v>369</v>
      </c>
      <c r="B363">
        <v>61945</v>
      </c>
      <c r="C363">
        <v>7891095910977</v>
      </c>
      <c r="D363">
        <v>6.99</v>
      </c>
      <c r="E363">
        <v>4.5199999999999996</v>
      </c>
      <c r="F363" s="3">
        <v>0.30790000000000001</v>
      </c>
      <c r="G363">
        <v>4.1913999999999998</v>
      </c>
      <c r="H363">
        <v>2.633</v>
      </c>
    </row>
    <row r="364" spans="1:8" x14ac:dyDescent="0.25">
      <c r="A364" t="s">
        <v>370</v>
      </c>
      <c r="B364">
        <v>61946</v>
      </c>
      <c r="C364">
        <v>7891095910991</v>
      </c>
      <c r="D364">
        <v>6.99</v>
      </c>
      <c r="E364">
        <v>4.5999999999999996</v>
      </c>
      <c r="F364" s="3">
        <v>0.29719999999999996</v>
      </c>
      <c r="G364">
        <v>4.2657999999999996</v>
      </c>
      <c r="H364">
        <v>1.8</v>
      </c>
    </row>
    <row r="365" spans="1:8" x14ac:dyDescent="0.25">
      <c r="A365" t="s">
        <v>371</v>
      </c>
      <c r="B365">
        <v>61949</v>
      </c>
      <c r="C365">
        <v>7891095910953</v>
      </c>
      <c r="D365">
        <v>16.899999999999999</v>
      </c>
      <c r="E365">
        <v>12.4</v>
      </c>
      <c r="F365" s="3">
        <v>0.24390000000000001</v>
      </c>
      <c r="G365">
        <v>11.214</v>
      </c>
      <c r="H365">
        <v>8.1999999999999993</v>
      </c>
    </row>
    <row r="366" spans="1:8" x14ac:dyDescent="0.25">
      <c r="A366" t="s">
        <v>372</v>
      </c>
      <c r="B366">
        <v>4250</v>
      </c>
      <c r="C366">
        <v>7891095002146</v>
      </c>
      <c r="D366">
        <v>6.99</v>
      </c>
      <c r="E366">
        <v>3.85</v>
      </c>
      <c r="F366" s="3">
        <v>0.40799999999999997</v>
      </c>
      <c r="G366">
        <v>3.4914999999999998</v>
      </c>
      <c r="H366">
        <v>12.467000000000001</v>
      </c>
    </row>
    <row r="367" spans="1:8" x14ac:dyDescent="0.25">
      <c r="A367" t="s">
        <v>373</v>
      </c>
      <c r="B367">
        <v>8898</v>
      </c>
      <c r="C367">
        <v>7891095015344</v>
      </c>
      <c r="D367">
        <v>16.899999999999999</v>
      </c>
      <c r="E367">
        <v>8.69</v>
      </c>
      <c r="F367" s="3">
        <v>0.44329999999999997</v>
      </c>
      <c r="G367">
        <v>7.8449</v>
      </c>
      <c r="H367">
        <v>6.367</v>
      </c>
    </row>
    <row r="368" spans="1:8" x14ac:dyDescent="0.25">
      <c r="A368" t="s">
        <v>374</v>
      </c>
      <c r="B368">
        <v>3413</v>
      </c>
      <c r="C368">
        <v>7891095011605</v>
      </c>
      <c r="D368">
        <v>21.9</v>
      </c>
      <c r="E368">
        <v>12.98</v>
      </c>
      <c r="F368" s="3">
        <v>0.29609999999999997</v>
      </c>
      <c r="G368">
        <v>9.4480000000000004</v>
      </c>
      <c r="H368">
        <v>4.7329999999999997</v>
      </c>
    </row>
    <row r="369" spans="1:8" x14ac:dyDescent="0.25">
      <c r="A369" t="s">
        <v>375</v>
      </c>
      <c r="B369">
        <v>6097</v>
      </c>
      <c r="C369">
        <v>7891095002160</v>
      </c>
      <c r="D369">
        <v>6.99</v>
      </c>
      <c r="E369">
        <v>4.63</v>
      </c>
      <c r="F369" s="3">
        <v>0.31440000000000001</v>
      </c>
      <c r="G369">
        <v>4.1459999999999999</v>
      </c>
      <c r="H369">
        <v>10.532999999999999</v>
      </c>
    </row>
    <row r="370" spans="1:8" x14ac:dyDescent="0.25">
      <c r="A370" t="s">
        <v>376</v>
      </c>
      <c r="B370">
        <v>8899</v>
      </c>
      <c r="C370">
        <v>7891095017577</v>
      </c>
      <c r="D370">
        <v>16.899999999999999</v>
      </c>
      <c r="E370">
        <v>11.32</v>
      </c>
      <c r="F370" s="3">
        <v>0.30159999999999998</v>
      </c>
      <c r="G370">
        <v>10.239000000000001</v>
      </c>
      <c r="H370">
        <v>3.867</v>
      </c>
    </row>
    <row r="371" spans="1:8" x14ac:dyDescent="0.25">
      <c r="A371" t="s">
        <v>377</v>
      </c>
      <c r="B371">
        <v>4251</v>
      </c>
      <c r="C371">
        <v>7891095002177</v>
      </c>
      <c r="D371">
        <v>6.99</v>
      </c>
      <c r="E371">
        <v>3.85</v>
      </c>
      <c r="F371" s="3">
        <v>0.40759999999999996</v>
      </c>
      <c r="G371">
        <v>3.4944999999999999</v>
      </c>
      <c r="H371">
        <v>15.3</v>
      </c>
    </row>
    <row r="372" spans="1:8" x14ac:dyDescent="0.25">
      <c r="A372" t="s">
        <v>378</v>
      </c>
      <c r="B372">
        <v>11251</v>
      </c>
      <c r="C372">
        <v>7891095005178</v>
      </c>
      <c r="D372">
        <v>16.899999999999999</v>
      </c>
      <c r="E372">
        <v>8.89</v>
      </c>
      <c r="F372" s="3">
        <v>0.42710000000000004</v>
      </c>
      <c r="G372">
        <v>8.1190999999999995</v>
      </c>
      <c r="H372">
        <v>5.6</v>
      </c>
    </row>
    <row r="373" spans="1:8" x14ac:dyDescent="0.25">
      <c r="A373" t="s">
        <v>379</v>
      </c>
      <c r="B373">
        <v>4253</v>
      </c>
      <c r="C373">
        <v>7891095002153</v>
      </c>
      <c r="D373">
        <v>6.99</v>
      </c>
      <c r="E373">
        <v>3.85</v>
      </c>
      <c r="F373" s="3">
        <v>0.40740000000000004</v>
      </c>
      <c r="G373">
        <v>3.4958</v>
      </c>
      <c r="H373">
        <v>10.433</v>
      </c>
    </row>
    <row r="374" spans="1:8" x14ac:dyDescent="0.25">
      <c r="A374" t="s">
        <v>380</v>
      </c>
      <c r="B374">
        <v>6098</v>
      </c>
      <c r="C374">
        <v>7894000010038</v>
      </c>
      <c r="D374">
        <v>30.9</v>
      </c>
      <c r="E374">
        <v>19.899999999999999</v>
      </c>
      <c r="F374" s="3">
        <v>0.25890000000000002</v>
      </c>
      <c r="G374">
        <v>14.4803</v>
      </c>
      <c r="H374">
        <v>0.9</v>
      </c>
    </row>
    <row r="375" spans="1:8" x14ac:dyDescent="0.25">
      <c r="A375" t="s">
        <v>381</v>
      </c>
      <c r="B375">
        <v>63951</v>
      </c>
      <c r="C375">
        <v>7891150055070</v>
      </c>
      <c r="D375">
        <v>6.29</v>
      </c>
      <c r="E375">
        <v>3.24</v>
      </c>
      <c r="F375" s="3">
        <v>0.38179999999999997</v>
      </c>
      <c r="G375">
        <v>2.5516000000000001</v>
      </c>
      <c r="H375">
        <v>18.399999999999999</v>
      </c>
    </row>
    <row r="376" spans="1:8" x14ac:dyDescent="0.25">
      <c r="A376" t="s">
        <v>382</v>
      </c>
      <c r="B376">
        <v>6103</v>
      </c>
      <c r="C376">
        <v>7894000010021</v>
      </c>
      <c r="D376">
        <v>17.899999999999999</v>
      </c>
      <c r="E376">
        <v>11.14</v>
      </c>
      <c r="F376" s="3">
        <v>0.2747</v>
      </c>
      <c r="G376">
        <v>8.1046999999999993</v>
      </c>
      <c r="H376">
        <v>8.0670000000000002</v>
      </c>
    </row>
    <row r="377" spans="1:8" x14ac:dyDescent="0.25">
      <c r="A377" t="s">
        <v>383</v>
      </c>
      <c r="B377">
        <v>65621</v>
      </c>
      <c r="C377">
        <v>7896175310043</v>
      </c>
      <c r="D377">
        <v>17.899999999999999</v>
      </c>
      <c r="E377">
        <v>14.59</v>
      </c>
      <c r="F377" s="3">
        <v>0.1678</v>
      </c>
      <c r="G377">
        <v>13.24</v>
      </c>
      <c r="H377">
        <v>0.6</v>
      </c>
    </row>
    <row r="378" spans="1:8" x14ac:dyDescent="0.25">
      <c r="A378" t="s">
        <v>384</v>
      </c>
      <c r="B378">
        <v>65622</v>
      </c>
      <c r="C378">
        <v>7896175323005</v>
      </c>
      <c r="D378">
        <v>17.899999999999999</v>
      </c>
      <c r="E378">
        <v>14.59</v>
      </c>
      <c r="F378" s="3">
        <v>0.1681</v>
      </c>
      <c r="G378">
        <v>13.2354</v>
      </c>
      <c r="H378">
        <v>0.13300000000000001</v>
      </c>
    </row>
    <row r="379" spans="1:8" x14ac:dyDescent="0.25">
      <c r="A379" t="s">
        <v>385</v>
      </c>
      <c r="B379">
        <v>66313</v>
      </c>
      <c r="C379">
        <v>8003532001707</v>
      </c>
      <c r="D379">
        <v>54.9</v>
      </c>
      <c r="E379">
        <v>44.62</v>
      </c>
      <c r="F379" s="3">
        <v>0.1699</v>
      </c>
      <c r="G379">
        <v>40.493400000000001</v>
      </c>
      <c r="H379">
        <v>6.7000000000000004E-2</v>
      </c>
    </row>
    <row r="380" spans="1:8" x14ac:dyDescent="0.25">
      <c r="A380" t="s">
        <v>386</v>
      </c>
      <c r="B380">
        <v>66314</v>
      </c>
      <c r="C380">
        <v>8003532001615</v>
      </c>
      <c r="D380">
        <v>34.9</v>
      </c>
      <c r="E380">
        <v>23.45</v>
      </c>
      <c r="F380" s="3">
        <v>0.29760000000000003</v>
      </c>
      <c r="G380">
        <v>21.284600000000001</v>
      </c>
      <c r="H380">
        <v>6.7000000000000004E-2</v>
      </c>
    </row>
    <row r="381" spans="1:8" x14ac:dyDescent="0.25">
      <c r="A381" t="s">
        <v>387</v>
      </c>
      <c r="B381">
        <v>66316</v>
      </c>
      <c r="C381">
        <v>8003532001639</v>
      </c>
      <c r="D381">
        <v>36.9</v>
      </c>
      <c r="E381">
        <v>24.76</v>
      </c>
      <c r="F381" s="3">
        <v>0.29859999999999998</v>
      </c>
      <c r="G381">
        <v>22.467199999999998</v>
      </c>
      <c r="H381">
        <v>3.3000000000000002E-2</v>
      </c>
    </row>
    <row r="382" spans="1:8" x14ac:dyDescent="0.25">
      <c r="A382" t="s">
        <v>388</v>
      </c>
      <c r="B382">
        <v>66317</v>
      </c>
      <c r="C382">
        <v>8003532002643</v>
      </c>
      <c r="D382">
        <v>36.9</v>
      </c>
      <c r="E382">
        <v>24.76</v>
      </c>
      <c r="F382" s="3">
        <v>0.29859999999999998</v>
      </c>
      <c r="G382">
        <v>22.466799999999999</v>
      </c>
      <c r="H382">
        <v>0.1</v>
      </c>
    </row>
    <row r="383" spans="1:8" x14ac:dyDescent="0.25">
      <c r="A383" t="s">
        <v>389</v>
      </c>
      <c r="B383">
        <v>26304</v>
      </c>
      <c r="C383">
        <v>7898629610198</v>
      </c>
      <c r="D383">
        <v>5.49</v>
      </c>
      <c r="E383">
        <v>2</v>
      </c>
      <c r="F383" s="3">
        <v>0.57689999999999997</v>
      </c>
      <c r="G383">
        <v>1.8149</v>
      </c>
      <c r="H383">
        <v>2.6</v>
      </c>
    </row>
    <row r="384" spans="1:8" x14ac:dyDescent="0.25">
      <c r="A384" t="s">
        <v>390</v>
      </c>
      <c r="B384">
        <v>64967</v>
      </c>
      <c r="C384">
        <v>7898464250436</v>
      </c>
      <c r="D384">
        <v>28.9</v>
      </c>
      <c r="E384">
        <v>21.08</v>
      </c>
      <c r="F384" s="3">
        <v>0.24559999999999998</v>
      </c>
      <c r="G384">
        <v>19.128499999999999</v>
      </c>
      <c r="H384">
        <v>0.26700000000000002</v>
      </c>
    </row>
    <row r="385" spans="1:8" x14ac:dyDescent="0.25">
      <c r="A385" t="s">
        <v>391</v>
      </c>
      <c r="B385">
        <v>61085</v>
      </c>
      <c r="C385">
        <v>7898070111008</v>
      </c>
      <c r="D385">
        <v>28.9</v>
      </c>
      <c r="E385">
        <v>19.2</v>
      </c>
      <c r="F385" s="3">
        <v>0.30469999999999997</v>
      </c>
      <c r="G385">
        <v>17.420999999999999</v>
      </c>
      <c r="H385">
        <v>0.66700000000000004</v>
      </c>
    </row>
    <row r="386" spans="1:8" x14ac:dyDescent="0.25">
      <c r="A386" t="s">
        <v>392</v>
      </c>
      <c r="B386">
        <v>68398</v>
      </c>
      <c r="C386">
        <v>7891033570492</v>
      </c>
      <c r="D386">
        <v>23.9</v>
      </c>
      <c r="E386">
        <v>16.71</v>
      </c>
      <c r="F386" s="3">
        <v>0.27300000000000002</v>
      </c>
      <c r="G386">
        <v>15.1647</v>
      </c>
      <c r="H386">
        <v>1.833</v>
      </c>
    </row>
    <row r="387" spans="1:8" x14ac:dyDescent="0.25">
      <c r="A387" t="s">
        <v>393</v>
      </c>
      <c r="B387">
        <v>68400</v>
      </c>
      <c r="C387">
        <v>7891033570485</v>
      </c>
      <c r="D387">
        <v>28.9</v>
      </c>
      <c r="E387">
        <v>20.05</v>
      </c>
      <c r="F387" s="3">
        <v>0.27789999999999998</v>
      </c>
      <c r="G387">
        <v>18.1951</v>
      </c>
      <c r="H387">
        <v>2.0329999999999999</v>
      </c>
    </row>
    <row r="388" spans="1:8" x14ac:dyDescent="0.25">
      <c r="A388" t="s">
        <v>394</v>
      </c>
      <c r="B388">
        <v>33191</v>
      </c>
      <c r="C388">
        <v>7702018880409</v>
      </c>
      <c r="D388">
        <v>10.9</v>
      </c>
      <c r="E388">
        <v>4.74</v>
      </c>
      <c r="F388" s="3">
        <v>0.51280000000000003</v>
      </c>
      <c r="G388">
        <v>4.3021000000000003</v>
      </c>
      <c r="H388">
        <v>5.7670000000000003</v>
      </c>
    </row>
    <row r="389" spans="1:8" x14ac:dyDescent="0.25">
      <c r="A389" t="s">
        <v>395</v>
      </c>
      <c r="B389">
        <v>6959</v>
      </c>
      <c r="C389">
        <v>7702018874729</v>
      </c>
      <c r="D389">
        <v>20.9</v>
      </c>
      <c r="E389">
        <v>14.73</v>
      </c>
      <c r="F389" s="3">
        <v>0.28970000000000001</v>
      </c>
      <c r="G389">
        <v>12.911799999999999</v>
      </c>
      <c r="H389">
        <v>3.7669999999999999</v>
      </c>
    </row>
    <row r="390" spans="1:8" x14ac:dyDescent="0.25">
      <c r="A390" t="s">
        <v>396</v>
      </c>
      <c r="B390">
        <v>39463</v>
      </c>
      <c r="C390">
        <v>7891051026773</v>
      </c>
      <c r="D390">
        <v>9.9</v>
      </c>
      <c r="E390">
        <v>4.08</v>
      </c>
      <c r="F390" s="3">
        <v>0.5333</v>
      </c>
      <c r="G390">
        <v>3.7044000000000001</v>
      </c>
      <c r="H390">
        <v>5.6</v>
      </c>
    </row>
    <row r="391" spans="1:8" x14ac:dyDescent="0.25">
      <c r="A391" t="s">
        <v>397</v>
      </c>
      <c r="B391">
        <v>6953</v>
      </c>
      <c r="C391">
        <v>7702018001071</v>
      </c>
      <c r="D391">
        <v>37.9</v>
      </c>
      <c r="E391">
        <v>22.21</v>
      </c>
      <c r="F391" s="3">
        <v>0.37119999999999997</v>
      </c>
      <c r="G391">
        <v>20.3245</v>
      </c>
      <c r="H391">
        <v>0.8</v>
      </c>
    </row>
    <row r="392" spans="1:8" x14ac:dyDescent="0.25">
      <c r="A392" t="s">
        <v>398</v>
      </c>
      <c r="B392">
        <v>52677</v>
      </c>
      <c r="C392">
        <v>7501009222743</v>
      </c>
      <c r="D392">
        <v>10.9</v>
      </c>
      <c r="E392">
        <v>4.33</v>
      </c>
      <c r="F392" s="3">
        <v>0.54759999999999998</v>
      </c>
      <c r="G392">
        <v>3.9226000000000001</v>
      </c>
      <c r="H392">
        <v>7.5670000000000002</v>
      </c>
    </row>
    <row r="393" spans="1:8" x14ac:dyDescent="0.25">
      <c r="A393" t="s">
        <v>399</v>
      </c>
      <c r="B393">
        <v>17010</v>
      </c>
      <c r="C393">
        <v>7500435011303</v>
      </c>
      <c r="D393">
        <v>14.9</v>
      </c>
      <c r="E393">
        <v>8.75</v>
      </c>
      <c r="F393" s="3">
        <v>0.37290000000000001</v>
      </c>
      <c r="G393">
        <v>7.9653</v>
      </c>
      <c r="H393">
        <v>9.2330000000000005</v>
      </c>
    </row>
    <row r="394" spans="1:8" x14ac:dyDescent="0.25">
      <c r="A394" t="s">
        <v>400</v>
      </c>
      <c r="B394">
        <v>6965</v>
      </c>
      <c r="C394">
        <v>7702018072392</v>
      </c>
      <c r="D394">
        <v>22.86</v>
      </c>
      <c r="E394">
        <v>13.2</v>
      </c>
      <c r="F394" s="3">
        <v>0.37659999999999999</v>
      </c>
      <c r="G394">
        <v>12.1364</v>
      </c>
      <c r="H394">
        <v>2.1669999999999998</v>
      </c>
    </row>
    <row r="395" spans="1:8" x14ac:dyDescent="0.25">
      <c r="A395" t="s">
        <v>401</v>
      </c>
      <c r="B395">
        <v>33201</v>
      </c>
      <c r="C395">
        <v>7500435004220</v>
      </c>
      <c r="D395">
        <v>26.85</v>
      </c>
      <c r="E395">
        <v>20.07</v>
      </c>
      <c r="F395" s="3">
        <v>0.21780000000000002</v>
      </c>
      <c r="G395">
        <v>18.5197</v>
      </c>
      <c r="H395">
        <v>3.3330000000000002</v>
      </c>
    </row>
    <row r="396" spans="1:8" x14ac:dyDescent="0.25">
      <c r="A396" t="s">
        <v>402</v>
      </c>
      <c r="B396">
        <v>11437</v>
      </c>
      <c r="C396">
        <v>7896015601164</v>
      </c>
      <c r="D396">
        <v>29.9</v>
      </c>
      <c r="E396">
        <v>18.5</v>
      </c>
      <c r="F396" s="3">
        <v>0.27760000000000001</v>
      </c>
      <c r="G396">
        <v>13.4526</v>
      </c>
      <c r="H396">
        <v>1.9330000000000001</v>
      </c>
    </row>
    <row r="397" spans="1:8" x14ac:dyDescent="0.25">
      <c r="A397" t="s">
        <v>403</v>
      </c>
      <c r="B397">
        <v>6120</v>
      </c>
      <c r="C397">
        <v>7898409950742</v>
      </c>
      <c r="D397">
        <v>9.99</v>
      </c>
      <c r="E397">
        <v>6.93</v>
      </c>
      <c r="F397" s="3">
        <v>0.2228</v>
      </c>
      <c r="G397">
        <v>5.0415999999999999</v>
      </c>
      <c r="H397">
        <v>5.7329999999999997</v>
      </c>
    </row>
    <row r="398" spans="1:8" x14ac:dyDescent="0.25">
      <c r="A398" t="s">
        <v>404</v>
      </c>
      <c r="B398">
        <v>55849</v>
      </c>
      <c r="C398">
        <v>7891048043127</v>
      </c>
      <c r="D398">
        <v>9.5399999999999991</v>
      </c>
      <c r="E398">
        <v>6.98</v>
      </c>
      <c r="F398" s="3">
        <v>0.19239999999999999</v>
      </c>
      <c r="G398">
        <v>5.1037999999999997</v>
      </c>
      <c r="H398">
        <v>0.96699999999999997</v>
      </c>
    </row>
    <row r="399" spans="1:8" x14ac:dyDescent="0.25">
      <c r="A399" t="s">
        <v>405</v>
      </c>
      <c r="B399">
        <v>6112</v>
      </c>
      <c r="C399">
        <v>7891048043035</v>
      </c>
      <c r="D399">
        <v>9.99</v>
      </c>
      <c r="E399">
        <v>7.03</v>
      </c>
      <c r="F399" s="3">
        <v>0.21510000000000001</v>
      </c>
      <c r="G399">
        <v>5.1185999999999998</v>
      </c>
      <c r="H399">
        <v>10.467000000000001</v>
      </c>
    </row>
    <row r="400" spans="1:8" x14ac:dyDescent="0.25">
      <c r="A400" t="s">
        <v>406</v>
      </c>
      <c r="B400">
        <v>65543</v>
      </c>
      <c r="C400">
        <v>8001876002107</v>
      </c>
      <c r="D400">
        <v>19.899999999999999</v>
      </c>
      <c r="E400">
        <v>13.42</v>
      </c>
      <c r="F400" s="3">
        <v>0.30269999999999997</v>
      </c>
      <c r="G400">
        <v>12.4839</v>
      </c>
      <c r="H400">
        <v>0.46700000000000003</v>
      </c>
    </row>
    <row r="401" spans="1:8" x14ac:dyDescent="0.25">
      <c r="A401" t="s">
        <v>407</v>
      </c>
      <c r="B401">
        <v>68761</v>
      </c>
      <c r="C401">
        <v>7893500127819</v>
      </c>
      <c r="D401">
        <v>13.9</v>
      </c>
      <c r="E401">
        <v>9.6</v>
      </c>
      <c r="F401" s="3">
        <v>0.28110000000000002</v>
      </c>
      <c r="G401">
        <v>8.7074999999999996</v>
      </c>
      <c r="H401">
        <v>0.96699999999999997</v>
      </c>
    </row>
    <row r="402" spans="1:8" x14ac:dyDescent="0.25">
      <c r="A402" t="s">
        <v>408</v>
      </c>
      <c r="B402">
        <v>3401</v>
      </c>
      <c r="C402">
        <v>7896196080260</v>
      </c>
      <c r="D402">
        <v>23.9</v>
      </c>
      <c r="E402">
        <v>17.38</v>
      </c>
      <c r="F402" s="3">
        <v>0.2727</v>
      </c>
      <c r="G402">
        <v>17.381399999999999</v>
      </c>
      <c r="H402">
        <v>7.5330000000000004</v>
      </c>
    </row>
    <row r="403" spans="1:8" x14ac:dyDescent="0.25">
      <c r="A403" t="s">
        <v>409</v>
      </c>
      <c r="B403">
        <v>3399</v>
      </c>
      <c r="C403">
        <v>7898152992129</v>
      </c>
      <c r="D403">
        <v>29.9</v>
      </c>
      <c r="E403">
        <v>22.58</v>
      </c>
      <c r="F403" s="3">
        <v>0.24299999999999999</v>
      </c>
      <c r="G403">
        <v>22.632899999999999</v>
      </c>
      <c r="H403">
        <v>3.9670000000000001</v>
      </c>
    </row>
    <row r="404" spans="1:8" x14ac:dyDescent="0.25">
      <c r="A404" t="s">
        <v>410</v>
      </c>
      <c r="B404">
        <v>68740</v>
      </c>
      <c r="C404">
        <v>7896196069371</v>
      </c>
      <c r="D404">
        <v>19.899999999999999</v>
      </c>
      <c r="E404">
        <v>14.82</v>
      </c>
      <c r="F404" s="3">
        <v>0.23749999999999999</v>
      </c>
      <c r="G404">
        <v>13.7806</v>
      </c>
      <c r="H404">
        <v>98</v>
      </c>
    </row>
    <row r="405" spans="1:8" x14ac:dyDescent="0.25">
      <c r="A405" t="s">
        <v>411</v>
      </c>
      <c r="B405">
        <v>68145</v>
      </c>
      <c r="C405">
        <v>7896901200235</v>
      </c>
      <c r="D405">
        <v>6.79</v>
      </c>
      <c r="E405">
        <v>5.18</v>
      </c>
      <c r="F405" s="3">
        <v>0.26019999999999999</v>
      </c>
      <c r="G405">
        <v>5.0232999999999999</v>
      </c>
      <c r="H405">
        <v>16.567</v>
      </c>
    </row>
    <row r="406" spans="1:8" x14ac:dyDescent="0.25">
      <c r="A406" t="s">
        <v>412</v>
      </c>
      <c r="B406">
        <v>68144</v>
      </c>
      <c r="C406">
        <v>7896901200150</v>
      </c>
      <c r="D406">
        <v>12.99</v>
      </c>
      <c r="E406">
        <v>10.33</v>
      </c>
      <c r="F406" s="3">
        <v>0.21840000000000001</v>
      </c>
      <c r="G406">
        <v>10.1533</v>
      </c>
      <c r="H406">
        <v>14.939</v>
      </c>
    </row>
    <row r="407" spans="1:8" x14ac:dyDescent="0.25">
      <c r="A407" t="s">
        <v>413</v>
      </c>
      <c r="B407">
        <v>68143</v>
      </c>
      <c r="C407">
        <v>7896901200143</v>
      </c>
      <c r="D407">
        <v>31.99</v>
      </c>
      <c r="E407">
        <v>26.71</v>
      </c>
      <c r="F407" s="3">
        <v>0.19039999999999999</v>
      </c>
      <c r="G407">
        <v>25.899899999999999</v>
      </c>
      <c r="H407">
        <v>7.9669999999999996</v>
      </c>
    </row>
    <row r="408" spans="1:8" x14ac:dyDescent="0.25">
      <c r="A408" t="s">
        <v>414</v>
      </c>
      <c r="B408">
        <v>3428</v>
      </c>
      <c r="C408">
        <v>7896006711117</v>
      </c>
      <c r="D408">
        <v>5.99</v>
      </c>
      <c r="E408">
        <v>4.7699999999999996</v>
      </c>
      <c r="F408" s="3">
        <v>0.21079999999999999</v>
      </c>
      <c r="G408">
        <v>4.7270000000000003</v>
      </c>
      <c r="H408">
        <v>105.133</v>
      </c>
    </row>
    <row r="409" spans="1:8" x14ac:dyDescent="0.25">
      <c r="A409" t="s">
        <v>415</v>
      </c>
      <c r="B409">
        <v>3435</v>
      </c>
      <c r="C409">
        <v>7896006712114</v>
      </c>
      <c r="D409">
        <v>5.49</v>
      </c>
      <c r="E409">
        <v>4.4400000000000004</v>
      </c>
      <c r="F409" s="3">
        <v>0.19030000000000002</v>
      </c>
      <c r="G409">
        <v>4.4451000000000001</v>
      </c>
      <c r="H409">
        <v>12.733000000000001</v>
      </c>
    </row>
    <row r="410" spans="1:8" x14ac:dyDescent="0.25">
      <c r="A410" t="s">
        <v>416</v>
      </c>
      <c r="B410">
        <v>3432</v>
      </c>
      <c r="C410">
        <v>7896006711124</v>
      </c>
      <c r="D410">
        <v>11.99</v>
      </c>
      <c r="E410">
        <v>8.89</v>
      </c>
      <c r="F410" s="3">
        <v>0.25890000000000002</v>
      </c>
      <c r="G410">
        <v>8.8851999999999993</v>
      </c>
      <c r="H410">
        <v>45</v>
      </c>
    </row>
    <row r="411" spans="1:8" x14ac:dyDescent="0.25">
      <c r="A411" t="s">
        <v>417</v>
      </c>
      <c r="B411">
        <v>3433</v>
      </c>
      <c r="C411">
        <v>7896006711155</v>
      </c>
      <c r="D411">
        <v>28.99</v>
      </c>
      <c r="E411">
        <v>22.96</v>
      </c>
      <c r="F411" s="3">
        <v>0.21739999999999998</v>
      </c>
      <c r="G411">
        <v>22.688500000000001</v>
      </c>
      <c r="H411">
        <v>130.69999999999999</v>
      </c>
    </row>
    <row r="412" spans="1:8" x14ac:dyDescent="0.25">
      <c r="A412" t="s">
        <v>418</v>
      </c>
      <c r="B412">
        <v>3438</v>
      </c>
      <c r="C412">
        <v>7896006712152</v>
      </c>
      <c r="D412">
        <v>27.99</v>
      </c>
      <c r="E412">
        <v>20.21</v>
      </c>
      <c r="F412" s="3">
        <v>0.2898</v>
      </c>
      <c r="G412">
        <v>19.8794</v>
      </c>
      <c r="H412">
        <v>1.167</v>
      </c>
    </row>
    <row r="413" spans="1:8" x14ac:dyDescent="0.25">
      <c r="A413" t="s">
        <v>419</v>
      </c>
      <c r="B413">
        <v>3440</v>
      </c>
      <c r="C413">
        <v>7896006779841</v>
      </c>
      <c r="D413">
        <v>19.899999999999999</v>
      </c>
      <c r="E413">
        <v>13.11</v>
      </c>
      <c r="F413" s="3">
        <v>0.2465</v>
      </c>
      <c r="G413">
        <v>9.5710999999999995</v>
      </c>
      <c r="H413">
        <v>0.33300000000000002</v>
      </c>
    </row>
    <row r="414" spans="1:8" x14ac:dyDescent="0.25">
      <c r="A414" t="s">
        <v>420</v>
      </c>
      <c r="B414">
        <v>3391</v>
      </c>
      <c r="C414">
        <v>7896006798781</v>
      </c>
      <c r="D414">
        <v>19.989999999999998</v>
      </c>
      <c r="E414">
        <v>14.83</v>
      </c>
      <c r="F414" s="3">
        <v>0.25900000000000001</v>
      </c>
      <c r="G414">
        <v>14.813000000000001</v>
      </c>
      <c r="H414">
        <v>2.4</v>
      </c>
    </row>
    <row r="415" spans="1:8" x14ac:dyDescent="0.25">
      <c r="A415" t="s">
        <v>421</v>
      </c>
      <c r="B415">
        <v>13901</v>
      </c>
      <c r="C415">
        <v>7896006798750</v>
      </c>
      <c r="D415">
        <v>15.49</v>
      </c>
      <c r="E415">
        <v>11.7</v>
      </c>
      <c r="F415" s="3">
        <v>0.24559999999999998</v>
      </c>
      <c r="G415">
        <v>11.685499999999999</v>
      </c>
      <c r="H415">
        <v>0.53300000000000003</v>
      </c>
    </row>
    <row r="416" spans="1:8" x14ac:dyDescent="0.25">
      <c r="A416" t="s">
        <v>422</v>
      </c>
      <c r="B416">
        <v>3430</v>
      </c>
      <c r="C416">
        <v>7896006716112</v>
      </c>
      <c r="D416">
        <v>5.99</v>
      </c>
      <c r="E416">
        <v>4.4800000000000004</v>
      </c>
      <c r="F416" s="3">
        <v>0.26400000000000001</v>
      </c>
      <c r="G416">
        <v>4.4086999999999996</v>
      </c>
      <c r="H416">
        <v>24.1</v>
      </c>
    </row>
    <row r="417" spans="1:8" x14ac:dyDescent="0.25">
      <c r="A417" t="s">
        <v>423</v>
      </c>
      <c r="B417">
        <v>3397</v>
      </c>
      <c r="C417">
        <v>7896006716150</v>
      </c>
      <c r="D417">
        <v>30.99</v>
      </c>
      <c r="E417">
        <v>22.17</v>
      </c>
      <c r="F417" s="3">
        <v>0.28649999999999998</v>
      </c>
      <c r="G417">
        <v>22.111499999999999</v>
      </c>
      <c r="H417">
        <v>3.9670000000000001</v>
      </c>
    </row>
    <row r="418" spans="1:8" x14ac:dyDescent="0.25">
      <c r="A418" t="s">
        <v>424</v>
      </c>
      <c r="B418">
        <v>9263</v>
      </c>
      <c r="C418">
        <v>7896006702467</v>
      </c>
      <c r="D418">
        <v>32.9</v>
      </c>
      <c r="E418">
        <v>29.23</v>
      </c>
      <c r="F418" s="3">
        <v>8.1199999999999994E-2</v>
      </c>
      <c r="G418">
        <v>21.2639</v>
      </c>
      <c r="H418">
        <v>0.1</v>
      </c>
    </row>
    <row r="419" spans="1:8" x14ac:dyDescent="0.25">
      <c r="A419" t="s">
        <v>425</v>
      </c>
      <c r="B419">
        <v>13892</v>
      </c>
      <c r="C419">
        <v>7896006702573</v>
      </c>
      <c r="D419">
        <v>22.99</v>
      </c>
      <c r="E419">
        <v>17.22</v>
      </c>
      <c r="F419" s="3">
        <v>0.25109999999999999</v>
      </c>
      <c r="G419">
        <v>17.217500000000001</v>
      </c>
      <c r="H419">
        <v>6.7000000000000004E-2</v>
      </c>
    </row>
    <row r="420" spans="1:8" x14ac:dyDescent="0.25">
      <c r="A420" t="s">
        <v>426</v>
      </c>
      <c r="B420">
        <v>3424</v>
      </c>
      <c r="C420">
        <v>7896006762003</v>
      </c>
      <c r="D420">
        <v>6.49</v>
      </c>
      <c r="E420">
        <v>5.1100000000000003</v>
      </c>
      <c r="F420" s="3">
        <v>0.2253</v>
      </c>
      <c r="G420">
        <v>5.0274999999999999</v>
      </c>
      <c r="H420">
        <v>22.266999999999999</v>
      </c>
    </row>
    <row r="421" spans="1:8" x14ac:dyDescent="0.25">
      <c r="A421" t="s">
        <v>427</v>
      </c>
      <c r="B421">
        <v>3443</v>
      </c>
      <c r="C421">
        <v>7896006762027</v>
      </c>
      <c r="D421">
        <v>31.99</v>
      </c>
      <c r="E421">
        <v>24.85</v>
      </c>
      <c r="F421" s="3">
        <v>0.2349</v>
      </c>
      <c r="G421">
        <v>24.474</v>
      </c>
      <c r="H421">
        <v>4.9669999999999996</v>
      </c>
    </row>
    <row r="422" spans="1:8" x14ac:dyDescent="0.25">
      <c r="A422" t="s">
        <v>428</v>
      </c>
      <c r="B422">
        <v>7511</v>
      </c>
      <c r="C422">
        <v>7897303500053</v>
      </c>
      <c r="D422">
        <v>17.899999999999999</v>
      </c>
      <c r="E422">
        <v>12.79</v>
      </c>
      <c r="F422" s="3">
        <v>0.28559999999999997</v>
      </c>
      <c r="G422">
        <v>12.787699999999999</v>
      </c>
      <c r="H422">
        <v>0.33300000000000002</v>
      </c>
    </row>
    <row r="423" spans="1:8" x14ac:dyDescent="0.25">
      <c r="A423" t="s">
        <v>429</v>
      </c>
      <c r="B423">
        <v>35229</v>
      </c>
      <c r="C423">
        <v>7893500019657</v>
      </c>
      <c r="D423">
        <v>25.9</v>
      </c>
      <c r="E423">
        <v>18.600000000000001</v>
      </c>
      <c r="F423" s="3">
        <v>0.28199999999999997</v>
      </c>
      <c r="G423">
        <v>18.5959</v>
      </c>
      <c r="H423">
        <v>1</v>
      </c>
    </row>
    <row r="424" spans="1:8" x14ac:dyDescent="0.25">
      <c r="A424" t="s">
        <v>430</v>
      </c>
      <c r="B424">
        <v>26141</v>
      </c>
      <c r="C424">
        <v>7896006703136</v>
      </c>
      <c r="D424">
        <v>49.9</v>
      </c>
      <c r="E424">
        <v>0</v>
      </c>
      <c r="F424" s="3">
        <v>1</v>
      </c>
      <c r="G424">
        <v>0</v>
      </c>
      <c r="H424">
        <v>0.56699999999999995</v>
      </c>
    </row>
    <row r="425" spans="1:8" x14ac:dyDescent="0.25">
      <c r="A425" t="s">
        <v>431</v>
      </c>
      <c r="B425">
        <v>3394</v>
      </c>
      <c r="C425">
        <v>7896006718499</v>
      </c>
      <c r="D425">
        <v>10.99</v>
      </c>
      <c r="E425">
        <v>7.26</v>
      </c>
      <c r="F425" s="3">
        <v>0.34619999999999995</v>
      </c>
      <c r="G425">
        <v>7.1855000000000002</v>
      </c>
      <c r="H425">
        <v>1.9</v>
      </c>
    </row>
    <row r="426" spans="1:8" x14ac:dyDescent="0.25">
      <c r="A426" t="s">
        <v>432</v>
      </c>
      <c r="B426">
        <v>3390</v>
      </c>
      <c r="C426">
        <v>7896006702733</v>
      </c>
      <c r="D426">
        <v>12.9</v>
      </c>
      <c r="E426">
        <v>9.52</v>
      </c>
      <c r="F426" s="3">
        <v>0.2596</v>
      </c>
      <c r="G426">
        <v>9.5510999999999999</v>
      </c>
      <c r="H426">
        <v>1.7330000000000001</v>
      </c>
    </row>
    <row r="427" spans="1:8" x14ac:dyDescent="0.25">
      <c r="A427" t="s">
        <v>433</v>
      </c>
      <c r="B427">
        <v>3395</v>
      </c>
      <c r="C427">
        <v>7896006755517</v>
      </c>
      <c r="D427">
        <v>7.49</v>
      </c>
      <c r="E427">
        <v>5.93</v>
      </c>
      <c r="F427" s="3">
        <v>0.1537</v>
      </c>
      <c r="G427">
        <v>6.3388</v>
      </c>
      <c r="H427">
        <v>11.567</v>
      </c>
    </row>
    <row r="428" spans="1:8" x14ac:dyDescent="0.25">
      <c r="A428" t="s">
        <v>434</v>
      </c>
      <c r="B428">
        <v>3421</v>
      </c>
      <c r="C428">
        <v>7896006718734</v>
      </c>
      <c r="D428">
        <v>11.9</v>
      </c>
      <c r="E428">
        <v>8.4700000000000006</v>
      </c>
      <c r="F428" s="3">
        <v>0.2828</v>
      </c>
      <c r="G428">
        <v>8.5343</v>
      </c>
      <c r="H428">
        <v>0.1</v>
      </c>
    </row>
    <row r="429" spans="1:8" x14ac:dyDescent="0.25">
      <c r="A429" t="s">
        <v>435</v>
      </c>
      <c r="B429">
        <v>35364</v>
      </c>
      <c r="C429">
        <v>7896006795100</v>
      </c>
      <c r="D429">
        <v>15.9</v>
      </c>
      <c r="E429">
        <v>11.34</v>
      </c>
      <c r="F429" s="3">
        <v>0.1946</v>
      </c>
      <c r="G429">
        <v>12.805199999999999</v>
      </c>
      <c r="H429">
        <v>1.4330000000000001</v>
      </c>
    </row>
    <row r="430" spans="1:8" x14ac:dyDescent="0.25">
      <c r="A430" t="s">
        <v>436</v>
      </c>
      <c r="B430">
        <v>30962</v>
      </c>
      <c r="C430">
        <v>7898270911972</v>
      </c>
      <c r="D430">
        <v>19.899999999999999</v>
      </c>
      <c r="E430">
        <v>13.49</v>
      </c>
      <c r="F430" s="3">
        <v>0.32240000000000002</v>
      </c>
      <c r="G430">
        <v>13.484999999999999</v>
      </c>
      <c r="H430">
        <v>0.36699999999999999</v>
      </c>
    </row>
    <row r="431" spans="1:8" x14ac:dyDescent="0.25">
      <c r="A431" t="s">
        <v>437</v>
      </c>
      <c r="B431">
        <v>47142</v>
      </c>
      <c r="C431">
        <v>7897122601955</v>
      </c>
      <c r="D431">
        <v>0</v>
      </c>
      <c r="E431">
        <v>5.0599999999999996</v>
      </c>
      <c r="F431" s="3">
        <v>0</v>
      </c>
      <c r="G431">
        <v>4.1527000000000003</v>
      </c>
      <c r="H431">
        <v>0.92100000000000004</v>
      </c>
    </row>
    <row r="432" spans="1:8" x14ac:dyDescent="0.25">
      <c r="A432" t="s">
        <v>438</v>
      </c>
      <c r="B432">
        <v>65408</v>
      </c>
      <c r="C432">
        <v>7896290300714</v>
      </c>
      <c r="D432">
        <v>6.49</v>
      </c>
      <c r="E432">
        <v>4.4000000000000004</v>
      </c>
      <c r="F432" s="3">
        <v>0.3392</v>
      </c>
      <c r="G432">
        <v>4.2885999999999997</v>
      </c>
      <c r="H432">
        <v>15.1</v>
      </c>
    </row>
    <row r="433" spans="1:8" x14ac:dyDescent="0.25">
      <c r="A433" t="s">
        <v>439</v>
      </c>
      <c r="B433">
        <v>19882</v>
      </c>
      <c r="C433">
        <v>7893500050742</v>
      </c>
      <c r="D433">
        <v>8.99</v>
      </c>
      <c r="E433">
        <v>6.92</v>
      </c>
      <c r="F433" s="3">
        <v>0.2268</v>
      </c>
      <c r="G433">
        <v>6.9508999999999999</v>
      </c>
      <c r="H433">
        <v>2.4670000000000001</v>
      </c>
    </row>
    <row r="434" spans="1:8" x14ac:dyDescent="0.25">
      <c r="A434" t="s">
        <v>440</v>
      </c>
      <c r="B434">
        <v>9273</v>
      </c>
      <c r="C434">
        <v>7893500018483</v>
      </c>
      <c r="D434">
        <v>8.99</v>
      </c>
      <c r="E434">
        <v>6.68</v>
      </c>
      <c r="F434" s="3">
        <v>0.25780000000000003</v>
      </c>
      <c r="G434">
        <v>6.6726000000000001</v>
      </c>
      <c r="H434">
        <v>14.266999999999999</v>
      </c>
    </row>
    <row r="435" spans="1:8" x14ac:dyDescent="0.25">
      <c r="A435" t="s">
        <v>441</v>
      </c>
      <c r="B435">
        <v>44597</v>
      </c>
      <c r="C435">
        <v>7893500089629</v>
      </c>
      <c r="D435">
        <v>12.9</v>
      </c>
      <c r="E435">
        <v>7.5</v>
      </c>
      <c r="F435" s="3">
        <v>0.3044</v>
      </c>
      <c r="G435">
        <v>5.4583000000000004</v>
      </c>
      <c r="H435">
        <v>0.3</v>
      </c>
    </row>
    <row r="436" spans="1:8" x14ac:dyDescent="0.25">
      <c r="A436" t="s">
        <v>442</v>
      </c>
      <c r="B436">
        <v>9638</v>
      </c>
      <c r="C436">
        <v>7893500045434</v>
      </c>
      <c r="D436">
        <v>13.49</v>
      </c>
      <c r="E436">
        <v>8.7799999999999994</v>
      </c>
      <c r="F436" s="3">
        <v>0.25409999999999999</v>
      </c>
      <c r="G436">
        <v>6.3860000000000001</v>
      </c>
      <c r="H436">
        <v>0.63300000000000001</v>
      </c>
    </row>
    <row r="437" spans="1:8" x14ac:dyDescent="0.25">
      <c r="A437" t="s">
        <v>443</v>
      </c>
      <c r="B437">
        <v>19663</v>
      </c>
      <c r="C437">
        <v>7898152992242</v>
      </c>
      <c r="D437">
        <v>29.9</v>
      </c>
      <c r="E437">
        <v>22.3</v>
      </c>
      <c r="F437" s="3">
        <v>0.25109999999999999</v>
      </c>
      <c r="G437">
        <v>22.3932</v>
      </c>
      <c r="H437">
        <v>1.0669999999999999</v>
      </c>
    </row>
    <row r="438" spans="1:8" x14ac:dyDescent="0.25">
      <c r="A438" t="s">
        <v>444</v>
      </c>
      <c r="B438">
        <v>20482</v>
      </c>
      <c r="C438">
        <v>8001420002140</v>
      </c>
      <c r="D438">
        <v>16.899999999999999</v>
      </c>
      <c r="E438">
        <v>13.22</v>
      </c>
      <c r="F438" s="3">
        <v>0.20679999999999998</v>
      </c>
      <c r="G438">
        <v>13.4047</v>
      </c>
      <c r="H438">
        <v>1.4330000000000001</v>
      </c>
    </row>
    <row r="439" spans="1:8" x14ac:dyDescent="0.25">
      <c r="A439" t="s">
        <v>445</v>
      </c>
      <c r="B439">
        <v>20483</v>
      </c>
      <c r="C439">
        <v>8001420006940</v>
      </c>
      <c r="D439">
        <v>20.9</v>
      </c>
      <c r="E439">
        <v>17.7</v>
      </c>
      <c r="F439" s="3">
        <v>0.12359999999999999</v>
      </c>
      <c r="G439">
        <v>18.317599999999999</v>
      </c>
      <c r="H439">
        <v>0.4</v>
      </c>
    </row>
    <row r="440" spans="1:8" x14ac:dyDescent="0.25">
      <c r="A440" t="s">
        <v>446</v>
      </c>
      <c r="B440">
        <v>47218</v>
      </c>
      <c r="C440">
        <v>7896299106027</v>
      </c>
      <c r="D440">
        <v>79.900000000000006</v>
      </c>
      <c r="E440">
        <v>61.67</v>
      </c>
      <c r="F440" s="3">
        <v>0.221</v>
      </c>
      <c r="G440">
        <v>62.2395</v>
      </c>
      <c r="H440">
        <v>1.167</v>
      </c>
    </row>
    <row r="441" spans="1:8" x14ac:dyDescent="0.25">
      <c r="A441" t="s">
        <v>447</v>
      </c>
      <c r="B441">
        <v>18028</v>
      </c>
      <c r="C441">
        <v>7896006791119</v>
      </c>
      <c r="D441">
        <v>12.99</v>
      </c>
      <c r="E441">
        <v>10.3</v>
      </c>
      <c r="F441" s="3">
        <v>0.2069</v>
      </c>
      <c r="G441">
        <v>10.3025</v>
      </c>
      <c r="H441">
        <v>7.4669999999999996</v>
      </c>
    </row>
    <row r="442" spans="1:8" x14ac:dyDescent="0.25">
      <c r="A442" t="s">
        <v>448</v>
      </c>
      <c r="B442">
        <v>18029</v>
      </c>
      <c r="C442">
        <v>7896006791157</v>
      </c>
      <c r="D442">
        <v>54.9</v>
      </c>
      <c r="E442">
        <v>50.9</v>
      </c>
      <c r="F442" s="3">
        <v>7.4999999999999997E-2</v>
      </c>
      <c r="G442">
        <v>50.781999999999996</v>
      </c>
      <c r="H442">
        <v>4.3</v>
      </c>
    </row>
    <row r="443" spans="1:8" x14ac:dyDescent="0.25">
      <c r="A443" t="s">
        <v>449</v>
      </c>
      <c r="B443">
        <v>7535</v>
      </c>
      <c r="C443">
        <v>7896006701118</v>
      </c>
      <c r="D443">
        <v>11.99</v>
      </c>
      <c r="E443">
        <v>9.1</v>
      </c>
      <c r="F443" s="3">
        <v>0.43659999999999999</v>
      </c>
      <c r="G443">
        <v>6.7548000000000004</v>
      </c>
      <c r="H443">
        <v>8.5670000000000002</v>
      </c>
    </row>
    <row r="444" spans="1:8" x14ac:dyDescent="0.25">
      <c r="A444" t="s">
        <v>450</v>
      </c>
      <c r="B444">
        <v>7537</v>
      </c>
      <c r="C444">
        <v>7896006701156</v>
      </c>
      <c r="D444">
        <v>54.9</v>
      </c>
      <c r="E444">
        <v>46.8</v>
      </c>
      <c r="F444" s="3">
        <v>0.1565</v>
      </c>
      <c r="G444">
        <v>46.309800000000003</v>
      </c>
      <c r="H444">
        <v>4.7670000000000003</v>
      </c>
    </row>
    <row r="445" spans="1:8" x14ac:dyDescent="0.25">
      <c r="A445" t="s">
        <v>451</v>
      </c>
      <c r="B445">
        <v>57517</v>
      </c>
      <c r="C445">
        <v>7896196060361</v>
      </c>
      <c r="D445">
        <v>19.899999999999999</v>
      </c>
      <c r="E445">
        <v>14.93</v>
      </c>
      <c r="F445" s="3">
        <v>0.24960000000000002</v>
      </c>
      <c r="G445">
        <v>14.933299999999999</v>
      </c>
      <c r="H445">
        <v>0.86699999999999999</v>
      </c>
    </row>
    <row r="446" spans="1:8" x14ac:dyDescent="0.25">
      <c r="A446" t="s">
        <v>452</v>
      </c>
      <c r="B446">
        <v>30961</v>
      </c>
      <c r="C446">
        <v>7898270911965</v>
      </c>
      <c r="D446">
        <v>19.899999999999999</v>
      </c>
      <c r="E446">
        <v>13.9</v>
      </c>
      <c r="F446" s="3">
        <v>0.3</v>
      </c>
      <c r="G446">
        <v>13.9292</v>
      </c>
      <c r="H446">
        <v>0.16700000000000001</v>
      </c>
    </row>
    <row r="447" spans="1:8" x14ac:dyDescent="0.25">
      <c r="A447" t="s">
        <v>453</v>
      </c>
      <c r="B447">
        <v>67646</v>
      </c>
      <c r="C447">
        <v>7896196069364</v>
      </c>
      <c r="D447">
        <v>22.9</v>
      </c>
      <c r="E447">
        <v>16.73</v>
      </c>
      <c r="F447" s="3">
        <v>0.25069999999999998</v>
      </c>
      <c r="G447">
        <v>15.5549</v>
      </c>
      <c r="H447">
        <v>0.3</v>
      </c>
    </row>
    <row r="448" spans="1:8" x14ac:dyDescent="0.25">
      <c r="A448" t="s">
        <v>454</v>
      </c>
      <c r="B448">
        <v>68307</v>
      </c>
      <c r="C448">
        <v>7896038363056</v>
      </c>
      <c r="D448">
        <v>19.899999999999999</v>
      </c>
      <c r="E448">
        <v>12.78</v>
      </c>
      <c r="F448" s="3">
        <v>0.3175</v>
      </c>
      <c r="G448">
        <v>12.1881</v>
      </c>
      <c r="H448">
        <v>0.66700000000000004</v>
      </c>
    </row>
    <row r="449" spans="1:8" x14ac:dyDescent="0.25">
      <c r="A449" t="s">
        <v>455</v>
      </c>
      <c r="B449">
        <v>37582</v>
      </c>
      <c r="C449">
        <v>7896290300189</v>
      </c>
      <c r="D449">
        <v>6.99</v>
      </c>
      <c r="E449">
        <v>5.42</v>
      </c>
      <c r="F449" s="3">
        <v>0.2261</v>
      </c>
      <c r="G449">
        <v>5.4093999999999998</v>
      </c>
      <c r="H449">
        <v>43.567</v>
      </c>
    </row>
    <row r="450" spans="1:8" x14ac:dyDescent="0.25">
      <c r="A450" t="s">
        <v>456</v>
      </c>
      <c r="B450">
        <v>65409</v>
      </c>
      <c r="C450">
        <v>7896290300295</v>
      </c>
      <c r="D450">
        <v>5.99</v>
      </c>
      <c r="E450">
        <v>5.17</v>
      </c>
      <c r="F450" s="3">
        <v>0.13769999999999999</v>
      </c>
      <c r="G450">
        <v>5.1651999999999996</v>
      </c>
      <c r="H450">
        <v>11.9</v>
      </c>
    </row>
    <row r="451" spans="1:8" x14ac:dyDescent="0.25">
      <c r="A451" t="s">
        <v>457</v>
      </c>
      <c r="B451">
        <v>65413</v>
      </c>
      <c r="C451">
        <v>7896290300318</v>
      </c>
      <c r="D451">
        <v>13.99</v>
      </c>
      <c r="E451">
        <v>8.5299999999999994</v>
      </c>
      <c r="F451" s="3">
        <v>0.39130000000000004</v>
      </c>
      <c r="G451">
        <v>8.5160999999999998</v>
      </c>
      <c r="H451">
        <v>5.6669999999999998</v>
      </c>
    </row>
    <row r="452" spans="1:8" x14ac:dyDescent="0.25">
      <c r="A452" t="s">
        <v>458</v>
      </c>
      <c r="B452">
        <v>65407</v>
      </c>
      <c r="C452">
        <v>7896290300141</v>
      </c>
      <c r="D452">
        <v>12.99</v>
      </c>
      <c r="E452">
        <v>11.04</v>
      </c>
      <c r="F452" s="3">
        <v>0.16109999999999999</v>
      </c>
      <c r="G452">
        <v>10.8977</v>
      </c>
      <c r="H452">
        <v>54.732999999999997</v>
      </c>
    </row>
    <row r="453" spans="1:8" x14ac:dyDescent="0.25">
      <c r="A453" t="s">
        <v>459</v>
      </c>
      <c r="B453">
        <v>65410</v>
      </c>
      <c r="C453">
        <v>7896290301537</v>
      </c>
      <c r="D453">
        <v>11.99</v>
      </c>
      <c r="E453">
        <v>8.9600000000000009</v>
      </c>
      <c r="F453" s="3">
        <v>0.25239999999999996</v>
      </c>
      <c r="G453">
        <v>8.9642999999999997</v>
      </c>
      <c r="H453">
        <v>0.4</v>
      </c>
    </row>
    <row r="454" spans="1:8" x14ac:dyDescent="0.25">
      <c r="A454" t="s">
        <v>460</v>
      </c>
      <c r="B454">
        <v>65412</v>
      </c>
      <c r="C454">
        <v>7896290301544</v>
      </c>
      <c r="D454">
        <v>8.99</v>
      </c>
      <c r="E454">
        <v>6.71</v>
      </c>
      <c r="F454" s="3">
        <v>0.25379999999999997</v>
      </c>
      <c r="G454">
        <v>6.7083000000000004</v>
      </c>
      <c r="H454">
        <v>3.3000000000000002E-2</v>
      </c>
    </row>
    <row r="455" spans="1:8" x14ac:dyDescent="0.25">
      <c r="A455" t="s">
        <v>461</v>
      </c>
      <c r="B455">
        <v>68589</v>
      </c>
      <c r="C455">
        <v>7896290300332</v>
      </c>
      <c r="D455">
        <v>33.99</v>
      </c>
      <c r="E455">
        <v>22.83</v>
      </c>
      <c r="F455" s="3">
        <v>0.34079999999999999</v>
      </c>
      <c r="G455">
        <v>22.4056</v>
      </c>
      <c r="H455">
        <v>3.4670000000000001</v>
      </c>
    </row>
    <row r="456" spans="1:8" x14ac:dyDescent="0.25">
      <c r="A456" t="s">
        <v>462</v>
      </c>
      <c r="B456">
        <v>8372</v>
      </c>
      <c r="C456">
        <v>7896290300011</v>
      </c>
      <c r="D456">
        <v>32.99</v>
      </c>
      <c r="E456">
        <v>27.39</v>
      </c>
      <c r="F456" s="3">
        <v>0.17199999999999999</v>
      </c>
      <c r="G456">
        <v>27.314499999999999</v>
      </c>
      <c r="H456">
        <v>36.799999999999997</v>
      </c>
    </row>
    <row r="457" spans="1:8" x14ac:dyDescent="0.25">
      <c r="A457" t="s">
        <v>463</v>
      </c>
      <c r="B457">
        <v>61583</v>
      </c>
      <c r="C457">
        <v>7896007800957</v>
      </c>
      <c r="D457">
        <v>14.9</v>
      </c>
      <c r="E457">
        <v>10.48</v>
      </c>
      <c r="F457" s="3">
        <v>0.29430000000000001</v>
      </c>
      <c r="G457">
        <v>10.5145</v>
      </c>
      <c r="H457">
        <v>7.3330000000000002</v>
      </c>
    </row>
    <row r="458" spans="1:8" x14ac:dyDescent="0.25">
      <c r="A458" t="s">
        <v>464</v>
      </c>
      <c r="B458">
        <v>62310</v>
      </c>
      <c r="C458">
        <v>7896007802883</v>
      </c>
      <c r="D458">
        <v>59.9</v>
      </c>
      <c r="E458">
        <v>40.159999999999997</v>
      </c>
      <c r="F458" s="3">
        <v>0.33429999999999999</v>
      </c>
      <c r="G458">
        <v>39.8748</v>
      </c>
      <c r="H458">
        <v>4.2</v>
      </c>
    </row>
    <row r="459" spans="1:8" x14ac:dyDescent="0.25">
      <c r="A459" t="s">
        <v>465</v>
      </c>
      <c r="B459">
        <v>61584</v>
      </c>
      <c r="C459">
        <v>7896007800964</v>
      </c>
      <c r="D459">
        <v>69.900000000000006</v>
      </c>
      <c r="E459">
        <v>48.68</v>
      </c>
      <c r="F459" s="3">
        <v>0.30170000000000002</v>
      </c>
      <c r="G459">
        <v>48.808199999999999</v>
      </c>
      <c r="H459">
        <v>0.4</v>
      </c>
    </row>
    <row r="460" spans="1:8" x14ac:dyDescent="0.25">
      <c r="A460" t="s">
        <v>466</v>
      </c>
      <c r="B460">
        <v>9256</v>
      </c>
      <c r="C460">
        <v>7893500020110</v>
      </c>
      <c r="D460">
        <v>7.99</v>
      </c>
      <c r="E460">
        <v>5.77</v>
      </c>
      <c r="F460" s="3">
        <v>0.28899999999999998</v>
      </c>
      <c r="G460">
        <v>5.6810999999999998</v>
      </c>
      <c r="H460">
        <v>22.832999999999998</v>
      </c>
    </row>
    <row r="461" spans="1:8" x14ac:dyDescent="0.25">
      <c r="A461" t="s">
        <v>467</v>
      </c>
      <c r="B461">
        <v>9257</v>
      </c>
      <c r="C461">
        <v>7893500018469</v>
      </c>
      <c r="D461">
        <v>7.7</v>
      </c>
      <c r="E461">
        <v>5.78</v>
      </c>
      <c r="F461" s="3">
        <v>0.24590000000000001</v>
      </c>
      <c r="G461">
        <v>5.8089000000000004</v>
      </c>
      <c r="H461">
        <v>18</v>
      </c>
    </row>
    <row r="462" spans="1:8" x14ac:dyDescent="0.25">
      <c r="A462" t="s">
        <v>468</v>
      </c>
      <c r="B462">
        <v>9258</v>
      </c>
      <c r="C462">
        <v>7893500020134</v>
      </c>
      <c r="D462">
        <v>14.99</v>
      </c>
      <c r="E462">
        <v>11.38</v>
      </c>
      <c r="F462" s="3">
        <v>0.24809999999999999</v>
      </c>
      <c r="G462">
        <v>11.2714</v>
      </c>
      <c r="H462">
        <v>15.532999999999999</v>
      </c>
    </row>
    <row r="463" spans="1:8" x14ac:dyDescent="0.25">
      <c r="A463" t="s">
        <v>469</v>
      </c>
      <c r="B463">
        <v>3604</v>
      </c>
      <c r="C463">
        <v>7893500020158</v>
      </c>
      <c r="D463">
        <v>35.99</v>
      </c>
      <c r="E463">
        <v>28.25</v>
      </c>
      <c r="F463" s="3">
        <v>0.22120000000000001</v>
      </c>
      <c r="G463">
        <v>28.028300000000002</v>
      </c>
      <c r="H463">
        <v>8.1</v>
      </c>
    </row>
    <row r="464" spans="1:8" x14ac:dyDescent="0.25">
      <c r="A464" t="s">
        <v>470</v>
      </c>
      <c r="B464">
        <v>9259</v>
      </c>
      <c r="C464">
        <v>7893500018452</v>
      </c>
      <c r="D464">
        <v>36.9</v>
      </c>
      <c r="E464">
        <v>27.1</v>
      </c>
      <c r="F464" s="3">
        <v>0.27539999999999998</v>
      </c>
      <c r="G464">
        <v>26.736599999999999</v>
      </c>
      <c r="H464">
        <v>2.3330000000000002</v>
      </c>
    </row>
    <row r="465" spans="1:8" x14ac:dyDescent="0.25">
      <c r="A465" t="s">
        <v>471</v>
      </c>
      <c r="B465">
        <v>9637</v>
      </c>
      <c r="C465">
        <v>7893500045458</v>
      </c>
      <c r="D465">
        <v>13.49</v>
      </c>
      <c r="E465">
        <v>8.7799999999999994</v>
      </c>
      <c r="F465" s="3">
        <v>0.25409999999999999</v>
      </c>
      <c r="G465">
        <v>6.3864999999999998</v>
      </c>
      <c r="H465">
        <v>0.9</v>
      </c>
    </row>
    <row r="466" spans="1:8" x14ac:dyDescent="0.25">
      <c r="A466" t="s">
        <v>472</v>
      </c>
      <c r="B466">
        <v>12979</v>
      </c>
      <c r="C466">
        <v>7893500037996</v>
      </c>
      <c r="D466">
        <v>13.49</v>
      </c>
      <c r="E466">
        <v>8.77</v>
      </c>
      <c r="F466" s="3">
        <v>0.25469999999999998</v>
      </c>
      <c r="G466">
        <v>6.3780000000000001</v>
      </c>
      <c r="H466">
        <v>1.0669999999999999</v>
      </c>
    </row>
    <row r="467" spans="1:8" x14ac:dyDescent="0.25">
      <c r="A467" t="s">
        <v>473</v>
      </c>
      <c r="B467">
        <v>8413</v>
      </c>
      <c r="C467">
        <v>7893500044420</v>
      </c>
      <c r="D467">
        <v>13.99</v>
      </c>
      <c r="E467">
        <v>9.06</v>
      </c>
      <c r="F467" s="3">
        <v>0.25629999999999997</v>
      </c>
      <c r="G467">
        <v>6.5915999999999997</v>
      </c>
      <c r="H467">
        <v>0.5</v>
      </c>
    </row>
    <row r="468" spans="1:8" x14ac:dyDescent="0.25">
      <c r="A468" t="s">
        <v>474</v>
      </c>
      <c r="B468">
        <v>3603</v>
      </c>
      <c r="C468">
        <v>7893500012719</v>
      </c>
      <c r="D468">
        <v>13.99</v>
      </c>
      <c r="E468">
        <v>9.0500000000000007</v>
      </c>
      <c r="F468" s="3">
        <v>0.25679999999999997</v>
      </c>
      <c r="G468">
        <v>6.5857999999999999</v>
      </c>
      <c r="H468">
        <v>6.7000000000000004E-2</v>
      </c>
    </row>
    <row r="469" spans="1:8" x14ac:dyDescent="0.25">
      <c r="A469" t="s">
        <v>475</v>
      </c>
      <c r="B469">
        <v>3599</v>
      </c>
      <c r="C469">
        <v>7893500025375</v>
      </c>
      <c r="D469">
        <v>11.9</v>
      </c>
      <c r="E469">
        <v>7.5</v>
      </c>
      <c r="F469" s="3">
        <v>0.26910000000000001</v>
      </c>
      <c r="G469">
        <v>5.4550999999999998</v>
      </c>
      <c r="H469">
        <v>0.66700000000000004</v>
      </c>
    </row>
    <row r="470" spans="1:8" x14ac:dyDescent="0.25">
      <c r="A470" t="s">
        <v>476</v>
      </c>
      <c r="B470">
        <v>3601</v>
      </c>
      <c r="C470">
        <v>7893500025351</v>
      </c>
      <c r="D470">
        <v>11.9</v>
      </c>
      <c r="E470">
        <v>7.5</v>
      </c>
      <c r="F470" s="3">
        <v>0.26899999999999996</v>
      </c>
      <c r="G470">
        <v>5.4565000000000001</v>
      </c>
      <c r="H470">
        <v>0.7</v>
      </c>
    </row>
    <row r="471" spans="1:8" x14ac:dyDescent="0.25">
      <c r="A471" t="s">
        <v>477</v>
      </c>
      <c r="B471">
        <v>3600</v>
      </c>
      <c r="C471">
        <v>7893500025344</v>
      </c>
      <c r="D471">
        <v>11.9</v>
      </c>
      <c r="E471">
        <v>7.5</v>
      </c>
      <c r="F471" s="3">
        <v>0.26890000000000003</v>
      </c>
      <c r="G471">
        <v>5.4574999999999996</v>
      </c>
      <c r="H471">
        <v>0.433</v>
      </c>
    </row>
    <row r="472" spans="1:8" x14ac:dyDescent="0.25">
      <c r="A472" t="s">
        <v>478</v>
      </c>
      <c r="B472">
        <v>9255</v>
      </c>
      <c r="C472">
        <v>7893500044413</v>
      </c>
      <c r="D472">
        <v>11.9</v>
      </c>
      <c r="E472">
        <v>7.5</v>
      </c>
      <c r="F472" s="3">
        <v>0.26899999999999996</v>
      </c>
      <c r="G472">
        <v>5.4565000000000001</v>
      </c>
      <c r="H472">
        <v>0.23300000000000001</v>
      </c>
    </row>
    <row r="473" spans="1:8" x14ac:dyDescent="0.25">
      <c r="A473" t="s">
        <v>479</v>
      </c>
      <c r="B473">
        <v>3602</v>
      </c>
      <c r="C473">
        <v>7893500025368</v>
      </c>
      <c r="D473">
        <v>11.9</v>
      </c>
      <c r="E473">
        <v>8.2100000000000009</v>
      </c>
      <c r="F473" s="3">
        <v>0.22550000000000001</v>
      </c>
      <c r="G473">
        <v>5.9737999999999998</v>
      </c>
      <c r="H473">
        <v>0.53300000000000003</v>
      </c>
    </row>
    <row r="474" spans="1:8" x14ac:dyDescent="0.25">
      <c r="A474" t="s">
        <v>480</v>
      </c>
      <c r="B474">
        <v>29984</v>
      </c>
      <c r="C474">
        <v>7893500044352</v>
      </c>
      <c r="D474">
        <v>17.899999999999999</v>
      </c>
      <c r="E474">
        <v>13.24</v>
      </c>
      <c r="F474" s="3">
        <v>0.26030000000000003</v>
      </c>
      <c r="G474">
        <v>13.2408</v>
      </c>
      <c r="H474">
        <v>6.7000000000000004E-2</v>
      </c>
    </row>
    <row r="475" spans="1:8" x14ac:dyDescent="0.25">
      <c r="A475" t="s">
        <v>481</v>
      </c>
      <c r="B475">
        <v>29983</v>
      </c>
      <c r="C475">
        <v>7893500019206</v>
      </c>
      <c r="D475">
        <v>25.9</v>
      </c>
      <c r="E475">
        <v>20.23</v>
      </c>
      <c r="F475" s="3">
        <v>0.21890000000000001</v>
      </c>
      <c r="G475">
        <v>20.2301</v>
      </c>
      <c r="H475">
        <v>0.4</v>
      </c>
    </row>
    <row r="476" spans="1:8" x14ac:dyDescent="0.25">
      <c r="A476" t="s">
        <v>482</v>
      </c>
      <c r="B476">
        <v>12974</v>
      </c>
      <c r="C476">
        <v>7893500012689</v>
      </c>
      <c r="D476">
        <v>13.9</v>
      </c>
      <c r="E476">
        <v>9.06</v>
      </c>
      <c r="F476" s="3">
        <v>0.25329999999999997</v>
      </c>
      <c r="G476">
        <v>6.5911999999999997</v>
      </c>
      <c r="H476">
        <v>0.23300000000000001</v>
      </c>
    </row>
    <row r="477" spans="1:8" x14ac:dyDescent="0.25">
      <c r="A477" t="s">
        <v>483</v>
      </c>
      <c r="B477">
        <v>9252</v>
      </c>
      <c r="C477">
        <v>7893500012672</v>
      </c>
      <c r="D477">
        <v>14.9</v>
      </c>
      <c r="E477">
        <v>10.24</v>
      </c>
      <c r="F477" s="3">
        <v>0.22760000000000002</v>
      </c>
      <c r="G477">
        <v>7.4482999999999997</v>
      </c>
      <c r="H477">
        <v>0.4</v>
      </c>
    </row>
    <row r="478" spans="1:8" x14ac:dyDescent="0.25">
      <c r="A478" t="s">
        <v>484</v>
      </c>
      <c r="B478">
        <v>12970</v>
      </c>
      <c r="C478">
        <v>7893500012696</v>
      </c>
      <c r="D478">
        <v>14.9</v>
      </c>
      <c r="E478">
        <v>10.24</v>
      </c>
      <c r="F478" s="3">
        <v>0.22760000000000002</v>
      </c>
      <c r="G478">
        <v>7.4482999999999997</v>
      </c>
      <c r="H478">
        <v>0.36699999999999999</v>
      </c>
    </row>
    <row r="479" spans="1:8" x14ac:dyDescent="0.25">
      <c r="A479" t="s">
        <v>485</v>
      </c>
      <c r="B479">
        <v>29982</v>
      </c>
      <c r="C479">
        <v>7893500019244</v>
      </c>
      <c r="D479">
        <v>16.899999999999999</v>
      </c>
      <c r="E479">
        <v>12.71</v>
      </c>
      <c r="F479" s="3">
        <v>0.2477</v>
      </c>
      <c r="G479">
        <v>12.713800000000001</v>
      </c>
      <c r="H479">
        <v>0.16700000000000001</v>
      </c>
    </row>
    <row r="480" spans="1:8" x14ac:dyDescent="0.25">
      <c r="A480" t="s">
        <v>486</v>
      </c>
      <c r="B480">
        <v>19883</v>
      </c>
      <c r="C480">
        <v>7893500018476</v>
      </c>
      <c r="D480">
        <v>10.49</v>
      </c>
      <c r="E480">
        <v>7.01</v>
      </c>
      <c r="F480" s="3">
        <v>0.31920000000000004</v>
      </c>
      <c r="G480">
        <v>7.1418999999999997</v>
      </c>
      <c r="H480">
        <v>0.53300000000000003</v>
      </c>
    </row>
    <row r="481" spans="1:8" x14ac:dyDescent="0.25">
      <c r="A481" t="s">
        <v>487</v>
      </c>
      <c r="B481">
        <v>29990</v>
      </c>
      <c r="C481">
        <v>7893500003151</v>
      </c>
      <c r="D481">
        <v>64.900000000000006</v>
      </c>
      <c r="E481">
        <v>51.48</v>
      </c>
      <c r="F481" s="3">
        <v>0.19969999999999999</v>
      </c>
      <c r="G481">
        <v>51.942300000000003</v>
      </c>
      <c r="H481">
        <v>6.7000000000000004E-2</v>
      </c>
    </row>
    <row r="482" spans="1:8" x14ac:dyDescent="0.25">
      <c r="A482" t="s">
        <v>488</v>
      </c>
      <c r="B482">
        <v>66344</v>
      </c>
      <c r="C482">
        <v>7896401183960</v>
      </c>
      <c r="D482">
        <v>9.9</v>
      </c>
      <c r="E482">
        <v>6.97</v>
      </c>
      <c r="F482" s="3">
        <v>0.2964</v>
      </c>
      <c r="G482">
        <v>6.9656000000000002</v>
      </c>
      <c r="H482">
        <v>5.5</v>
      </c>
    </row>
    <row r="483" spans="1:8" x14ac:dyDescent="0.25">
      <c r="A483" t="s">
        <v>489</v>
      </c>
      <c r="B483">
        <v>66345</v>
      </c>
      <c r="C483">
        <v>7896401183984</v>
      </c>
      <c r="D483">
        <v>9.9</v>
      </c>
      <c r="E483">
        <v>6.97</v>
      </c>
      <c r="F483" s="3">
        <v>0.2964</v>
      </c>
      <c r="G483">
        <v>6.9656000000000002</v>
      </c>
      <c r="H483">
        <v>4.5</v>
      </c>
    </row>
    <row r="484" spans="1:8" x14ac:dyDescent="0.25">
      <c r="A484" t="s">
        <v>490</v>
      </c>
      <c r="B484">
        <v>66343</v>
      </c>
      <c r="C484">
        <v>7896401183977</v>
      </c>
      <c r="D484">
        <v>9.9</v>
      </c>
      <c r="E484">
        <v>6.97</v>
      </c>
      <c r="F484" s="3">
        <v>0.2964</v>
      </c>
      <c r="G484">
        <v>6.9657</v>
      </c>
      <c r="H484">
        <v>2.9</v>
      </c>
    </row>
    <row r="485" spans="1:8" x14ac:dyDescent="0.25">
      <c r="A485" t="s">
        <v>491</v>
      </c>
      <c r="B485">
        <v>6122</v>
      </c>
      <c r="C485">
        <v>7891150068285</v>
      </c>
      <c r="D485">
        <v>7.99</v>
      </c>
      <c r="E485">
        <v>5.41</v>
      </c>
      <c r="F485" s="3">
        <v>0.29330000000000001</v>
      </c>
      <c r="G485">
        <v>4.9073000000000002</v>
      </c>
      <c r="H485">
        <v>0.66700000000000004</v>
      </c>
    </row>
    <row r="486" spans="1:8" x14ac:dyDescent="0.25">
      <c r="A486" t="s">
        <v>492</v>
      </c>
      <c r="B486">
        <v>6316</v>
      </c>
      <c r="C486">
        <v>7896196060576</v>
      </c>
      <c r="D486">
        <v>30.9</v>
      </c>
      <c r="E486">
        <v>22.96</v>
      </c>
      <c r="F486" s="3">
        <v>0.23319999999999999</v>
      </c>
      <c r="G486">
        <v>20.8367</v>
      </c>
      <c r="H486">
        <v>0.73299999999999998</v>
      </c>
    </row>
    <row r="487" spans="1:8" x14ac:dyDescent="0.25">
      <c r="A487" t="s">
        <v>493</v>
      </c>
      <c r="B487">
        <v>8928</v>
      </c>
      <c r="C487">
        <v>7896196059129</v>
      </c>
      <c r="D487">
        <v>28.9</v>
      </c>
      <c r="E487">
        <v>22.96</v>
      </c>
      <c r="F487" s="3">
        <v>0.1865</v>
      </c>
      <c r="G487">
        <v>20.836600000000001</v>
      </c>
      <c r="H487">
        <v>1.333</v>
      </c>
    </row>
    <row r="488" spans="1:8" x14ac:dyDescent="0.25">
      <c r="A488" t="s">
        <v>494</v>
      </c>
      <c r="B488">
        <v>61275</v>
      </c>
      <c r="C488">
        <v>7898930673431</v>
      </c>
      <c r="D488">
        <v>57.9</v>
      </c>
      <c r="E488">
        <v>34.119999999999997</v>
      </c>
      <c r="F488" s="3">
        <v>0.30159999999999998</v>
      </c>
      <c r="G488">
        <v>24.6617</v>
      </c>
      <c r="H488">
        <v>0.16700000000000001</v>
      </c>
    </row>
    <row r="489" spans="1:8" x14ac:dyDescent="0.25">
      <c r="A489" t="s">
        <v>495</v>
      </c>
      <c r="B489">
        <v>15443</v>
      </c>
      <c r="C489">
        <v>7898930672625</v>
      </c>
      <c r="D489">
        <v>12.9</v>
      </c>
      <c r="E489">
        <v>6.44</v>
      </c>
      <c r="F489" s="3">
        <v>0.36399999999999999</v>
      </c>
      <c r="G489">
        <v>4.6887999999999996</v>
      </c>
      <c r="H489">
        <v>2.5329999999999999</v>
      </c>
    </row>
    <row r="490" spans="1:8" x14ac:dyDescent="0.25">
      <c r="A490" t="s">
        <v>496</v>
      </c>
      <c r="B490">
        <v>15708</v>
      </c>
      <c r="C490">
        <v>7898930672267</v>
      </c>
      <c r="D490">
        <v>16.899999999999999</v>
      </c>
      <c r="E490">
        <v>6.63</v>
      </c>
      <c r="F490" s="3">
        <v>0.44369999999999998</v>
      </c>
      <c r="G490">
        <v>4.7957000000000001</v>
      </c>
      <c r="H490">
        <v>1.133</v>
      </c>
    </row>
    <row r="491" spans="1:8" x14ac:dyDescent="0.25">
      <c r="A491" t="s">
        <v>497</v>
      </c>
      <c r="B491">
        <v>15711</v>
      </c>
      <c r="C491">
        <v>7898930672786</v>
      </c>
      <c r="D491">
        <v>31.9</v>
      </c>
      <c r="E491">
        <v>13.23</v>
      </c>
      <c r="F491" s="3">
        <v>0.42549999999999999</v>
      </c>
      <c r="G491">
        <v>9.6341000000000001</v>
      </c>
      <c r="H491">
        <v>0.3</v>
      </c>
    </row>
    <row r="492" spans="1:8" x14ac:dyDescent="0.25">
      <c r="A492" t="s">
        <v>498</v>
      </c>
      <c r="B492">
        <v>15709</v>
      </c>
      <c r="C492">
        <v>7898930672281</v>
      </c>
      <c r="D492">
        <v>12.9</v>
      </c>
      <c r="E492">
        <v>5.19</v>
      </c>
      <c r="F492" s="3">
        <v>0.43700000000000006</v>
      </c>
      <c r="G492">
        <v>3.7469999999999999</v>
      </c>
      <c r="H492">
        <v>1.4330000000000001</v>
      </c>
    </row>
    <row r="493" spans="1:8" x14ac:dyDescent="0.25">
      <c r="A493" t="s">
        <v>499</v>
      </c>
      <c r="B493">
        <v>15710</v>
      </c>
      <c r="C493">
        <v>7898930672298</v>
      </c>
      <c r="D493">
        <v>22.9</v>
      </c>
      <c r="E493">
        <v>8.57</v>
      </c>
      <c r="F493" s="3">
        <v>0.45479999999999998</v>
      </c>
      <c r="G493">
        <v>6.2458</v>
      </c>
      <c r="H493">
        <v>0.56699999999999995</v>
      </c>
    </row>
    <row r="494" spans="1:8" x14ac:dyDescent="0.25">
      <c r="A494" t="s">
        <v>500</v>
      </c>
      <c r="B494">
        <v>65549</v>
      </c>
      <c r="C494">
        <v>8003294502191</v>
      </c>
      <c r="D494">
        <v>36.9</v>
      </c>
      <c r="E494">
        <v>24.37</v>
      </c>
      <c r="F494" s="3">
        <v>0.30809999999999998</v>
      </c>
      <c r="G494">
        <v>22.118300000000001</v>
      </c>
      <c r="H494">
        <v>6.7000000000000004E-2</v>
      </c>
    </row>
    <row r="495" spans="1:8" x14ac:dyDescent="0.25">
      <c r="A495" t="s">
        <v>501</v>
      </c>
      <c r="B495">
        <v>14088</v>
      </c>
      <c r="C495">
        <v>7896009301117</v>
      </c>
      <c r="D495">
        <v>10.9</v>
      </c>
      <c r="E495">
        <v>7.44</v>
      </c>
      <c r="F495" s="3">
        <v>0.28770000000000001</v>
      </c>
      <c r="G495">
        <v>6.7554999999999996</v>
      </c>
      <c r="H495">
        <v>0.86699999999999999</v>
      </c>
    </row>
    <row r="496" spans="1:8" x14ac:dyDescent="0.25">
      <c r="A496" t="s">
        <v>502</v>
      </c>
      <c r="B496">
        <v>6347</v>
      </c>
      <c r="C496">
        <v>7896009301124</v>
      </c>
      <c r="D496">
        <v>10.9</v>
      </c>
      <c r="E496">
        <v>7.99</v>
      </c>
      <c r="F496" s="3">
        <v>0.2422</v>
      </c>
      <c r="G496">
        <v>7.2516999999999996</v>
      </c>
      <c r="H496">
        <v>2.7330000000000001</v>
      </c>
    </row>
    <row r="497" spans="1:8" x14ac:dyDescent="0.25">
      <c r="A497" t="s">
        <v>503</v>
      </c>
      <c r="B497">
        <v>6350</v>
      </c>
      <c r="C497">
        <v>7896009301131</v>
      </c>
      <c r="D497">
        <v>11.9</v>
      </c>
      <c r="E497">
        <v>8.07</v>
      </c>
      <c r="F497" s="3">
        <v>0.2908</v>
      </c>
      <c r="G497">
        <v>7.3388999999999998</v>
      </c>
      <c r="H497">
        <v>1.7330000000000001</v>
      </c>
    </row>
    <row r="498" spans="1:8" x14ac:dyDescent="0.25">
      <c r="A498" t="s">
        <v>504</v>
      </c>
      <c r="B498">
        <v>6363</v>
      </c>
      <c r="C498">
        <v>7896009301155</v>
      </c>
      <c r="D498">
        <v>14.9</v>
      </c>
      <c r="E498">
        <v>9.1300000000000008</v>
      </c>
      <c r="F498" s="3">
        <v>0.35149999999999998</v>
      </c>
      <c r="G498">
        <v>8.2842000000000002</v>
      </c>
      <c r="H498">
        <v>4.633</v>
      </c>
    </row>
    <row r="499" spans="1:8" x14ac:dyDescent="0.25">
      <c r="A499" t="s">
        <v>505</v>
      </c>
      <c r="B499">
        <v>58321</v>
      </c>
      <c r="C499">
        <v>7891167011786</v>
      </c>
      <c r="D499">
        <v>16.899999999999999</v>
      </c>
      <c r="E499">
        <v>10.94</v>
      </c>
      <c r="F499" s="3">
        <v>0.30420000000000003</v>
      </c>
      <c r="G499">
        <v>10.196099999999999</v>
      </c>
      <c r="H499">
        <v>2.7330000000000001</v>
      </c>
    </row>
    <row r="500" spans="1:8" x14ac:dyDescent="0.25">
      <c r="A500" t="s">
        <v>506</v>
      </c>
      <c r="B500">
        <v>58322</v>
      </c>
      <c r="C500">
        <v>7891167012073</v>
      </c>
      <c r="D500">
        <v>16.899999999999999</v>
      </c>
      <c r="E500">
        <v>11.4</v>
      </c>
      <c r="F500" s="3">
        <v>0.2969</v>
      </c>
      <c r="G500">
        <v>10.319000000000001</v>
      </c>
      <c r="H500">
        <v>4.133</v>
      </c>
    </row>
    <row r="501" spans="1:8" x14ac:dyDescent="0.25">
      <c r="A501" t="s">
        <v>507</v>
      </c>
      <c r="B501">
        <v>66987</v>
      </c>
      <c r="C501">
        <v>7891167831681</v>
      </c>
      <c r="D501">
        <v>13.9</v>
      </c>
      <c r="E501">
        <v>7.67</v>
      </c>
      <c r="F501" s="3">
        <v>0.40409999999999996</v>
      </c>
      <c r="G501">
        <v>6.9972000000000003</v>
      </c>
      <c r="H501">
        <v>1.4670000000000001</v>
      </c>
    </row>
    <row r="502" spans="1:8" x14ac:dyDescent="0.25">
      <c r="A502" t="s">
        <v>508</v>
      </c>
      <c r="B502">
        <v>20366</v>
      </c>
      <c r="C502">
        <v>7891167012059</v>
      </c>
      <c r="D502">
        <v>13.9</v>
      </c>
      <c r="E502">
        <v>9.58</v>
      </c>
      <c r="F502" s="3">
        <v>0.28220000000000001</v>
      </c>
      <c r="G502">
        <v>8.6915999999999993</v>
      </c>
      <c r="H502">
        <v>2.2330000000000001</v>
      </c>
    </row>
    <row r="503" spans="1:8" x14ac:dyDescent="0.25">
      <c r="A503" t="s">
        <v>509</v>
      </c>
      <c r="B503">
        <v>20367</v>
      </c>
      <c r="C503">
        <v>7891167012066</v>
      </c>
      <c r="D503">
        <v>13.9</v>
      </c>
      <c r="E503">
        <v>9.51</v>
      </c>
      <c r="F503" s="3">
        <v>0.28689999999999999</v>
      </c>
      <c r="G503">
        <v>8.6270000000000007</v>
      </c>
      <c r="H503">
        <v>6.6669999999999998</v>
      </c>
    </row>
    <row r="504" spans="1:8" x14ac:dyDescent="0.25">
      <c r="A504" t="s">
        <v>510</v>
      </c>
      <c r="B504">
        <v>37202</v>
      </c>
      <c r="C504">
        <v>7891167012103</v>
      </c>
      <c r="D504">
        <v>9.49</v>
      </c>
      <c r="E504">
        <v>6.47</v>
      </c>
      <c r="F504" s="3">
        <v>0.28920000000000001</v>
      </c>
      <c r="G504">
        <v>5.8677999999999999</v>
      </c>
      <c r="H504">
        <v>5.9</v>
      </c>
    </row>
    <row r="505" spans="1:8" x14ac:dyDescent="0.25">
      <c r="A505" t="s">
        <v>511</v>
      </c>
      <c r="B505">
        <v>6330</v>
      </c>
      <c r="C505">
        <v>7891167011724</v>
      </c>
      <c r="D505">
        <v>11.9</v>
      </c>
      <c r="E505">
        <v>7.8</v>
      </c>
      <c r="F505" s="3">
        <v>0.313</v>
      </c>
      <c r="G505">
        <v>7.0740999999999996</v>
      </c>
      <c r="H505">
        <v>26.733000000000001</v>
      </c>
    </row>
    <row r="506" spans="1:8" x14ac:dyDescent="0.25">
      <c r="A506" t="s">
        <v>512</v>
      </c>
      <c r="B506">
        <v>6335</v>
      </c>
      <c r="C506">
        <v>7891167011717</v>
      </c>
      <c r="D506">
        <v>11.9</v>
      </c>
      <c r="E506">
        <v>7.76</v>
      </c>
      <c r="F506" s="3">
        <v>0.31509999999999999</v>
      </c>
      <c r="G506">
        <v>7.05</v>
      </c>
      <c r="H506">
        <v>23.733000000000001</v>
      </c>
    </row>
    <row r="507" spans="1:8" x14ac:dyDescent="0.25">
      <c r="A507" t="s">
        <v>513</v>
      </c>
      <c r="B507">
        <v>6339</v>
      </c>
      <c r="C507">
        <v>7891167011960</v>
      </c>
      <c r="D507">
        <v>8.69</v>
      </c>
      <c r="E507">
        <v>6.44</v>
      </c>
      <c r="F507" s="3">
        <v>0.23420000000000002</v>
      </c>
      <c r="G507">
        <v>5.8506999999999998</v>
      </c>
      <c r="H507">
        <v>5.4329999999999998</v>
      </c>
    </row>
    <row r="508" spans="1:8" x14ac:dyDescent="0.25">
      <c r="A508" t="s">
        <v>514</v>
      </c>
      <c r="B508">
        <v>6340</v>
      </c>
      <c r="C508">
        <v>7891167011779</v>
      </c>
      <c r="D508">
        <v>8.69</v>
      </c>
      <c r="E508">
        <v>6.45</v>
      </c>
      <c r="F508" s="3">
        <v>0.23309999999999997</v>
      </c>
      <c r="G508">
        <v>5.8604000000000003</v>
      </c>
      <c r="H508">
        <v>77.832999999999998</v>
      </c>
    </row>
    <row r="509" spans="1:8" x14ac:dyDescent="0.25">
      <c r="A509" t="s">
        <v>515</v>
      </c>
      <c r="B509">
        <v>6323</v>
      </c>
      <c r="C509">
        <v>7891167011748</v>
      </c>
      <c r="D509">
        <v>8.69</v>
      </c>
      <c r="E509">
        <v>6.32</v>
      </c>
      <c r="F509" s="3">
        <v>0.23530000000000001</v>
      </c>
      <c r="G509">
        <v>5.8417000000000003</v>
      </c>
      <c r="H509">
        <v>27.966999999999999</v>
      </c>
    </row>
    <row r="510" spans="1:8" x14ac:dyDescent="0.25">
      <c r="A510" t="s">
        <v>516</v>
      </c>
      <c r="B510">
        <v>13247</v>
      </c>
      <c r="C510">
        <v>7891167011953</v>
      </c>
      <c r="D510">
        <v>8.69</v>
      </c>
      <c r="E510">
        <v>6.49</v>
      </c>
      <c r="F510" s="3">
        <v>0.22920000000000001</v>
      </c>
      <c r="G510">
        <v>5.8944999999999999</v>
      </c>
      <c r="H510">
        <v>11.9</v>
      </c>
    </row>
    <row r="511" spans="1:8" x14ac:dyDescent="0.25">
      <c r="A511" t="s">
        <v>517</v>
      </c>
      <c r="B511">
        <v>6325</v>
      </c>
      <c r="C511">
        <v>7891167012011</v>
      </c>
      <c r="D511">
        <v>12.9</v>
      </c>
      <c r="E511">
        <v>8.64</v>
      </c>
      <c r="F511" s="3">
        <v>0.29969999999999997</v>
      </c>
      <c r="G511">
        <v>7.8411999999999997</v>
      </c>
      <c r="H511">
        <v>16.600000000000001</v>
      </c>
    </row>
    <row r="512" spans="1:8" x14ac:dyDescent="0.25">
      <c r="A512" t="s">
        <v>518</v>
      </c>
      <c r="B512">
        <v>6341</v>
      </c>
      <c r="C512">
        <v>7891167011755</v>
      </c>
      <c r="D512">
        <v>12.9</v>
      </c>
      <c r="E512">
        <v>8.61</v>
      </c>
      <c r="F512" s="3">
        <v>0.30049999999999999</v>
      </c>
      <c r="G512">
        <v>7.8299000000000003</v>
      </c>
      <c r="H512">
        <v>205.767</v>
      </c>
    </row>
    <row r="513" spans="1:8" x14ac:dyDescent="0.25">
      <c r="A513" t="s">
        <v>519</v>
      </c>
      <c r="B513">
        <v>6343</v>
      </c>
      <c r="C513">
        <v>7891167011731</v>
      </c>
      <c r="D513">
        <v>12.9</v>
      </c>
      <c r="E513">
        <v>8.64</v>
      </c>
      <c r="F513" s="3">
        <v>0.2999</v>
      </c>
      <c r="G513">
        <v>7.8376000000000001</v>
      </c>
      <c r="H513">
        <v>167.267</v>
      </c>
    </row>
    <row r="514" spans="1:8" x14ac:dyDescent="0.25">
      <c r="A514" t="s">
        <v>520</v>
      </c>
      <c r="B514">
        <v>60403</v>
      </c>
      <c r="C514">
        <v>7891048046470</v>
      </c>
      <c r="D514">
        <v>5.99</v>
      </c>
      <c r="E514">
        <v>3.63</v>
      </c>
      <c r="F514" s="3">
        <v>0.28610000000000002</v>
      </c>
      <c r="G514">
        <v>2.6442999999999999</v>
      </c>
      <c r="H514">
        <v>0.433</v>
      </c>
    </row>
    <row r="515" spans="1:8" x14ac:dyDescent="0.25">
      <c r="A515" t="s">
        <v>521</v>
      </c>
      <c r="B515">
        <v>60404</v>
      </c>
      <c r="C515">
        <v>7891048046487</v>
      </c>
      <c r="D515">
        <v>5.99</v>
      </c>
      <c r="E515">
        <v>3.66</v>
      </c>
      <c r="F515" s="3">
        <v>0.28309999999999996</v>
      </c>
      <c r="G515">
        <v>2.6617000000000002</v>
      </c>
      <c r="H515">
        <v>0.33300000000000002</v>
      </c>
    </row>
    <row r="516" spans="1:8" x14ac:dyDescent="0.25">
      <c r="A516" t="s">
        <v>522</v>
      </c>
      <c r="B516">
        <v>6175</v>
      </c>
      <c r="C516">
        <v>7897303509063</v>
      </c>
      <c r="D516">
        <v>9.9</v>
      </c>
      <c r="E516">
        <v>5.42</v>
      </c>
      <c r="F516" s="3">
        <v>0.32899999999999996</v>
      </c>
      <c r="G516">
        <v>3.9449999999999998</v>
      </c>
      <c r="H516">
        <v>9.2669999999999995</v>
      </c>
    </row>
    <row r="517" spans="1:8" x14ac:dyDescent="0.25">
      <c r="A517" t="s">
        <v>523</v>
      </c>
      <c r="B517">
        <v>6178</v>
      </c>
      <c r="C517">
        <v>7897303509070</v>
      </c>
      <c r="D517">
        <v>9.9</v>
      </c>
      <c r="E517">
        <v>5.42</v>
      </c>
      <c r="F517" s="3">
        <v>0.32899999999999996</v>
      </c>
      <c r="G517">
        <v>3.9451000000000001</v>
      </c>
      <c r="H517">
        <v>3.9670000000000001</v>
      </c>
    </row>
    <row r="518" spans="1:8" x14ac:dyDescent="0.25">
      <c r="A518" t="s">
        <v>524</v>
      </c>
      <c r="B518">
        <v>35065</v>
      </c>
      <c r="C518">
        <v>7894321219721</v>
      </c>
      <c r="D518">
        <v>7.99</v>
      </c>
      <c r="E518">
        <v>3.99</v>
      </c>
      <c r="F518" s="3">
        <v>0.34850000000000003</v>
      </c>
      <c r="G518">
        <v>3.0285000000000002</v>
      </c>
      <c r="H518">
        <v>16.867000000000001</v>
      </c>
    </row>
    <row r="519" spans="1:8" x14ac:dyDescent="0.25">
      <c r="A519" t="s">
        <v>525</v>
      </c>
      <c r="B519">
        <v>35066</v>
      </c>
      <c r="C519">
        <v>7894321219820</v>
      </c>
      <c r="D519">
        <v>7.99</v>
      </c>
      <c r="E519">
        <v>3.97</v>
      </c>
      <c r="F519" s="3">
        <v>0.36080000000000001</v>
      </c>
      <c r="G519">
        <v>2.9302000000000001</v>
      </c>
      <c r="H519">
        <v>20.332999999999998</v>
      </c>
    </row>
    <row r="520" spans="1:8" x14ac:dyDescent="0.25">
      <c r="A520" t="s">
        <v>526</v>
      </c>
      <c r="B520">
        <v>13025</v>
      </c>
      <c r="C520">
        <v>7891095028344</v>
      </c>
      <c r="D520">
        <v>4.34</v>
      </c>
      <c r="E520">
        <v>2.81</v>
      </c>
      <c r="F520" s="3">
        <v>0.25800000000000001</v>
      </c>
      <c r="G520">
        <v>2.0386000000000002</v>
      </c>
      <c r="H520">
        <v>17.533000000000001</v>
      </c>
    </row>
    <row r="521" spans="1:8" x14ac:dyDescent="0.25">
      <c r="A521" t="s">
        <v>527</v>
      </c>
      <c r="B521">
        <v>6171</v>
      </c>
      <c r="C521">
        <v>7896063210530</v>
      </c>
      <c r="D521">
        <v>12.9</v>
      </c>
      <c r="E521">
        <v>7.63</v>
      </c>
      <c r="F521" s="3">
        <v>0.29719999999999996</v>
      </c>
      <c r="G521">
        <v>5.5503</v>
      </c>
      <c r="H521">
        <v>4.8</v>
      </c>
    </row>
    <row r="522" spans="1:8" x14ac:dyDescent="0.25">
      <c r="A522" t="s">
        <v>528</v>
      </c>
      <c r="B522">
        <v>67494</v>
      </c>
      <c r="C522">
        <v>7892840823498</v>
      </c>
      <c r="D522">
        <v>13.9</v>
      </c>
      <c r="E522">
        <v>8.07</v>
      </c>
      <c r="F522" s="3">
        <v>0.30499999999999999</v>
      </c>
      <c r="G522">
        <v>5.8731999999999998</v>
      </c>
      <c r="H522">
        <v>0.76700000000000002</v>
      </c>
    </row>
    <row r="523" spans="1:8" x14ac:dyDescent="0.25">
      <c r="A523" t="s">
        <v>529</v>
      </c>
      <c r="B523">
        <v>62255</v>
      </c>
      <c r="C523">
        <v>7896283007347</v>
      </c>
      <c r="D523">
        <v>5.99</v>
      </c>
      <c r="E523">
        <v>3.33</v>
      </c>
      <c r="F523" s="3">
        <v>0.32420000000000004</v>
      </c>
      <c r="G523">
        <v>2.4157000000000002</v>
      </c>
      <c r="H523">
        <v>20.433</v>
      </c>
    </row>
    <row r="524" spans="1:8" x14ac:dyDescent="0.25">
      <c r="A524" t="s">
        <v>530</v>
      </c>
      <c r="B524">
        <v>62254</v>
      </c>
      <c r="C524">
        <v>7896283007354</v>
      </c>
      <c r="D524">
        <v>5.99</v>
      </c>
      <c r="E524">
        <v>3.3</v>
      </c>
      <c r="F524" s="3">
        <v>0.3276</v>
      </c>
      <c r="G524">
        <v>2.3952</v>
      </c>
      <c r="H524">
        <v>8.8670000000000009</v>
      </c>
    </row>
    <row r="525" spans="1:8" x14ac:dyDescent="0.25">
      <c r="A525" t="s">
        <v>531</v>
      </c>
      <c r="B525">
        <v>6164</v>
      </c>
      <c r="C525">
        <v>7896283000058</v>
      </c>
      <c r="D525">
        <v>13.9</v>
      </c>
      <c r="E525">
        <v>8.2899999999999991</v>
      </c>
      <c r="F525" s="3">
        <v>0.29799999999999999</v>
      </c>
      <c r="G525">
        <v>5.9695999999999998</v>
      </c>
      <c r="H525">
        <v>8.1329999999999991</v>
      </c>
    </row>
    <row r="526" spans="1:8" x14ac:dyDescent="0.25">
      <c r="A526" t="s">
        <v>532</v>
      </c>
      <c r="B526">
        <v>6165</v>
      </c>
      <c r="C526">
        <v>7896283000065</v>
      </c>
      <c r="D526">
        <v>13.9</v>
      </c>
      <c r="E526">
        <v>8.94</v>
      </c>
      <c r="F526" s="3">
        <v>0.25980000000000003</v>
      </c>
      <c r="G526">
        <v>6.5004999999999997</v>
      </c>
      <c r="H526">
        <v>0.13300000000000001</v>
      </c>
    </row>
    <row r="527" spans="1:8" x14ac:dyDescent="0.25">
      <c r="A527" t="s">
        <v>533</v>
      </c>
      <c r="B527">
        <v>19733</v>
      </c>
      <c r="C527">
        <v>7891000102640</v>
      </c>
      <c r="D527">
        <v>6.49</v>
      </c>
      <c r="E527">
        <v>3.68</v>
      </c>
      <c r="F527" s="3">
        <v>0.31440000000000001</v>
      </c>
      <c r="G527">
        <v>2.6808000000000001</v>
      </c>
      <c r="H527">
        <v>10.7</v>
      </c>
    </row>
    <row r="528" spans="1:8" x14ac:dyDescent="0.25">
      <c r="A528" t="s">
        <v>534</v>
      </c>
      <c r="B528">
        <v>19735</v>
      </c>
      <c r="C528">
        <v>7891000102626</v>
      </c>
      <c r="D528">
        <v>6.49</v>
      </c>
      <c r="E528">
        <v>3.69</v>
      </c>
      <c r="F528" s="3">
        <v>0.314</v>
      </c>
      <c r="G528">
        <v>2.6833999999999998</v>
      </c>
      <c r="H528">
        <v>13.4</v>
      </c>
    </row>
    <row r="529" spans="1:8" x14ac:dyDescent="0.25">
      <c r="A529" t="s">
        <v>535</v>
      </c>
      <c r="B529">
        <v>67192</v>
      </c>
      <c r="C529">
        <v>7891000382189</v>
      </c>
      <c r="D529">
        <v>15.9</v>
      </c>
      <c r="E529">
        <v>8.77</v>
      </c>
      <c r="F529" s="3">
        <v>0.32619999999999999</v>
      </c>
      <c r="G529">
        <v>6.38</v>
      </c>
      <c r="H529">
        <v>0.26700000000000002</v>
      </c>
    </row>
    <row r="530" spans="1:8" x14ac:dyDescent="0.25">
      <c r="A530" t="s">
        <v>536</v>
      </c>
      <c r="B530">
        <v>67193</v>
      </c>
      <c r="C530">
        <v>7891000380994</v>
      </c>
      <c r="D530">
        <v>15.9</v>
      </c>
      <c r="E530">
        <v>8.77</v>
      </c>
      <c r="F530" s="3">
        <v>0.32619999999999999</v>
      </c>
      <c r="G530">
        <v>6.3802000000000003</v>
      </c>
      <c r="H530">
        <v>5.5330000000000004</v>
      </c>
    </row>
    <row r="531" spans="1:8" x14ac:dyDescent="0.25">
      <c r="A531" t="s">
        <v>537</v>
      </c>
      <c r="B531">
        <v>67194</v>
      </c>
      <c r="C531">
        <v>7891000381038</v>
      </c>
      <c r="D531">
        <v>15.9</v>
      </c>
      <c r="E531">
        <v>8.77</v>
      </c>
      <c r="F531" s="3">
        <v>0.32630000000000003</v>
      </c>
      <c r="G531">
        <v>6.3795999999999999</v>
      </c>
      <c r="H531">
        <v>5.2</v>
      </c>
    </row>
    <row r="532" spans="1:8" x14ac:dyDescent="0.25">
      <c r="A532" t="s">
        <v>538</v>
      </c>
      <c r="B532">
        <v>55595</v>
      </c>
      <c r="C532">
        <v>7891000253410</v>
      </c>
      <c r="D532">
        <v>14.9</v>
      </c>
      <c r="E532">
        <v>6.56</v>
      </c>
      <c r="F532" s="3">
        <v>0.40720000000000001</v>
      </c>
      <c r="G532">
        <v>4.7727000000000004</v>
      </c>
      <c r="H532">
        <v>0.36699999999999999</v>
      </c>
    </row>
    <row r="533" spans="1:8" x14ac:dyDescent="0.25">
      <c r="A533" t="s">
        <v>539</v>
      </c>
      <c r="B533">
        <v>13027</v>
      </c>
      <c r="C533">
        <v>7891095028337</v>
      </c>
      <c r="D533">
        <v>4.4400000000000004</v>
      </c>
      <c r="E533">
        <v>2.81</v>
      </c>
      <c r="F533" s="3">
        <v>0.26679999999999998</v>
      </c>
      <c r="G533">
        <v>2.0445000000000002</v>
      </c>
      <c r="H533">
        <v>13.467000000000001</v>
      </c>
    </row>
    <row r="534" spans="1:8" x14ac:dyDescent="0.25">
      <c r="A534" t="s">
        <v>540</v>
      </c>
      <c r="B534">
        <v>69089</v>
      </c>
      <c r="C534">
        <v>7896025800106</v>
      </c>
      <c r="D534">
        <v>9.9</v>
      </c>
      <c r="E534">
        <v>6.03</v>
      </c>
      <c r="F534" s="3">
        <v>0.32729999999999998</v>
      </c>
      <c r="G534">
        <v>5.0510000000000002</v>
      </c>
      <c r="H534">
        <v>5.4669999999999996</v>
      </c>
    </row>
    <row r="535" spans="1:8" x14ac:dyDescent="0.25">
      <c r="A535" t="s">
        <v>541</v>
      </c>
      <c r="B535">
        <v>61050</v>
      </c>
      <c r="C535">
        <v>5601216054969</v>
      </c>
      <c r="D535">
        <v>39.9</v>
      </c>
      <c r="E535">
        <v>33.14</v>
      </c>
      <c r="F535" s="3">
        <v>0.16940000000000002</v>
      </c>
      <c r="G535">
        <v>33.141100000000002</v>
      </c>
      <c r="H535">
        <v>0.53300000000000003</v>
      </c>
    </row>
    <row r="536" spans="1:8" x14ac:dyDescent="0.25">
      <c r="A536" t="s">
        <v>542</v>
      </c>
      <c r="B536">
        <v>66572</v>
      </c>
      <c r="C536">
        <v>5601024021498</v>
      </c>
      <c r="D536">
        <v>46.3</v>
      </c>
      <c r="E536">
        <v>45.95</v>
      </c>
      <c r="F536" s="3">
        <v>3.0000000000000001E-3</v>
      </c>
      <c r="G536">
        <v>46.159500000000001</v>
      </c>
      <c r="H536">
        <v>2.5329999999999999</v>
      </c>
    </row>
    <row r="537" spans="1:8" x14ac:dyDescent="0.25">
      <c r="A537" t="s">
        <v>543</v>
      </c>
      <c r="B537">
        <v>36761</v>
      </c>
      <c r="C537">
        <v>5601216120152</v>
      </c>
      <c r="D537">
        <v>40.9</v>
      </c>
      <c r="E537">
        <v>21.72</v>
      </c>
      <c r="F537" s="3">
        <v>0.50680000000000003</v>
      </c>
      <c r="G537">
        <v>20.1723</v>
      </c>
      <c r="H537">
        <v>108.9</v>
      </c>
    </row>
    <row r="538" spans="1:8" x14ac:dyDescent="0.25">
      <c r="A538" t="s">
        <v>544</v>
      </c>
      <c r="B538">
        <v>61056</v>
      </c>
      <c r="C538">
        <v>5601024022013</v>
      </c>
      <c r="D538">
        <v>54.75</v>
      </c>
      <c r="E538">
        <v>40.380000000000003</v>
      </c>
      <c r="F538" s="3">
        <v>0.28889999999999999</v>
      </c>
      <c r="G538">
        <v>38.931899999999999</v>
      </c>
      <c r="H538">
        <v>2.1</v>
      </c>
    </row>
    <row r="539" spans="1:8" x14ac:dyDescent="0.25">
      <c r="A539" t="s">
        <v>545</v>
      </c>
      <c r="B539">
        <v>61054</v>
      </c>
      <c r="C539">
        <v>5601216120336</v>
      </c>
      <c r="D539">
        <v>58.42</v>
      </c>
      <c r="E539">
        <v>44.4</v>
      </c>
      <c r="F539" s="3">
        <v>0.25900000000000001</v>
      </c>
      <c r="G539">
        <v>43.287300000000002</v>
      </c>
      <c r="H539">
        <v>1.867</v>
      </c>
    </row>
    <row r="540" spans="1:8" x14ac:dyDescent="0.25">
      <c r="A540" t="s">
        <v>546</v>
      </c>
      <c r="B540">
        <v>68947</v>
      </c>
      <c r="C540">
        <v>5601024036171</v>
      </c>
      <c r="D540">
        <v>60.9</v>
      </c>
      <c r="E540">
        <v>46.48</v>
      </c>
      <c r="F540" s="3">
        <v>0.23680000000000001</v>
      </c>
      <c r="G540">
        <v>46.478200000000001</v>
      </c>
      <c r="H540">
        <v>0.6</v>
      </c>
    </row>
    <row r="541" spans="1:8" x14ac:dyDescent="0.25">
      <c r="A541" t="s">
        <v>547</v>
      </c>
      <c r="B541">
        <v>9213</v>
      </c>
      <c r="C541">
        <v>8410010813729</v>
      </c>
      <c r="D541">
        <v>42.9</v>
      </c>
      <c r="E541">
        <v>25.78</v>
      </c>
      <c r="F541" s="3">
        <v>0.42869999999999997</v>
      </c>
      <c r="G541">
        <v>24.508900000000001</v>
      </c>
      <c r="H541">
        <v>43.8</v>
      </c>
    </row>
    <row r="542" spans="1:8" x14ac:dyDescent="0.25">
      <c r="A542" t="s">
        <v>548</v>
      </c>
      <c r="B542">
        <v>66546</v>
      </c>
      <c r="C542">
        <v>8437009466650</v>
      </c>
      <c r="D542">
        <v>69.900000000000006</v>
      </c>
      <c r="E542">
        <v>51.42</v>
      </c>
      <c r="F542" s="3">
        <v>0.24</v>
      </c>
      <c r="G542">
        <v>46.659199999999998</v>
      </c>
      <c r="H542">
        <v>0.66700000000000004</v>
      </c>
    </row>
    <row r="543" spans="1:8" x14ac:dyDescent="0.25">
      <c r="A543" t="s">
        <v>549</v>
      </c>
      <c r="B543">
        <v>8062</v>
      </c>
      <c r="C543">
        <v>8001876020026</v>
      </c>
      <c r="D543">
        <v>109</v>
      </c>
      <c r="E543">
        <v>78.42</v>
      </c>
      <c r="F543" s="3">
        <v>0.27989999999999998</v>
      </c>
      <c r="G543">
        <v>78.491600000000005</v>
      </c>
      <c r="H543">
        <v>0.23300000000000001</v>
      </c>
    </row>
    <row r="544" spans="1:8" x14ac:dyDescent="0.25">
      <c r="A544" t="s">
        <v>550</v>
      </c>
      <c r="B544">
        <v>65542</v>
      </c>
      <c r="C544">
        <v>8001876017521</v>
      </c>
      <c r="D544">
        <v>129</v>
      </c>
      <c r="E544">
        <v>73.13</v>
      </c>
      <c r="F544" s="3">
        <v>0.39299999999999996</v>
      </c>
      <c r="G544">
        <v>66.366200000000006</v>
      </c>
      <c r="H544">
        <v>0</v>
      </c>
    </row>
    <row r="545" spans="1:8" x14ac:dyDescent="0.25">
      <c r="A545" t="s">
        <v>551</v>
      </c>
      <c r="B545">
        <v>23876</v>
      </c>
      <c r="C545">
        <v>8001876010591</v>
      </c>
      <c r="D545">
        <v>99</v>
      </c>
      <c r="E545">
        <v>71.45</v>
      </c>
      <c r="F545" s="3">
        <v>0.27829999999999999</v>
      </c>
      <c r="G545">
        <v>71.447699999999998</v>
      </c>
      <c r="H545">
        <v>0.26700000000000002</v>
      </c>
    </row>
    <row r="546" spans="1:8" x14ac:dyDescent="0.25">
      <c r="A546" t="s">
        <v>552</v>
      </c>
      <c r="B546">
        <v>23877</v>
      </c>
      <c r="C546">
        <v>8001876010553</v>
      </c>
      <c r="D546">
        <v>79.900000000000006</v>
      </c>
      <c r="E546">
        <v>79.23</v>
      </c>
      <c r="F546" s="3">
        <v>8.3999999999999995E-3</v>
      </c>
      <c r="G546">
        <v>79.226699999999994</v>
      </c>
      <c r="H546">
        <v>0</v>
      </c>
    </row>
    <row r="547" spans="1:8" x14ac:dyDescent="0.25">
      <c r="A547" t="s">
        <v>553</v>
      </c>
      <c r="B547">
        <v>65540</v>
      </c>
      <c r="C547">
        <v>8001876010539</v>
      </c>
      <c r="D547">
        <v>99</v>
      </c>
      <c r="E547">
        <v>76.92</v>
      </c>
      <c r="F547" s="3">
        <v>0.223</v>
      </c>
      <c r="G547">
        <v>76.918300000000002</v>
      </c>
      <c r="H547">
        <v>3.3000000000000002E-2</v>
      </c>
    </row>
    <row r="548" spans="1:8" x14ac:dyDescent="0.25">
      <c r="A548" t="s">
        <v>554</v>
      </c>
      <c r="B548">
        <v>9328</v>
      </c>
      <c r="C548">
        <v>7804633010015</v>
      </c>
      <c r="D548">
        <v>69.900000000000006</v>
      </c>
      <c r="E548">
        <v>61.21</v>
      </c>
      <c r="F548" s="3">
        <v>0.126</v>
      </c>
      <c r="G548">
        <v>61.094299999999997</v>
      </c>
      <c r="H548">
        <v>0.2</v>
      </c>
    </row>
    <row r="549" spans="1:8" x14ac:dyDescent="0.25">
      <c r="A549" t="s">
        <v>555</v>
      </c>
      <c r="B549">
        <v>61974</v>
      </c>
      <c r="C549">
        <v>7804633010183</v>
      </c>
      <c r="D549">
        <v>99</v>
      </c>
      <c r="E549">
        <v>70.42</v>
      </c>
      <c r="F549" s="3">
        <v>0.28309999999999996</v>
      </c>
      <c r="G549">
        <v>70.973100000000002</v>
      </c>
      <c r="H549">
        <v>0.86699999999999999</v>
      </c>
    </row>
    <row r="550" spans="1:8" x14ac:dyDescent="0.25">
      <c r="A550" t="s">
        <v>556</v>
      </c>
      <c r="B550">
        <v>13072</v>
      </c>
      <c r="C550">
        <v>7804633010091</v>
      </c>
      <c r="D550">
        <v>81.900000000000006</v>
      </c>
      <c r="E550">
        <v>63.97</v>
      </c>
      <c r="F550" s="3">
        <v>0.21899999999999997</v>
      </c>
      <c r="G550">
        <v>63.966700000000003</v>
      </c>
      <c r="H550">
        <v>0.63300000000000001</v>
      </c>
    </row>
    <row r="551" spans="1:8" x14ac:dyDescent="0.25">
      <c r="A551" t="s">
        <v>557</v>
      </c>
      <c r="B551">
        <v>39724</v>
      </c>
      <c r="C551">
        <v>5602720311852</v>
      </c>
      <c r="D551">
        <v>79.900000000000006</v>
      </c>
      <c r="E551">
        <v>57.51</v>
      </c>
      <c r="F551" s="3">
        <v>0.27479999999999999</v>
      </c>
      <c r="G551">
        <v>57.941099999999999</v>
      </c>
      <c r="H551">
        <v>0.93300000000000005</v>
      </c>
    </row>
    <row r="552" spans="1:8" x14ac:dyDescent="0.25">
      <c r="A552" t="s">
        <v>558</v>
      </c>
      <c r="B552">
        <v>13112</v>
      </c>
      <c r="C552">
        <v>5601989003157</v>
      </c>
      <c r="D552">
        <v>119</v>
      </c>
      <c r="E552">
        <v>82.54</v>
      </c>
      <c r="F552" s="3">
        <v>0.30640000000000001</v>
      </c>
      <c r="G552">
        <v>82.541499999999999</v>
      </c>
      <c r="H552">
        <v>3.3000000000000002E-2</v>
      </c>
    </row>
    <row r="553" spans="1:8" x14ac:dyDescent="0.25">
      <c r="A553" t="s">
        <v>559</v>
      </c>
      <c r="B553">
        <v>13111</v>
      </c>
      <c r="C553">
        <v>5601989003140</v>
      </c>
      <c r="D553">
        <v>109</v>
      </c>
      <c r="E553">
        <v>82.02</v>
      </c>
      <c r="F553" s="3">
        <v>0.2475</v>
      </c>
      <c r="G553">
        <v>82.021500000000003</v>
      </c>
      <c r="H553">
        <v>0.13300000000000001</v>
      </c>
    </row>
    <row r="554" spans="1:8" x14ac:dyDescent="0.25">
      <c r="A554" t="s">
        <v>560</v>
      </c>
      <c r="B554">
        <v>66569</v>
      </c>
      <c r="C554">
        <v>8424536936398</v>
      </c>
      <c r="D554">
        <v>46.18</v>
      </c>
      <c r="E554">
        <v>34.46</v>
      </c>
      <c r="F554" s="3">
        <v>0.2303</v>
      </c>
      <c r="G554">
        <v>31.269200000000001</v>
      </c>
      <c r="H554">
        <v>0.9</v>
      </c>
    </row>
    <row r="555" spans="1:8" x14ac:dyDescent="0.25">
      <c r="A555" t="s">
        <v>561</v>
      </c>
      <c r="B555">
        <v>61415</v>
      </c>
      <c r="C555">
        <v>5601252118533</v>
      </c>
      <c r="D555">
        <v>49.71</v>
      </c>
      <c r="E555">
        <v>36.19</v>
      </c>
      <c r="F555" s="3">
        <v>0.27449999999999997</v>
      </c>
      <c r="G555">
        <v>36.066400000000002</v>
      </c>
      <c r="H555">
        <v>1.2330000000000001</v>
      </c>
    </row>
    <row r="556" spans="1:8" x14ac:dyDescent="0.25">
      <c r="A556" t="s">
        <v>562</v>
      </c>
      <c r="B556">
        <v>19202</v>
      </c>
      <c r="C556">
        <v>5601252110568</v>
      </c>
      <c r="D556">
        <v>71.44</v>
      </c>
      <c r="E556">
        <v>49.98</v>
      </c>
      <c r="F556" s="3">
        <v>0.3004</v>
      </c>
      <c r="G556">
        <v>49.98</v>
      </c>
      <c r="H556">
        <v>0.96699999999999997</v>
      </c>
    </row>
    <row r="557" spans="1:8" x14ac:dyDescent="0.25">
      <c r="A557" t="s">
        <v>563</v>
      </c>
      <c r="B557">
        <v>19201</v>
      </c>
      <c r="C557">
        <v>5601252110452</v>
      </c>
      <c r="D557">
        <v>74.11</v>
      </c>
      <c r="E557">
        <v>49.92</v>
      </c>
      <c r="F557" s="3">
        <v>0.32619999999999999</v>
      </c>
      <c r="G557">
        <v>49.937899999999999</v>
      </c>
      <c r="H557">
        <v>0.16700000000000001</v>
      </c>
    </row>
    <row r="558" spans="1:8" x14ac:dyDescent="0.25">
      <c r="A558" t="s">
        <v>564</v>
      </c>
      <c r="B558">
        <v>9205</v>
      </c>
      <c r="C558">
        <v>5601252231164</v>
      </c>
      <c r="D558">
        <v>41.92</v>
      </c>
      <c r="E558">
        <v>26.01</v>
      </c>
      <c r="F558" s="3">
        <v>0.37959999999999999</v>
      </c>
      <c r="G558">
        <v>26.006799999999998</v>
      </c>
      <c r="H558">
        <v>124.967</v>
      </c>
    </row>
    <row r="559" spans="1:8" x14ac:dyDescent="0.25">
      <c r="A559" t="s">
        <v>565</v>
      </c>
      <c r="B559">
        <v>9322</v>
      </c>
      <c r="C559">
        <v>5601252102815</v>
      </c>
      <c r="D559">
        <v>49.9</v>
      </c>
      <c r="E559">
        <v>39.659999999999997</v>
      </c>
      <c r="F559" s="3">
        <v>0.20399999999999999</v>
      </c>
      <c r="G559">
        <v>39.722700000000003</v>
      </c>
      <c r="H559">
        <v>6.367</v>
      </c>
    </row>
    <row r="560" spans="1:8" x14ac:dyDescent="0.25">
      <c r="A560" t="s">
        <v>566</v>
      </c>
      <c r="B560">
        <v>9202</v>
      </c>
      <c r="C560">
        <v>5601989003126</v>
      </c>
      <c r="D560">
        <v>74.900000000000006</v>
      </c>
      <c r="E560">
        <v>59.91</v>
      </c>
      <c r="F560" s="3">
        <v>0.20309999999999997</v>
      </c>
      <c r="G560">
        <v>59.689100000000003</v>
      </c>
      <c r="H560">
        <v>5.0330000000000004</v>
      </c>
    </row>
    <row r="561" spans="1:8" x14ac:dyDescent="0.25">
      <c r="A561" t="s">
        <v>567</v>
      </c>
      <c r="B561">
        <v>63608</v>
      </c>
      <c r="C561">
        <v>7896196065014</v>
      </c>
      <c r="D561">
        <v>89.9</v>
      </c>
      <c r="E561">
        <v>64.63</v>
      </c>
      <c r="F561" s="3">
        <v>0.28110000000000002</v>
      </c>
      <c r="G561">
        <v>64.627799999999993</v>
      </c>
      <c r="H561">
        <v>6.7000000000000004E-2</v>
      </c>
    </row>
    <row r="562" spans="1:8" x14ac:dyDescent="0.25">
      <c r="A562" t="s">
        <v>568</v>
      </c>
      <c r="B562">
        <v>65662</v>
      </c>
      <c r="C562">
        <v>8033219610434</v>
      </c>
      <c r="D562">
        <v>129</v>
      </c>
      <c r="E562">
        <v>85.2</v>
      </c>
      <c r="F562" s="3">
        <v>0.30809999999999998</v>
      </c>
      <c r="G562">
        <v>77.319999999999993</v>
      </c>
      <c r="H562">
        <v>0.13300000000000001</v>
      </c>
    </row>
    <row r="563" spans="1:8" x14ac:dyDescent="0.25">
      <c r="A563" t="s">
        <v>569</v>
      </c>
      <c r="B563">
        <v>66652</v>
      </c>
      <c r="C563">
        <v>5208026003301</v>
      </c>
      <c r="D563">
        <v>99.9</v>
      </c>
      <c r="E563">
        <v>69.849999999999994</v>
      </c>
      <c r="F563" s="3">
        <v>0.2717</v>
      </c>
      <c r="G563">
        <v>63.511499999999998</v>
      </c>
      <c r="H563">
        <v>0.53300000000000003</v>
      </c>
    </row>
    <row r="564" spans="1:8" x14ac:dyDescent="0.25">
      <c r="A564" t="s">
        <v>570</v>
      </c>
      <c r="B564">
        <v>66573</v>
      </c>
      <c r="C564">
        <v>7808760900072</v>
      </c>
      <c r="D564">
        <v>45.15</v>
      </c>
      <c r="E564">
        <v>35.69</v>
      </c>
      <c r="F564" s="3">
        <v>0.2097</v>
      </c>
      <c r="G564">
        <v>35.6877</v>
      </c>
      <c r="H564">
        <v>5.7</v>
      </c>
    </row>
    <row r="565" spans="1:8" x14ac:dyDescent="0.25">
      <c r="A565" t="s">
        <v>571</v>
      </c>
      <c r="B565">
        <v>66567</v>
      </c>
      <c r="C565">
        <v>5601024122270</v>
      </c>
      <c r="D565">
        <v>44.68</v>
      </c>
      <c r="E565">
        <v>36.46</v>
      </c>
      <c r="F565" s="3">
        <v>0.18030000000000002</v>
      </c>
      <c r="G565">
        <v>36.621499999999997</v>
      </c>
      <c r="H565">
        <v>2.3330000000000002</v>
      </c>
    </row>
    <row r="566" spans="1:8" x14ac:dyDescent="0.25">
      <c r="A566" t="s">
        <v>572</v>
      </c>
      <c r="B566">
        <v>68046</v>
      </c>
      <c r="C566">
        <v>7898665832882</v>
      </c>
      <c r="D566">
        <v>99</v>
      </c>
      <c r="E566">
        <v>83.08</v>
      </c>
      <c r="F566" s="3">
        <v>0.16079999999999997</v>
      </c>
      <c r="G566">
        <v>83.084299999999999</v>
      </c>
      <c r="H566">
        <v>0</v>
      </c>
    </row>
    <row r="567" spans="1:8" x14ac:dyDescent="0.25">
      <c r="A567" t="s">
        <v>573</v>
      </c>
      <c r="B567">
        <v>68047</v>
      </c>
      <c r="C567">
        <v>7898665832899</v>
      </c>
      <c r="D567">
        <v>99</v>
      </c>
      <c r="E567">
        <v>84.43</v>
      </c>
      <c r="F567" s="3">
        <v>0.1472</v>
      </c>
      <c r="G567">
        <v>84.426699999999997</v>
      </c>
      <c r="H567">
        <v>3.3000000000000002E-2</v>
      </c>
    </row>
    <row r="568" spans="1:8" x14ac:dyDescent="0.25">
      <c r="A568" t="s">
        <v>574</v>
      </c>
      <c r="B568">
        <v>68048</v>
      </c>
      <c r="C568">
        <v>7898665832912</v>
      </c>
      <c r="D568">
        <v>99</v>
      </c>
      <c r="E568">
        <v>84.43</v>
      </c>
      <c r="F568" s="3">
        <v>0.1472</v>
      </c>
      <c r="G568">
        <v>84.427499999999995</v>
      </c>
      <c r="H568">
        <v>3.3000000000000002E-2</v>
      </c>
    </row>
    <row r="569" spans="1:8" x14ac:dyDescent="0.25">
      <c r="A569" t="s">
        <v>575</v>
      </c>
      <c r="B569">
        <v>68049</v>
      </c>
      <c r="C569">
        <v>7898665832929</v>
      </c>
      <c r="D569">
        <v>99</v>
      </c>
      <c r="E569">
        <v>84.43</v>
      </c>
      <c r="F569" s="3">
        <v>0.1472</v>
      </c>
      <c r="G569">
        <v>84.426699999999997</v>
      </c>
      <c r="H569">
        <v>6.7000000000000004E-2</v>
      </c>
    </row>
    <row r="570" spans="1:8" x14ac:dyDescent="0.25">
      <c r="A570" t="s">
        <v>576</v>
      </c>
      <c r="B570">
        <v>30448</v>
      </c>
      <c r="C570">
        <v>7898206500362</v>
      </c>
      <c r="D570">
        <v>49.9</v>
      </c>
      <c r="E570">
        <v>38.119999999999997</v>
      </c>
      <c r="F570" s="3">
        <v>0.23579999999999998</v>
      </c>
      <c r="G570">
        <v>38.131700000000002</v>
      </c>
      <c r="H570">
        <v>0.2</v>
      </c>
    </row>
    <row r="571" spans="1:8" x14ac:dyDescent="0.25">
      <c r="A571" t="s">
        <v>577</v>
      </c>
      <c r="B571">
        <v>9320</v>
      </c>
      <c r="C571">
        <v>7898152992099</v>
      </c>
      <c r="D571">
        <v>109</v>
      </c>
      <c r="E571">
        <v>71.819999999999993</v>
      </c>
      <c r="F571" s="3">
        <v>0.33810000000000001</v>
      </c>
      <c r="G571">
        <v>72.146299999999997</v>
      </c>
      <c r="H571">
        <v>6.7000000000000004E-2</v>
      </c>
    </row>
    <row r="572" spans="1:8" x14ac:dyDescent="0.25">
      <c r="A572" t="s">
        <v>578</v>
      </c>
      <c r="B572">
        <v>54556</v>
      </c>
      <c r="C572">
        <v>7898152997179</v>
      </c>
      <c r="D572">
        <v>109</v>
      </c>
      <c r="E572">
        <v>87.29</v>
      </c>
      <c r="F572" s="3">
        <v>0.19210000000000002</v>
      </c>
      <c r="G572">
        <v>88.057100000000005</v>
      </c>
      <c r="H572">
        <v>0.46700000000000003</v>
      </c>
    </row>
    <row r="573" spans="1:8" x14ac:dyDescent="0.25">
      <c r="A573" t="s">
        <v>579</v>
      </c>
      <c r="B573">
        <v>3210</v>
      </c>
      <c r="C573">
        <v>5604123002696</v>
      </c>
      <c r="D573">
        <v>119</v>
      </c>
      <c r="E573">
        <v>78.45</v>
      </c>
      <c r="F573" s="3">
        <v>0.3407</v>
      </c>
      <c r="G573">
        <v>78.452699999999993</v>
      </c>
      <c r="H573">
        <v>0.1</v>
      </c>
    </row>
    <row r="574" spans="1:8" x14ac:dyDescent="0.25">
      <c r="A574" t="s">
        <v>580</v>
      </c>
      <c r="B574">
        <v>31421</v>
      </c>
      <c r="C574">
        <v>8411863009420</v>
      </c>
      <c r="D574">
        <v>48.02</v>
      </c>
      <c r="E574">
        <v>19.46</v>
      </c>
      <c r="F574" s="3">
        <v>0.5948</v>
      </c>
      <c r="G574">
        <v>19.459499999999998</v>
      </c>
      <c r="H574">
        <v>47.2</v>
      </c>
    </row>
    <row r="575" spans="1:8" x14ac:dyDescent="0.25">
      <c r="A575" t="s">
        <v>581</v>
      </c>
      <c r="B575">
        <v>68599</v>
      </c>
      <c r="C575">
        <v>5601252120741</v>
      </c>
      <c r="D575">
        <v>79.900000000000006</v>
      </c>
      <c r="E575">
        <v>59.5</v>
      </c>
      <c r="F575" s="3">
        <v>0.23170000000000002</v>
      </c>
      <c r="G575">
        <v>53.996400000000001</v>
      </c>
      <c r="H575">
        <v>6.7000000000000004E-2</v>
      </c>
    </row>
    <row r="576" spans="1:8" x14ac:dyDescent="0.25">
      <c r="A576" t="s">
        <v>582</v>
      </c>
      <c r="B576">
        <v>68601</v>
      </c>
      <c r="C576">
        <v>5601252120765</v>
      </c>
      <c r="D576">
        <v>79.900000000000006</v>
      </c>
      <c r="E576">
        <v>59.5</v>
      </c>
      <c r="F576" s="3">
        <v>0.23170000000000002</v>
      </c>
      <c r="G576">
        <v>53.996400000000001</v>
      </c>
      <c r="H576">
        <v>6.7000000000000004E-2</v>
      </c>
    </row>
    <row r="577" spans="1:8" x14ac:dyDescent="0.25">
      <c r="A577" t="s">
        <v>583</v>
      </c>
      <c r="B577">
        <v>68600</v>
      </c>
      <c r="C577">
        <v>5601252120727</v>
      </c>
      <c r="D577">
        <v>79.900000000000006</v>
      </c>
      <c r="E577">
        <v>59.5</v>
      </c>
      <c r="F577" s="3">
        <v>0.23170000000000002</v>
      </c>
      <c r="G577">
        <v>53.996400000000001</v>
      </c>
      <c r="H577">
        <v>6.7000000000000004E-2</v>
      </c>
    </row>
    <row r="578" spans="1:8" x14ac:dyDescent="0.25">
      <c r="A578" t="s">
        <v>584</v>
      </c>
      <c r="B578">
        <v>67834</v>
      </c>
      <c r="C578">
        <v>5601855103004</v>
      </c>
      <c r="D578">
        <v>120</v>
      </c>
      <c r="E578">
        <v>133.07</v>
      </c>
      <c r="F578" s="3">
        <v>-8.929999999999999E-2</v>
      </c>
      <c r="G578">
        <v>109.1198</v>
      </c>
      <c r="H578">
        <v>5</v>
      </c>
    </row>
    <row r="579" spans="1:8" x14ac:dyDescent="0.25">
      <c r="A579" t="s">
        <v>585</v>
      </c>
      <c r="B579">
        <v>67835</v>
      </c>
      <c r="C579">
        <v>5601855103059</v>
      </c>
      <c r="D579">
        <v>34.9</v>
      </c>
      <c r="E579">
        <v>19.489999999999998</v>
      </c>
      <c r="F579" s="3">
        <v>0.53689999999999993</v>
      </c>
      <c r="G579">
        <v>16.1633</v>
      </c>
      <c r="H579">
        <v>152.333</v>
      </c>
    </row>
    <row r="580" spans="1:8" x14ac:dyDescent="0.25">
      <c r="A580" t="s">
        <v>586</v>
      </c>
      <c r="B580">
        <v>39842</v>
      </c>
      <c r="C580">
        <v>5601216120114</v>
      </c>
      <c r="D580">
        <v>37.9</v>
      </c>
      <c r="E580">
        <v>17.420000000000002</v>
      </c>
      <c r="F580" s="3">
        <v>0.54449999999999998</v>
      </c>
      <c r="G580">
        <v>17.262599999999999</v>
      </c>
      <c r="H580">
        <v>24.733000000000001</v>
      </c>
    </row>
    <row r="581" spans="1:8" x14ac:dyDescent="0.25">
      <c r="A581" t="s">
        <v>587</v>
      </c>
      <c r="B581">
        <v>13098</v>
      </c>
      <c r="C581">
        <v>5601252106103</v>
      </c>
      <c r="D581">
        <v>38.9</v>
      </c>
      <c r="E581">
        <v>22.3</v>
      </c>
      <c r="F581" s="3">
        <v>0.42520000000000002</v>
      </c>
      <c r="G581">
        <v>22.361499999999999</v>
      </c>
      <c r="H581">
        <v>33.4</v>
      </c>
    </row>
    <row r="582" spans="1:8" x14ac:dyDescent="0.25">
      <c r="A582" t="s">
        <v>588</v>
      </c>
      <c r="B582">
        <v>61052</v>
      </c>
      <c r="C582">
        <v>5601024060220</v>
      </c>
      <c r="D582">
        <v>19.899999999999999</v>
      </c>
      <c r="E582">
        <v>14</v>
      </c>
      <c r="F582" s="3">
        <v>0.26890000000000003</v>
      </c>
      <c r="G582">
        <v>12.7082</v>
      </c>
      <c r="H582">
        <v>1.333</v>
      </c>
    </row>
    <row r="583" spans="1:8" x14ac:dyDescent="0.25">
      <c r="A583" t="s">
        <v>589</v>
      </c>
      <c r="B583">
        <v>19431</v>
      </c>
      <c r="C583">
        <v>3083681039214</v>
      </c>
      <c r="D583">
        <v>13.9</v>
      </c>
      <c r="E583">
        <v>10.59</v>
      </c>
      <c r="F583" s="3">
        <v>0.2167</v>
      </c>
      <c r="G583">
        <v>9.6023999999999994</v>
      </c>
      <c r="H583">
        <v>2.2330000000000001</v>
      </c>
    </row>
    <row r="584" spans="1:8" x14ac:dyDescent="0.25">
      <c r="A584" t="s">
        <v>590</v>
      </c>
      <c r="B584">
        <v>19433</v>
      </c>
      <c r="C584">
        <v>3083681039245</v>
      </c>
      <c r="D584">
        <v>13.9</v>
      </c>
      <c r="E584">
        <v>11.36</v>
      </c>
      <c r="F584" s="3">
        <v>0.15010000000000001</v>
      </c>
      <c r="G584">
        <v>10.5274</v>
      </c>
      <c r="H584">
        <v>3.5329999999999999</v>
      </c>
    </row>
    <row r="585" spans="1:8" x14ac:dyDescent="0.25">
      <c r="A585" t="s">
        <v>591</v>
      </c>
      <c r="B585">
        <v>24927</v>
      </c>
      <c r="C585">
        <v>5601252120291</v>
      </c>
      <c r="D585">
        <v>13.99</v>
      </c>
      <c r="E585">
        <v>9.1</v>
      </c>
      <c r="F585" s="3">
        <v>0.31690000000000002</v>
      </c>
      <c r="G585">
        <v>8.2617999999999991</v>
      </c>
      <c r="H585">
        <v>2.2330000000000001</v>
      </c>
    </row>
    <row r="586" spans="1:8" x14ac:dyDescent="0.25">
      <c r="A586" t="s">
        <v>592</v>
      </c>
      <c r="B586">
        <v>25023</v>
      </c>
      <c r="C586">
        <v>5601252120338</v>
      </c>
      <c r="D586">
        <v>14.99</v>
      </c>
      <c r="E586">
        <v>9.35</v>
      </c>
      <c r="F586" s="3">
        <v>0.34110000000000001</v>
      </c>
      <c r="G586">
        <v>8.49</v>
      </c>
      <c r="H586">
        <v>16.067</v>
      </c>
    </row>
    <row r="587" spans="1:8" x14ac:dyDescent="0.25">
      <c r="A587" t="s">
        <v>593</v>
      </c>
      <c r="B587">
        <v>25022</v>
      </c>
      <c r="C587">
        <v>5601252120314</v>
      </c>
      <c r="D587">
        <v>15.44</v>
      </c>
      <c r="E587">
        <v>9.5399999999999991</v>
      </c>
      <c r="F587" s="3">
        <v>0.34189999999999998</v>
      </c>
      <c r="G587">
        <v>8.7349999999999994</v>
      </c>
      <c r="H587">
        <v>25.233000000000001</v>
      </c>
    </row>
    <row r="588" spans="1:8" x14ac:dyDescent="0.25">
      <c r="A588" t="s">
        <v>594</v>
      </c>
      <c r="B588">
        <v>63907</v>
      </c>
      <c r="C588">
        <v>7896196082417</v>
      </c>
      <c r="D588">
        <v>25.9</v>
      </c>
      <c r="E588">
        <v>18.22</v>
      </c>
      <c r="F588" s="3">
        <v>0.26919999999999999</v>
      </c>
      <c r="G588">
        <v>16.532499999999999</v>
      </c>
      <c r="H588">
        <v>0.3</v>
      </c>
    </row>
    <row r="589" spans="1:8" x14ac:dyDescent="0.25">
      <c r="A589" t="s">
        <v>595</v>
      </c>
      <c r="B589">
        <v>63908</v>
      </c>
      <c r="C589">
        <v>7896196081908</v>
      </c>
      <c r="D589">
        <v>23.23</v>
      </c>
      <c r="E589">
        <v>8.93</v>
      </c>
      <c r="F589" s="3">
        <v>0.29809999999999998</v>
      </c>
      <c r="G589">
        <v>14.157500000000001</v>
      </c>
      <c r="H589">
        <v>0.36699999999999999</v>
      </c>
    </row>
    <row r="590" spans="1:8" x14ac:dyDescent="0.25">
      <c r="A590" t="s">
        <v>596</v>
      </c>
      <c r="B590">
        <v>66453</v>
      </c>
      <c r="C590">
        <v>5601378070319</v>
      </c>
      <c r="D590">
        <v>43.9</v>
      </c>
      <c r="E590">
        <v>30.8</v>
      </c>
      <c r="F590" s="3">
        <v>0.27089999999999997</v>
      </c>
      <c r="G590">
        <v>27.947900000000001</v>
      </c>
      <c r="H590">
        <v>0.3</v>
      </c>
    </row>
    <row r="591" spans="1:8" x14ac:dyDescent="0.25">
      <c r="A591" t="s">
        <v>597</v>
      </c>
      <c r="B591">
        <v>60694</v>
      </c>
      <c r="C591">
        <v>7896237900090</v>
      </c>
      <c r="D591">
        <v>20.9</v>
      </c>
      <c r="E591">
        <v>14.55</v>
      </c>
      <c r="F591" s="3">
        <v>0.27679999999999999</v>
      </c>
      <c r="G591">
        <v>13.1822</v>
      </c>
      <c r="H591">
        <v>3.1669999999999998</v>
      </c>
    </row>
    <row r="592" spans="1:8" x14ac:dyDescent="0.25">
      <c r="A592" t="s">
        <v>598</v>
      </c>
      <c r="B592">
        <v>36189</v>
      </c>
      <c r="C592">
        <v>7896237900793</v>
      </c>
      <c r="D592">
        <v>39.9</v>
      </c>
      <c r="E592">
        <v>29.81</v>
      </c>
      <c r="F592" s="3">
        <v>0.22719999999999999</v>
      </c>
      <c r="G592">
        <v>27.144600000000001</v>
      </c>
      <c r="H592">
        <v>2.9</v>
      </c>
    </row>
    <row r="593" spans="1:8" x14ac:dyDescent="0.25">
      <c r="A593" t="s">
        <v>599</v>
      </c>
      <c r="B593">
        <v>36186</v>
      </c>
      <c r="C593">
        <v>7896237901011</v>
      </c>
      <c r="D593">
        <v>16.899999999999999</v>
      </c>
      <c r="E593">
        <v>11.31</v>
      </c>
      <c r="F593" s="3">
        <v>0.2903</v>
      </c>
      <c r="G593">
        <v>10.430199999999999</v>
      </c>
      <c r="H593">
        <v>4.7670000000000003</v>
      </c>
    </row>
    <row r="594" spans="1:8" x14ac:dyDescent="0.25">
      <c r="A594" t="s">
        <v>600</v>
      </c>
      <c r="B594">
        <v>62683</v>
      </c>
      <c r="C594">
        <v>7896237900816</v>
      </c>
      <c r="D594">
        <v>13.9</v>
      </c>
      <c r="E594">
        <v>9.8699999999999992</v>
      </c>
      <c r="F594" s="3">
        <v>0.26319999999999999</v>
      </c>
      <c r="G594">
        <v>8.9551999999999996</v>
      </c>
      <c r="H594">
        <v>16.7</v>
      </c>
    </row>
    <row r="595" spans="1:8" x14ac:dyDescent="0.25">
      <c r="A595" t="s">
        <v>601</v>
      </c>
      <c r="B595">
        <v>62691</v>
      </c>
      <c r="C595">
        <v>7896237900182</v>
      </c>
      <c r="D595">
        <v>13.9</v>
      </c>
      <c r="E595">
        <v>9.83</v>
      </c>
      <c r="F595" s="3">
        <v>0.26090000000000002</v>
      </c>
      <c r="G595">
        <v>8.9872999999999994</v>
      </c>
      <c r="H595">
        <v>14.467000000000001</v>
      </c>
    </row>
    <row r="596" spans="1:8" x14ac:dyDescent="0.25">
      <c r="A596" t="s">
        <v>602</v>
      </c>
      <c r="B596">
        <v>36188</v>
      </c>
      <c r="C596">
        <v>7896237900199</v>
      </c>
      <c r="D596">
        <v>15.9</v>
      </c>
      <c r="E596">
        <v>11.58</v>
      </c>
      <c r="F596" s="3">
        <v>0.2409</v>
      </c>
      <c r="G596">
        <v>10.599600000000001</v>
      </c>
      <c r="H596">
        <v>2.5329999999999999</v>
      </c>
    </row>
    <row r="597" spans="1:8" x14ac:dyDescent="0.25">
      <c r="A597" t="s">
        <v>603</v>
      </c>
      <c r="B597">
        <v>62694</v>
      </c>
      <c r="C597">
        <v>7896237900038</v>
      </c>
      <c r="D597">
        <v>12.9</v>
      </c>
      <c r="E597">
        <v>7.21</v>
      </c>
      <c r="F597" s="3">
        <v>0.39850000000000002</v>
      </c>
      <c r="G597">
        <v>6.5655999999999999</v>
      </c>
      <c r="H597">
        <v>2.2330000000000001</v>
      </c>
    </row>
    <row r="598" spans="1:8" x14ac:dyDescent="0.25">
      <c r="A598" t="s">
        <v>604</v>
      </c>
      <c r="B598">
        <v>19432</v>
      </c>
      <c r="C598">
        <v>3083681039191</v>
      </c>
      <c r="D598">
        <v>13.9</v>
      </c>
      <c r="E598">
        <v>11.36</v>
      </c>
      <c r="F598" s="3">
        <v>0.20120000000000002</v>
      </c>
      <c r="G598">
        <v>9.8178999999999998</v>
      </c>
      <c r="H598">
        <v>4.2329999999999997</v>
      </c>
    </row>
    <row r="599" spans="1:8" x14ac:dyDescent="0.25">
      <c r="A599" t="s">
        <v>605</v>
      </c>
      <c r="B599">
        <v>68596</v>
      </c>
      <c r="C599">
        <v>5601252120390</v>
      </c>
      <c r="D599">
        <v>9.99</v>
      </c>
      <c r="E599">
        <v>5.82</v>
      </c>
      <c r="F599" s="3">
        <v>0.379</v>
      </c>
      <c r="G599">
        <v>5.28</v>
      </c>
      <c r="H599">
        <v>12.567</v>
      </c>
    </row>
    <row r="600" spans="1:8" x14ac:dyDescent="0.25">
      <c r="A600" t="s">
        <v>606</v>
      </c>
      <c r="B600">
        <v>68597</v>
      </c>
      <c r="C600">
        <v>5601252120376</v>
      </c>
      <c r="D600">
        <v>9.99</v>
      </c>
      <c r="E600">
        <v>5.82</v>
      </c>
      <c r="F600" s="3">
        <v>0.379</v>
      </c>
      <c r="G600">
        <v>5.28</v>
      </c>
      <c r="H600">
        <v>13.233000000000001</v>
      </c>
    </row>
    <row r="601" spans="1:8" x14ac:dyDescent="0.25">
      <c r="A601" t="s">
        <v>607</v>
      </c>
      <c r="B601">
        <v>68598</v>
      </c>
      <c r="C601">
        <v>5601252120352</v>
      </c>
      <c r="D601">
        <v>8.99</v>
      </c>
      <c r="E601">
        <v>5.18</v>
      </c>
      <c r="F601" s="3">
        <v>0.38469999999999999</v>
      </c>
      <c r="G601">
        <v>4.7</v>
      </c>
      <c r="H601">
        <v>3.0670000000000002</v>
      </c>
    </row>
    <row r="602" spans="1:8" x14ac:dyDescent="0.25">
      <c r="A602" t="s">
        <v>608</v>
      </c>
      <c r="B602">
        <v>66455</v>
      </c>
      <c r="C602">
        <v>5601378660312</v>
      </c>
      <c r="D602">
        <v>42.9</v>
      </c>
      <c r="E602">
        <v>27.62</v>
      </c>
      <c r="F602" s="3">
        <v>0.32329999999999998</v>
      </c>
      <c r="G602">
        <v>25.063300000000002</v>
      </c>
      <c r="H602">
        <v>0.3</v>
      </c>
    </row>
    <row r="603" spans="1:8" x14ac:dyDescent="0.25">
      <c r="A603" t="s">
        <v>609</v>
      </c>
      <c r="B603">
        <v>66457</v>
      </c>
      <c r="C603">
        <v>5601378600318</v>
      </c>
      <c r="D603">
        <v>43.9</v>
      </c>
      <c r="E603">
        <v>28.83</v>
      </c>
      <c r="F603" s="3">
        <v>0.29799999999999999</v>
      </c>
      <c r="G603">
        <v>26.755700000000001</v>
      </c>
      <c r="H603">
        <v>3.3000000000000002E-2</v>
      </c>
    </row>
    <row r="604" spans="1:8" x14ac:dyDescent="0.25">
      <c r="A604" t="s">
        <v>610</v>
      </c>
      <c r="B604">
        <v>65377</v>
      </c>
      <c r="C604">
        <v>8410086973075</v>
      </c>
      <c r="D604">
        <v>24.9</v>
      </c>
      <c r="E604">
        <v>18</v>
      </c>
      <c r="F604" s="3">
        <v>0.22409999999999999</v>
      </c>
      <c r="G604">
        <v>17.016200000000001</v>
      </c>
      <c r="H604">
        <v>0.26700000000000002</v>
      </c>
    </row>
    <row r="605" spans="1:8" x14ac:dyDescent="0.25">
      <c r="A605" t="s">
        <v>611</v>
      </c>
      <c r="B605">
        <v>6430</v>
      </c>
      <c r="C605">
        <v>8410086973174</v>
      </c>
      <c r="D605">
        <v>24.9</v>
      </c>
      <c r="E605">
        <v>17.03</v>
      </c>
      <c r="F605" s="3">
        <v>0.2868</v>
      </c>
      <c r="G605">
        <v>15.455</v>
      </c>
      <c r="H605">
        <v>0.16700000000000001</v>
      </c>
    </row>
    <row r="606" spans="1:8" x14ac:dyDescent="0.25">
      <c r="A606" t="s">
        <v>612</v>
      </c>
      <c r="B606">
        <v>65620</v>
      </c>
      <c r="C606">
        <v>7896175326723</v>
      </c>
      <c r="D606">
        <v>7.9</v>
      </c>
      <c r="E606">
        <v>4.71</v>
      </c>
      <c r="F606" s="3">
        <v>0.29399999999999998</v>
      </c>
      <c r="G606">
        <v>3.4247000000000001</v>
      </c>
      <c r="H606">
        <v>0.5</v>
      </c>
    </row>
    <row r="607" spans="1:8" x14ac:dyDescent="0.25">
      <c r="A607" t="s">
        <v>613</v>
      </c>
      <c r="B607">
        <v>65618</v>
      </c>
      <c r="C607">
        <v>7896175320028</v>
      </c>
      <c r="D607">
        <v>7.9</v>
      </c>
      <c r="E607">
        <v>4.72</v>
      </c>
      <c r="F607" s="3">
        <v>0.29299999999999998</v>
      </c>
      <c r="G607">
        <v>3.4323999999999999</v>
      </c>
      <c r="H607">
        <v>0.56699999999999995</v>
      </c>
    </row>
    <row r="608" spans="1:8" x14ac:dyDescent="0.25">
      <c r="A608" t="s">
        <v>614</v>
      </c>
      <c r="B608">
        <v>65614</v>
      </c>
      <c r="C608">
        <v>7896175324118</v>
      </c>
      <c r="D608">
        <v>7.9</v>
      </c>
      <c r="E608">
        <v>4.54</v>
      </c>
      <c r="F608" s="3">
        <v>0.30909999999999999</v>
      </c>
      <c r="G608">
        <v>3.3054000000000001</v>
      </c>
      <c r="H608">
        <v>6.7000000000000004E-2</v>
      </c>
    </row>
    <row r="609" spans="1:8" x14ac:dyDescent="0.25">
      <c r="A609" t="s">
        <v>615</v>
      </c>
      <c r="B609">
        <v>65615</v>
      </c>
      <c r="C609">
        <v>7896175324767</v>
      </c>
      <c r="D609">
        <v>7.9</v>
      </c>
      <c r="E609">
        <v>4.71</v>
      </c>
      <c r="F609" s="3">
        <v>0.29399999999999998</v>
      </c>
      <c r="G609">
        <v>3.4245000000000001</v>
      </c>
      <c r="H609">
        <v>0.3</v>
      </c>
    </row>
    <row r="610" spans="1:8" x14ac:dyDescent="0.25">
      <c r="A610" t="s">
        <v>616</v>
      </c>
      <c r="B610">
        <v>65613</v>
      </c>
      <c r="C610">
        <v>7896175320806</v>
      </c>
      <c r="D610">
        <v>7.9</v>
      </c>
      <c r="E610">
        <v>4.71</v>
      </c>
      <c r="F610" s="3">
        <v>0.29359999999999997</v>
      </c>
      <c r="G610">
        <v>3.4277000000000002</v>
      </c>
      <c r="H610">
        <v>0.2</v>
      </c>
    </row>
    <row r="611" spans="1:8" x14ac:dyDescent="0.25">
      <c r="A611" t="s">
        <v>617</v>
      </c>
      <c r="B611">
        <v>65617</v>
      </c>
      <c r="C611">
        <v>7896175326310</v>
      </c>
      <c r="D611">
        <v>7.9</v>
      </c>
      <c r="E611">
        <v>4.58</v>
      </c>
      <c r="F611" s="3">
        <v>0.30459999999999998</v>
      </c>
      <c r="G611">
        <v>3.3411</v>
      </c>
      <c r="H611">
        <v>0.1</v>
      </c>
    </row>
    <row r="612" spans="1:8" x14ac:dyDescent="0.25">
      <c r="A612" t="s">
        <v>618</v>
      </c>
      <c r="B612">
        <v>65619</v>
      </c>
      <c r="C612">
        <v>7896175324101</v>
      </c>
      <c r="D612">
        <v>7.9</v>
      </c>
      <c r="E612">
        <v>4.66</v>
      </c>
      <c r="F612" s="3">
        <v>0.29780000000000001</v>
      </c>
      <c r="G612">
        <v>3.3946999999999998</v>
      </c>
      <c r="H612">
        <v>6.7000000000000004E-2</v>
      </c>
    </row>
    <row r="613" spans="1:8" x14ac:dyDescent="0.25">
      <c r="A613" t="s">
        <v>619</v>
      </c>
      <c r="B613">
        <v>65616</v>
      </c>
      <c r="C613">
        <v>7896175320011</v>
      </c>
      <c r="D613">
        <v>7.9</v>
      </c>
      <c r="E613">
        <v>4.7</v>
      </c>
      <c r="F613" s="3">
        <v>0.29449999999999998</v>
      </c>
      <c r="G613">
        <v>3.4209000000000001</v>
      </c>
      <c r="H613">
        <v>0.2</v>
      </c>
    </row>
    <row r="614" spans="1:8" x14ac:dyDescent="0.25">
      <c r="A614" t="s">
        <v>620</v>
      </c>
      <c r="B614">
        <v>65611</v>
      </c>
      <c r="C614">
        <v>7896175326709</v>
      </c>
      <c r="D614">
        <v>7.9</v>
      </c>
      <c r="E614">
        <v>6.84</v>
      </c>
      <c r="F614" s="3">
        <v>0.1216</v>
      </c>
      <c r="G614">
        <v>6.2084000000000001</v>
      </c>
      <c r="H614">
        <v>3.3000000000000002E-2</v>
      </c>
    </row>
    <row r="615" spans="1:8" x14ac:dyDescent="0.25">
      <c r="A615" t="s">
        <v>621</v>
      </c>
      <c r="B615">
        <v>65610</v>
      </c>
      <c r="C615">
        <v>7896175325313</v>
      </c>
      <c r="D615">
        <v>7.9</v>
      </c>
      <c r="E615">
        <v>6.84</v>
      </c>
      <c r="F615" s="3">
        <v>0.1216</v>
      </c>
      <c r="G615">
        <v>6.2084000000000001</v>
      </c>
      <c r="H615">
        <v>0.1</v>
      </c>
    </row>
    <row r="616" spans="1:8" x14ac:dyDescent="0.25">
      <c r="A616" t="s">
        <v>622</v>
      </c>
      <c r="B616">
        <v>69326</v>
      </c>
      <c r="C616">
        <v>4897058441406</v>
      </c>
      <c r="D616">
        <v>29.9</v>
      </c>
      <c r="E616">
        <v>14.85</v>
      </c>
      <c r="F616" s="3">
        <v>0.36619999999999997</v>
      </c>
      <c r="G616">
        <v>10.803800000000001</v>
      </c>
      <c r="H616">
        <v>0.1</v>
      </c>
    </row>
    <row r="617" spans="1:8" x14ac:dyDescent="0.25">
      <c r="A617" t="s">
        <v>623</v>
      </c>
      <c r="B617">
        <v>69324</v>
      </c>
      <c r="C617">
        <v>4897058441277</v>
      </c>
      <c r="D617">
        <v>29.9</v>
      </c>
      <c r="E617">
        <v>14.85</v>
      </c>
      <c r="F617" s="3">
        <v>0.36619999999999997</v>
      </c>
      <c r="G617">
        <v>10.803800000000001</v>
      </c>
      <c r="H617">
        <v>6.7000000000000004E-2</v>
      </c>
    </row>
    <row r="618" spans="1:8" x14ac:dyDescent="0.25">
      <c r="A618" t="s">
        <v>624</v>
      </c>
      <c r="B618">
        <v>69325</v>
      </c>
      <c r="C618">
        <v>4897058441215</v>
      </c>
      <c r="D618">
        <v>29.9</v>
      </c>
      <c r="E618">
        <v>14.85</v>
      </c>
      <c r="F618" s="3">
        <v>0.36619999999999997</v>
      </c>
      <c r="G618">
        <v>10.803800000000001</v>
      </c>
      <c r="H618">
        <v>0.23300000000000001</v>
      </c>
    </row>
    <row r="619" spans="1:8" x14ac:dyDescent="0.25">
      <c r="A619" t="s">
        <v>625</v>
      </c>
      <c r="B619">
        <v>69327</v>
      </c>
      <c r="C619">
        <v>4897058441604</v>
      </c>
      <c r="D619">
        <v>29.9</v>
      </c>
      <c r="E619">
        <v>14.85</v>
      </c>
      <c r="F619" s="3">
        <v>0.36619999999999997</v>
      </c>
      <c r="G619">
        <v>10.803800000000001</v>
      </c>
      <c r="H619">
        <v>6.7000000000000004E-2</v>
      </c>
    </row>
    <row r="620" spans="1:8" x14ac:dyDescent="0.25">
      <c r="A620" t="s">
        <v>626</v>
      </c>
      <c r="B620">
        <v>9172</v>
      </c>
      <c r="C620">
        <v>7896058505979</v>
      </c>
      <c r="D620">
        <v>4.99</v>
      </c>
      <c r="E620">
        <v>2.54</v>
      </c>
      <c r="F620" s="3">
        <v>0.35670000000000002</v>
      </c>
      <c r="G620">
        <v>1.8504</v>
      </c>
      <c r="H620">
        <v>4.867</v>
      </c>
    </row>
    <row r="621" spans="1:8" x14ac:dyDescent="0.25">
      <c r="A621" t="s">
        <v>627</v>
      </c>
      <c r="B621">
        <v>9176</v>
      </c>
      <c r="C621">
        <v>7896058599657</v>
      </c>
      <c r="D621">
        <v>4.99</v>
      </c>
      <c r="E621">
        <v>2.41</v>
      </c>
      <c r="F621" s="3">
        <v>0.37799999999999995</v>
      </c>
      <c r="G621">
        <v>1.7443</v>
      </c>
      <c r="H621">
        <v>3.8330000000000002</v>
      </c>
    </row>
    <row r="622" spans="1:8" x14ac:dyDescent="0.25">
      <c r="A622" t="s">
        <v>628</v>
      </c>
      <c r="B622">
        <v>9173</v>
      </c>
      <c r="C622">
        <v>7896058599244</v>
      </c>
      <c r="D622">
        <v>4.99</v>
      </c>
      <c r="E622">
        <v>2.5</v>
      </c>
      <c r="F622" s="3">
        <v>0.36380000000000001</v>
      </c>
      <c r="G622">
        <v>1.8148</v>
      </c>
      <c r="H622">
        <v>2.867</v>
      </c>
    </row>
    <row r="623" spans="1:8" x14ac:dyDescent="0.25">
      <c r="A623" t="s">
        <v>629</v>
      </c>
      <c r="B623">
        <v>9177</v>
      </c>
      <c r="C623">
        <v>7896058599695</v>
      </c>
      <c r="D623">
        <v>4.99</v>
      </c>
      <c r="E623">
        <v>2.46</v>
      </c>
      <c r="F623" s="3">
        <v>0.36780000000000002</v>
      </c>
      <c r="G623">
        <v>1.7948999999999999</v>
      </c>
      <c r="H623">
        <v>2.4670000000000001</v>
      </c>
    </row>
    <row r="624" spans="1:8" x14ac:dyDescent="0.25">
      <c r="A624" t="s">
        <v>630</v>
      </c>
      <c r="B624">
        <v>9179</v>
      </c>
      <c r="C624">
        <v>7896058599664</v>
      </c>
      <c r="D624">
        <v>4.99</v>
      </c>
      <c r="E624">
        <v>2.4500000000000002</v>
      </c>
      <c r="F624" s="3">
        <v>0.371</v>
      </c>
      <c r="G624">
        <v>1.7789999999999999</v>
      </c>
      <c r="H624">
        <v>2.1669999999999998</v>
      </c>
    </row>
    <row r="625" spans="1:8" x14ac:dyDescent="0.25">
      <c r="A625" t="s">
        <v>631</v>
      </c>
      <c r="B625">
        <v>9174</v>
      </c>
      <c r="C625">
        <v>7896058599671</v>
      </c>
      <c r="D625">
        <v>4.99</v>
      </c>
      <c r="E625">
        <v>2.56</v>
      </c>
      <c r="F625" s="3">
        <v>0.35369999999999996</v>
      </c>
      <c r="G625">
        <v>1.8653999999999999</v>
      </c>
      <c r="H625">
        <v>3.8</v>
      </c>
    </row>
    <row r="626" spans="1:8" x14ac:dyDescent="0.25">
      <c r="A626" t="s">
        <v>632</v>
      </c>
      <c r="B626">
        <v>39888</v>
      </c>
      <c r="C626">
        <v>7896058599701</v>
      </c>
      <c r="D626">
        <v>4.99</v>
      </c>
      <c r="E626">
        <v>2.5</v>
      </c>
      <c r="F626" s="3">
        <v>0.36320000000000002</v>
      </c>
      <c r="G626">
        <v>1.8181</v>
      </c>
      <c r="H626">
        <v>5.5</v>
      </c>
    </row>
    <row r="627" spans="1:8" x14ac:dyDescent="0.25">
      <c r="A627" t="s">
        <v>633</v>
      </c>
      <c r="B627">
        <v>9182</v>
      </c>
      <c r="C627">
        <v>7896058599640</v>
      </c>
      <c r="D627">
        <v>4.99</v>
      </c>
      <c r="E627">
        <v>2.56</v>
      </c>
      <c r="F627" s="3">
        <v>0.35659999999999997</v>
      </c>
      <c r="G627">
        <v>1.8509</v>
      </c>
      <c r="H627">
        <v>4.633</v>
      </c>
    </row>
    <row r="628" spans="1:8" x14ac:dyDescent="0.25">
      <c r="A628" t="s">
        <v>634</v>
      </c>
      <c r="B628">
        <v>66086</v>
      </c>
      <c r="C628">
        <v>7896058500264</v>
      </c>
      <c r="D628">
        <v>1.99</v>
      </c>
      <c r="E628">
        <v>1.23</v>
      </c>
      <c r="F628" s="3">
        <v>0.3095</v>
      </c>
      <c r="G628">
        <v>0.83179999999999998</v>
      </c>
      <c r="H628">
        <v>8.6669999999999998</v>
      </c>
    </row>
    <row r="629" spans="1:8" x14ac:dyDescent="0.25">
      <c r="A629" t="s">
        <v>635</v>
      </c>
      <c r="B629">
        <v>66084</v>
      </c>
      <c r="C629">
        <v>7896058596748</v>
      </c>
      <c r="D629">
        <v>2.4900000000000002</v>
      </c>
      <c r="E629">
        <v>1.32</v>
      </c>
      <c r="F629" s="3">
        <v>0.32799999999999996</v>
      </c>
      <c r="G629">
        <v>0.99470000000000003</v>
      </c>
      <c r="H629">
        <v>6.9329999999999998</v>
      </c>
    </row>
    <row r="630" spans="1:8" x14ac:dyDescent="0.25">
      <c r="A630" t="s">
        <v>636</v>
      </c>
      <c r="B630">
        <v>66085</v>
      </c>
      <c r="C630">
        <v>7896058595468</v>
      </c>
      <c r="D630">
        <v>2.4900000000000002</v>
      </c>
      <c r="E630">
        <v>1.3</v>
      </c>
      <c r="F630" s="3">
        <v>0.34649999999999997</v>
      </c>
      <c r="G630">
        <v>0.9486</v>
      </c>
      <c r="H630">
        <v>11.032999999999999</v>
      </c>
    </row>
    <row r="631" spans="1:8" x14ac:dyDescent="0.25">
      <c r="A631" t="s">
        <v>637</v>
      </c>
      <c r="B631">
        <v>66083</v>
      </c>
      <c r="C631">
        <v>7896058595420</v>
      </c>
      <c r="D631">
        <v>2.4900000000000002</v>
      </c>
      <c r="E631">
        <v>1.29</v>
      </c>
      <c r="F631" s="3">
        <v>0.35070000000000001</v>
      </c>
      <c r="G631">
        <v>0.93820000000000003</v>
      </c>
      <c r="H631">
        <v>7.1669999999999998</v>
      </c>
    </row>
    <row r="632" spans="1:8" x14ac:dyDescent="0.25">
      <c r="A632" t="s">
        <v>638</v>
      </c>
      <c r="B632">
        <v>62576</v>
      </c>
      <c r="C632">
        <v>7622210561800</v>
      </c>
      <c r="D632">
        <v>2.99</v>
      </c>
      <c r="E632">
        <v>0.66</v>
      </c>
      <c r="F632" s="3">
        <v>0.56869999999999998</v>
      </c>
      <c r="G632">
        <v>0.47470000000000001</v>
      </c>
      <c r="H632">
        <v>8.3000000000000007</v>
      </c>
    </row>
    <row r="633" spans="1:8" x14ac:dyDescent="0.25">
      <c r="A633" t="s">
        <v>639</v>
      </c>
      <c r="B633">
        <v>62583</v>
      </c>
      <c r="C633">
        <v>7622210561862</v>
      </c>
      <c r="D633">
        <v>6.99</v>
      </c>
      <c r="E633">
        <v>3.34</v>
      </c>
      <c r="F633" s="3">
        <v>0.37979999999999997</v>
      </c>
      <c r="G633">
        <v>2.4304000000000001</v>
      </c>
      <c r="H633">
        <v>0.16700000000000001</v>
      </c>
    </row>
    <row r="634" spans="1:8" x14ac:dyDescent="0.25">
      <c r="A634" t="s">
        <v>640</v>
      </c>
      <c r="B634">
        <v>66082</v>
      </c>
      <c r="C634">
        <v>7896058501704</v>
      </c>
      <c r="D634">
        <v>3.9</v>
      </c>
      <c r="E634">
        <v>2.4300000000000002</v>
      </c>
      <c r="F634" s="3">
        <v>0.2742</v>
      </c>
      <c r="G634">
        <v>1.7678</v>
      </c>
      <c r="H634">
        <v>9</v>
      </c>
    </row>
    <row r="635" spans="1:8" x14ac:dyDescent="0.25">
      <c r="A635" t="s">
        <v>641</v>
      </c>
      <c r="B635">
        <v>32544</v>
      </c>
      <c r="C635">
        <v>4901326040076</v>
      </c>
      <c r="D635">
        <v>29.9</v>
      </c>
      <c r="E635">
        <v>17.78</v>
      </c>
      <c r="F635" s="3">
        <v>0.29480000000000001</v>
      </c>
      <c r="G635">
        <v>12.9375</v>
      </c>
      <c r="H635">
        <v>0.36699999999999999</v>
      </c>
    </row>
    <row r="636" spans="1:8" x14ac:dyDescent="0.25">
      <c r="A636" t="s">
        <v>642</v>
      </c>
      <c r="B636">
        <v>32543</v>
      </c>
      <c r="C636">
        <v>4901326040052</v>
      </c>
      <c r="D636">
        <v>29.9</v>
      </c>
      <c r="E636">
        <v>17.78</v>
      </c>
      <c r="F636" s="3">
        <v>0.29480000000000001</v>
      </c>
      <c r="G636">
        <v>12.9375</v>
      </c>
      <c r="H636">
        <v>0.23300000000000001</v>
      </c>
    </row>
    <row r="637" spans="1:8" x14ac:dyDescent="0.25">
      <c r="A637" t="s">
        <v>643</v>
      </c>
      <c r="B637">
        <v>32545</v>
      </c>
      <c r="C637">
        <v>4901326030848</v>
      </c>
      <c r="D637">
        <v>29.9</v>
      </c>
      <c r="E637">
        <v>17.78</v>
      </c>
      <c r="F637" s="3">
        <v>0.29480000000000001</v>
      </c>
      <c r="G637">
        <v>12.9383</v>
      </c>
      <c r="H637">
        <v>0.36699999999999999</v>
      </c>
    </row>
    <row r="638" spans="1:8" x14ac:dyDescent="0.25">
      <c r="A638" t="s">
        <v>644</v>
      </c>
      <c r="B638">
        <v>22146</v>
      </c>
      <c r="C638">
        <v>7895800300145</v>
      </c>
      <c r="D638">
        <v>2.29</v>
      </c>
      <c r="E638">
        <v>1.08</v>
      </c>
      <c r="F638" s="3">
        <v>0.38530000000000003</v>
      </c>
      <c r="G638">
        <v>0.78369999999999995</v>
      </c>
      <c r="H638">
        <v>25.067</v>
      </c>
    </row>
    <row r="639" spans="1:8" x14ac:dyDescent="0.25">
      <c r="A639" t="s">
        <v>645</v>
      </c>
      <c r="B639">
        <v>22147</v>
      </c>
      <c r="C639">
        <v>7895800303313</v>
      </c>
      <c r="D639">
        <v>2.29</v>
      </c>
      <c r="E639">
        <v>1.07</v>
      </c>
      <c r="F639" s="3">
        <v>0.38900000000000001</v>
      </c>
      <c r="G639">
        <v>0.77510000000000001</v>
      </c>
      <c r="H639">
        <v>26.132999999999999</v>
      </c>
    </row>
    <row r="640" spans="1:8" x14ac:dyDescent="0.25">
      <c r="A640" t="s">
        <v>646</v>
      </c>
      <c r="B640">
        <v>22148</v>
      </c>
      <c r="C640">
        <v>7895800308721</v>
      </c>
      <c r="D640">
        <v>2.29</v>
      </c>
      <c r="E640">
        <v>1.08</v>
      </c>
      <c r="F640" s="3">
        <v>0.3846</v>
      </c>
      <c r="G640">
        <v>0.7853</v>
      </c>
      <c r="H640">
        <v>21.8</v>
      </c>
    </row>
    <row r="641" spans="1:8" x14ac:dyDescent="0.25">
      <c r="A641" t="s">
        <v>647</v>
      </c>
      <c r="B641">
        <v>22149</v>
      </c>
      <c r="C641">
        <v>7895800303320</v>
      </c>
      <c r="D641">
        <v>2.29</v>
      </c>
      <c r="E641">
        <v>1.1299999999999999</v>
      </c>
      <c r="F641" s="3">
        <v>0.36939999999999995</v>
      </c>
      <c r="G641">
        <v>0.82010000000000005</v>
      </c>
      <c r="H641">
        <v>22.867000000000001</v>
      </c>
    </row>
    <row r="642" spans="1:8" x14ac:dyDescent="0.25">
      <c r="A642" t="s">
        <v>648</v>
      </c>
      <c r="B642">
        <v>22150</v>
      </c>
      <c r="C642">
        <v>78938878</v>
      </c>
      <c r="D642">
        <v>2.29</v>
      </c>
      <c r="E642">
        <v>1.08</v>
      </c>
      <c r="F642" s="3">
        <v>0.38420000000000004</v>
      </c>
      <c r="G642">
        <v>0.78610000000000002</v>
      </c>
      <c r="H642">
        <v>19.733000000000001</v>
      </c>
    </row>
    <row r="643" spans="1:8" x14ac:dyDescent="0.25">
      <c r="A643" t="s">
        <v>649</v>
      </c>
      <c r="B643">
        <v>22321</v>
      </c>
      <c r="C643">
        <v>7895800304679</v>
      </c>
      <c r="D643">
        <v>2.29</v>
      </c>
      <c r="E643">
        <v>1.08</v>
      </c>
      <c r="F643" s="3">
        <v>0.38170000000000004</v>
      </c>
      <c r="G643">
        <v>0.79190000000000005</v>
      </c>
      <c r="H643">
        <v>30.2</v>
      </c>
    </row>
    <row r="644" spans="1:8" x14ac:dyDescent="0.25">
      <c r="A644" t="s">
        <v>650</v>
      </c>
      <c r="B644">
        <v>22351</v>
      </c>
      <c r="C644">
        <v>7895800125083</v>
      </c>
      <c r="D644">
        <v>5.49</v>
      </c>
      <c r="E644">
        <v>3.05</v>
      </c>
      <c r="F644" s="3">
        <v>0.32329999999999998</v>
      </c>
      <c r="G644">
        <v>2.2189999999999999</v>
      </c>
      <c r="H644">
        <v>0</v>
      </c>
    </row>
    <row r="645" spans="1:8" x14ac:dyDescent="0.25">
      <c r="A645" t="s">
        <v>651</v>
      </c>
      <c r="B645">
        <v>22349</v>
      </c>
      <c r="C645">
        <v>7895800129722</v>
      </c>
      <c r="D645">
        <v>5.49</v>
      </c>
      <c r="E645">
        <v>3.23</v>
      </c>
      <c r="F645" s="3">
        <v>0.29909999999999998</v>
      </c>
      <c r="G645">
        <v>2.3521000000000001</v>
      </c>
      <c r="H645">
        <v>0.1</v>
      </c>
    </row>
    <row r="646" spans="1:8" x14ac:dyDescent="0.25">
      <c r="A646" t="s">
        <v>652</v>
      </c>
      <c r="B646">
        <v>66856</v>
      </c>
      <c r="C646">
        <v>7898629571697</v>
      </c>
      <c r="D646">
        <v>7.49</v>
      </c>
      <c r="E646">
        <v>4.37</v>
      </c>
      <c r="F646" s="3">
        <v>0.29880000000000001</v>
      </c>
      <c r="G646">
        <v>3.2113</v>
      </c>
      <c r="H646">
        <v>6.4</v>
      </c>
    </row>
    <row r="647" spans="1:8" x14ac:dyDescent="0.25">
      <c r="A647" t="s">
        <v>653</v>
      </c>
      <c r="B647">
        <v>57562</v>
      </c>
      <c r="C647">
        <v>7898629571802</v>
      </c>
      <c r="D647">
        <v>7.49</v>
      </c>
      <c r="E647">
        <v>4.3899999999999997</v>
      </c>
      <c r="F647" s="3">
        <v>0.29909999999999998</v>
      </c>
      <c r="G647">
        <v>3.2086000000000001</v>
      </c>
      <c r="H647">
        <v>3.1669999999999998</v>
      </c>
    </row>
    <row r="648" spans="1:8" x14ac:dyDescent="0.25">
      <c r="A648" t="s">
        <v>654</v>
      </c>
      <c r="B648">
        <v>48238</v>
      </c>
      <c r="C648">
        <v>7898629571710</v>
      </c>
      <c r="D648">
        <v>7.49</v>
      </c>
      <c r="E648">
        <v>4.37</v>
      </c>
      <c r="F648" s="3">
        <v>0.29719999999999996</v>
      </c>
      <c r="G648">
        <v>3.2229000000000001</v>
      </c>
      <c r="H648">
        <v>7.4</v>
      </c>
    </row>
    <row r="649" spans="1:8" x14ac:dyDescent="0.25">
      <c r="A649" t="s">
        <v>655</v>
      </c>
      <c r="B649">
        <v>54598</v>
      </c>
      <c r="C649">
        <v>7898629571727</v>
      </c>
      <c r="D649">
        <v>7.49</v>
      </c>
      <c r="E649">
        <v>4.3600000000000003</v>
      </c>
      <c r="F649" s="3">
        <v>0.2969</v>
      </c>
      <c r="G649">
        <v>3.2254</v>
      </c>
      <c r="H649">
        <v>8.2669999999999995</v>
      </c>
    </row>
    <row r="650" spans="1:8" x14ac:dyDescent="0.25">
      <c r="A650" t="s">
        <v>656</v>
      </c>
      <c r="B650">
        <v>66858</v>
      </c>
      <c r="C650">
        <v>7898629571796</v>
      </c>
      <c r="D650">
        <v>7.49</v>
      </c>
      <c r="E650">
        <v>4.38</v>
      </c>
      <c r="F650" s="3">
        <v>0.29949999999999999</v>
      </c>
      <c r="G650">
        <v>3.2054999999999998</v>
      </c>
      <c r="H650">
        <v>4.8330000000000002</v>
      </c>
    </row>
    <row r="651" spans="1:8" x14ac:dyDescent="0.25">
      <c r="A651" t="s">
        <v>657</v>
      </c>
      <c r="B651">
        <v>66857</v>
      </c>
      <c r="C651">
        <v>7898629572021</v>
      </c>
      <c r="D651">
        <v>7.49</v>
      </c>
      <c r="E651">
        <v>4.42</v>
      </c>
      <c r="F651" s="3">
        <v>0.29309999999999997</v>
      </c>
      <c r="G651">
        <v>3.254</v>
      </c>
      <c r="H651">
        <v>3.7669999999999999</v>
      </c>
    </row>
    <row r="652" spans="1:8" x14ac:dyDescent="0.25">
      <c r="A652" t="s">
        <v>658</v>
      </c>
      <c r="B652">
        <v>48239</v>
      </c>
      <c r="C652">
        <v>7898629571840</v>
      </c>
      <c r="D652">
        <v>7.49</v>
      </c>
      <c r="E652">
        <v>3.87</v>
      </c>
      <c r="F652" s="3">
        <v>0.35489999999999999</v>
      </c>
      <c r="G652">
        <v>2.7907999999999999</v>
      </c>
      <c r="H652">
        <v>0.3</v>
      </c>
    </row>
    <row r="653" spans="1:8" x14ac:dyDescent="0.25">
      <c r="A653" t="s">
        <v>659</v>
      </c>
      <c r="B653">
        <v>57561</v>
      </c>
      <c r="C653">
        <v>7898629571819</v>
      </c>
      <c r="D653">
        <v>7.49</v>
      </c>
      <c r="E653">
        <v>4.3899999999999997</v>
      </c>
      <c r="F653" s="3">
        <v>0.29649999999999999</v>
      </c>
      <c r="G653">
        <v>3.2281</v>
      </c>
      <c r="H653">
        <v>3.6</v>
      </c>
    </row>
    <row r="654" spans="1:8" x14ac:dyDescent="0.25">
      <c r="A654" t="s">
        <v>660</v>
      </c>
      <c r="B654">
        <v>61722</v>
      </c>
      <c r="C654">
        <v>7898629571376</v>
      </c>
      <c r="D654">
        <v>7.49</v>
      </c>
      <c r="E654">
        <v>4.75</v>
      </c>
      <c r="F654" s="3">
        <v>0.2712</v>
      </c>
      <c r="G654">
        <v>3.4174000000000002</v>
      </c>
      <c r="H654">
        <v>9.1999999999999993</v>
      </c>
    </row>
    <row r="655" spans="1:8" x14ac:dyDescent="0.25">
      <c r="A655" t="s">
        <v>661</v>
      </c>
      <c r="B655">
        <v>44347</v>
      </c>
      <c r="C655">
        <v>7898629571734</v>
      </c>
      <c r="D655">
        <v>7.49</v>
      </c>
      <c r="E655">
        <v>4.45</v>
      </c>
      <c r="F655" s="3">
        <v>0.29170000000000001</v>
      </c>
      <c r="G655">
        <v>3.2644000000000002</v>
      </c>
      <c r="H655">
        <v>6.5</v>
      </c>
    </row>
    <row r="656" spans="1:8" x14ac:dyDescent="0.25">
      <c r="A656" t="s">
        <v>662</v>
      </c>
      <c r="B656">
        <v>8073</v>
      </c>
      <c r="C656">
        <v>8426617002510</v>
      </c>
      <c r="D656">
        <v>7.49</v>
      </c>
      <c r="E656">
        <v>4.05</v>
      </c>
      <c r="F656" s="3">
        <v>0.32679999999999998</v>
      </c>
      <c r="G656">
        <v>3.0011000000000001</v>
      </c>
      <c r="H656">
        <v>26.367000000000001</v>
      </c>
    </row>
    <row r="657" spans="1:8" x14ac:dyDescent="0.25">
      <c r="A657" t="s">
        <v>663</v>
      </c>
      <c r="B657">
        <v>44341</v>
      </c>
      <c r="C657">
        <v>7898629571826</v>
      </c>
      <c r="D657">
        <v>7.49</v>
      </c>
      <c r="E657">
        <v>4.37</v>
      </c>
      <c r="F657" s="3">
        <v>0.3019</v>
      </c>
      <c r="G657">
        <v>3.1878000000000002</v>
      </c>
      <c r="H657">
        <v>6.6</v>
      </c>
    </row>
    <row r="658" spans="1:8" x14ac:dyDescent="0.25">
      <c r="A658" t="s">
        <v>664</v>
      </c>
      <c r="B658">
        <v>60872</v>
      </c>
      <c r="C658">
        <v>7898629571246</v>
      </c>
      <c r="D658">
        <v>7.49</v>
      </c>
      <c r="E658">
        <v>4.34</v>
      </c>
      <c r="F658" s="3">
        <v>0.30609999999999998</v>
      </c>
      <c r="G658">
        <v>3.1562000000000001</v>
      </c>
      <c r="H658">
        <v>3.4329999999999998</v>
      </c>
    </row>
    <row r="659" spans="1:8" x14ac:dyDescent="0.25">
      <c r="A659" t="s">
        <v>665</v>
      </c>
      <c r="B659">
        <v>61228</v>
      </c>
      <c r="C659">
        <v>7898629571260</v>
      </c>
      <c r="D659">
        <v>7.49</v>
      </c>
      <c r="E659">
        <v>4.43</v>
      </c>
      <c r="F659" s="3">
        <v>0.29239999999999999</v>
      </c>
      <c r="G659">
        <v>3.2587000000000002</v>
      </c>
      <c r="H659">
        <v>4.367</v>
      </c>
    </row>
    <row r="660" spans="1:8" x14ac:dyDescent="0.25">
      <c r="A660" t="s">
        <v>666</v>
      </c>
      <c r="B660">
        <v>66770</v>
      </c>
      <c r="C660">
        <v>7897327903014</v>
      </c>
      <c r="D660">
        <v>19.899999999999999</v>
      </c>
      <c r="E660">
        <v>11.18</v>
      </c>
      <c r="F660" s="3">
        <v>0.31890000000000002</v>
      </c>
      <c r="G660">
        <v>8.1306999999999992</v>
      </c>
      <c r="H660">
        <v>0.36699999999999999</v>
      </c>
    </row>
    <row r="661" spans="1:8" x14ac:dyDescent="0.25">
      <c r="A661" t="s">
        <v>667</v>
      </c>
      <c r="B661">
        <v>30498</v>
      </c>
      <c r="C661">
        <v>4901326037069</v>
      </c>
      <c r="D661">
        <v>29.9</v>
      </c>
      <c r="E661">
        <v>15.81</v>
      </c>
      <c r="F661" s="3">
        <v>0.34289999999999998</v>
      </c>
      <c r="G661">
        <v>11.4992</v>
      </c>
      <c r="H661">
        <v>0.33300000000000002</v>
      </c>
    </row>
    <row r="662" spans="1:8" x14ac:dyDescent="0.25">
      <c r="A662" t="s">
        <v>668</v>
      </c>
      <c r="B662">
        <v>46980</v>
      </c>
      <c r="C662">
        <v>4901326032446</v>
      </c>
      <c r="D662">
        <v>29.9</v>
      </c>
      <c r="E662">
        <v>15.81</v>
      </c>
      <c r="F662" s="3">
        <v>0.34289999999999998</v>
      </c>
      <c r="G662">
        <v>11.4992</v>
      </c>
      <c r="H662">
        <v>0.33300000000000002</v>
      </c>
    </row>
    <row r="663" spans="1:8" x14ac:dyDescent="0.25">
      <c r="A663" t="s">
        <v>669</v>
      </c>
      <c r="B663">
        <v>30497</v>
      </c>
      <c r="C663">
        <v>4901326030961</v>
      </c>
      <c r="D663">
        <v>29.9</v>
      </c>
      <c r="E663">
        <v>15.81</v>
      </c>
      <c r="F663" s="3">
        <v>0.34289999999999998</v>
      </c>
      <c r="G663">
        <v>11.4992</v>
      </c>
      <c r="H663">
        <v>0.23300000000000001</v>
      </c>
    </row>
    <row r="664" spans="1:8" x14ac:dyDescent="0.25">
      <c r="A664" t="s">
        <v>670</v>
      </c>
      <c r="B664">
        <v>30499</v>
      </c>
      <c r="C664">
        <v>4901326031760</v>
      </c>
      <c r="D664">
        <v>29.9</v>
      </c>
      <c r="E664">
        <v>15.81</v>
      </c>
      <c r="F664" s="3">
        <v>0.34289999999999998</v>
      </c>
      <c r="G664">
        <v>11.4992</v>
      </c>
      <c r="H664">
        <v>0.3</v>
      </c>
    </row>
    <row r="665" spans="1:8" x14ac:dyDescent="0.25">
      <c r="A665" t="s">
        <v>671</v>
      </c>
      <c r="B665">
        <v>31204</v>
      </c>
      <c r="C665">
        <v>4901326037052</v>
      </c>
      <c r="D665">
        <v>29.9</v>
      </c>
      <c r="E665">
        <v>15.81</v>
      </c>
      <c r="F665" s="3">
        <v>0.34289999999999998</v>
      </c>
      <c r="G665">
        <v>11.4992</v>
      </c>
      <c r="H665">
        <v>0.1</v>
      </c>
    </row>
    <row r="666" spans="1:8" x14ac:dyDescent="0.25">
      <c r="A666" t="s">
        <v>672</v>
      </c>
      <c r="B666">
        <v>30500</v>
      </c>
      <c r="C666">
        <v>4901326031814</v>
      </c>
      <c r="D666">
        <v>29.9</v>
      </c>
      <c r="E666">
        <v>15.81</v>
      </c>
      <c r="F666" s="3">
        <v>0.34289999999999998</v>
      </c>
      <c r="G666">
        <v>11.4992</v>
      </c>
      <c r="H666">
        <v>0.13300000000000001</v>
      </c>
    </row>
    <row r="667" spans="1:8" x14ac:dyDescent="0.25">
      <c r="A667" t="s">
        <v>673</v>
      </c>
      <c r="B667">
        <v>43588</v>
      </c>
      <c r="C667">
        <v>4902124680624</v>
      </c>
      <c r="D667">
        <v>29.9</v>
      </c>
      <c r="E667">
        <v>17.78</v>
      </c>
      <c r="F667" s="3">
        <v>0.29480000000000001</v>
      </c>
      <c r="G667">
        <v>12.937200000000001</v>
      </c>
      <c r="H667">
        <v>0.5</v>
      </c>
    </row>
    <row r="668" spans="1:8" x14ac:dyDescent="0.25">
      <c r="A668" t="s">
        <v>674</v>
      </c>
      <c r="B668">
        <v>30501</v>
      </c>
      <c r="C668">
        <v>4902124680235</v>
      </c>
      <c r="D668">
        <v>29.9</v>
      </c>
      <c r="E668">
        <v>17.78</v>
      </c>
      <c r="F668" s="3">
        <v>0.29480000000000001</v>
      </c>
      <c r="G668">
        <v>12.937099999999999</v>
      </c>
      <c r="H668">
        <v>0.8</v>
      </c>
    </row>
    <row r="669" spans="1:8" x14ac:dyDescent="0.25">
      <c r="A669" t="s">
        <v>675</v>
      </c>
      <c r="B669">
        <v>62577</v>
      </c>
      <c r="C669">
        <v>7622210561947</v>
      </c>
      <c r="D669">
        <v>1.36</v>
      </c>
      <c r="E669">
        <v>0.63</v>
      </c>
      <c r="F669" s="3">
        <v>0.39159999999999995</v>
      </c>
      <c r="G669">
        <v>0.45519999999999999</v>
      </c>
      <c r="H669">
        <v>7.9</v>
      </c>
    </row>
    <row r="670" spans="1:8" x14ac:dyDescent="0.25">
      <c r="A670" t="s">
        <v>676</v>
      </c>
      <c r="B670">
        <v>62578</v>
      </c>
      <c r="C670">
        <v>7622210561961</v>
      </c>
      <c r="D670">
        <v>2.99</v>
      </c>
      <c r="E670">
        <v>0.63</v>
      </c>
      <c r="F670" s="3">
        <v>0.57530000000000003</v>
      </c>
      <c r="G670">
        <v>0.45519999999999999</v>
      </c>
      <c r="H670">
        <v>4.9329999999999998</v>
      </c>
    </row>
    <row r="671" spans="1:8" x14ac:dyDescent="0.25">
      <c r="A671" t="s">
        <v>677</v>
      </c>
      <c r="B671">
        <v>62580</v>
      </c>
      <c r="C671">
        <v>7622210561886</v>
      </c>
      <c r="D671">
        <v>7.9</v>
      </c>
      <c r="E671">
        <v>4.09</v>
      </c>
      <c r="F671" s="3">
        <v>0.35159999999999997</v>
      </c>
      <c r="G671">
        <v>2.9698000000000002</v>
      </c>
      <c r="H671">
        <v>1.3</v>
      </c>
    </row>
    <row r="672" spans="1:8" x14ac:dyDescent="0.25">
      <c r="A672" t="s">
        <v>678</v>
      </c>
      <c r="B672">
        <v>62581</v>
      </c>
      <c r="C672">
        <v>7622210561985</v>
      </c>
      <c r="D672">
        <v>7.9</v>
      </c>
      <c r="E672">
        <v>4.1100000000000003</v>
      </c>
      <c r="F672" s="3">
        <v>0.3513</v>
      </c>
      <c r="G672">
        <v>2.9718</v>
      </c>
      <c r="H672">
        <v>1.0329999999999999</v>
      </c>
    </row>
    <row r="673" spans="1:8" x14ac:dyDescent="0.25">
      <c r="A673" t="s">
        <v>679</v>
      </c>
      <c r="B673">
        <v>62582</v>
      </c>
      <c r="C673">
        <v>7622210561909</v>
      </c>
      <c r="D673">
        <v>7.9</v>
      </c>
      <c r="E673">
        <v>4.29</v>
      </c>
      <c r="F673" s="3">
        <v>0.3322</v>
      </c>
      <c r="G673">
        <v>3.1225000000000001</v>
      </c>
      <c r="H673">
        <v>0.46700000000000003</v>
      </c>
    </row>
    <row r="674" spans="1:8" x14ac:dyDescent="0.25">
      <c r="A674" t="s">
        <v>680</v>
      </c>
      <c r="B674">
        <v>69311</v>
      </c>
      <c r="C674">
        <v>6924546010856</v>
      </c>
      <c r="D674">
        <v>29.9</v>
      </c>
      <c r="E674">
        <v>14.85</v>
      </c>
      <c r="F674" s="3">
        <v>0.36619999999999997</v>
      </c>
      <c r="G674">
        <v>10.8042</v>
      </c>
      <c r="H674">
        <v>0.1</v>
      </c>
    </row>
    <row r="675" spans="1:8" x14ac:dyDescent="0.25">
      <c r="A675" t="s">
        <v>681</v>
      </c>
      <c r="B675">
        <v>69314</v>
      </c>
      <c r="C675">
        <v>6924546010870</v>
      </c>
      <c r="D675">
        <v>29.9</v>
      </c>
      <c r="E675">
        <v>14.85</v>
      </c>
      <c r="F675" s="3">
        <v>0.36619999999999997</v>
      </c>
      <c r="G675">
        <v>10.8042</v>
      </c>
      <c r="H675">
        <v>0.2</v>
      </c>
    </row>
    <row r="676" spans="1:8" x14ac:dyDescent="0.25">
      <c r="A676" t="s">
        <v>682</v>
      </c>
      <c r="B676">
        <v>69313</v>
      </c>
      <c r="C676">
        <v>6924546010863</v>
      </c>
      <c r="D676">
        <v>29.9</v>
      </c>
      <c r="E676">
        <v>14.85</v>
      </c>
      <c r="F676" s="3">
        <v>0.36619999999999997</v>
      </c>
      <c r="G676">
        <v>10.8042</v>
      </c>
      <c r="H676">
        <v>0.46700000000000003</v>
      </c>
    </row>
    <row r="677" spans="1:8" x14ac:dyDescent="0.25">
      <c r="A677" t="s">
        <v>683</v>
      </c>
      <c r="B677">
        <v>64397</v>
      </c>
      <c r="C677">
        <v>7622210527837</v>
      </c>
      <c r="D677">
        <v>6.99</v>
      </c>
      <c r="E677">
        <v>4.34</v>
      </c>
      <c r="F677" s="3">
        <v>0.2762</v>
      </c>
      <c r="G677">
        <v>3.1543000000000001</v>
      </c>
      <c r="H677">
        <v>0.96699999999999997</v>
      </c>
    </row>
    <row r="678" spans="1:8" x14ac:dyDescent="0.25">
      <c r="A678" t="s">
        <v>684</v>
      </c>
      <c r="B678">
        <v>69303</v>
      </c>
      <c r="C678">
        <v>7622210442789</v>
      </c>
      <c r="D678">
        <v>19.899999999999999</v>
      </c>
      <c r="E678">
        <v>11.42</v>
      </c>
      <c r="F678" s="3">
        <v>0.30980000000000002</v>
      </c>
      <c r="G678">
        <v>8.3112999999999992</v>
      </c>
      <c r="H678">
        <v>0</v>
      </c>
    </row>
    <row r="679" spans="1:8" x14ac:dyDescent="0.25">
      <c r="A679" t="s">
        <v>685</v>
      </c>
      <c r="B679">
        <v>69304</v>
      </c>
      <c r="C679">
        <v>7622210796844</v>
      </c>
      <c r="D679">
        <v>19.899999999999999</v>
      </c>
      <c r="E679">
        <v>11.42</v>
      </c>
      <c r="F679" s="3">
        <v>0.30980000000000002</v>
      </c>
      <c r="G679">
        <v>8.3112999999999992</v>
      </c>
      <c r="H679">
        <v>6.7000000000000004E-2</v>
      </c>
    </row>
    <row r="680" spans="1:8" x14ac:dyDescent="0.25">
      <c r="A680" t="s">
        <v>686</v>
      </c>
      <c r="B680">
        <v>69301</v>
      </c>
      <c r="C680">
        <v>7622202207143</v>
      </c>
      <c r="D680">
        <v>19.899999999999999</v>
      </c>
      <c r="E680">
        <v>11.42</v>
      </c>
      <c r="F680" s="3">
        <v>0.30990000000000001</v>
      </c>
      <c r="G680">
        <v>8.3110999999999997</v>
      </c>
      <c r="H680">
        <v>0.6</v>
      </c>
    </row>
    <row r="681" spans="1:8" x14ac:dyDescent="0.25">
      <c r="A681" t="s">
        <v>687</v>
      </c>
      <c r="B681">
        <v>69300</v>
      </c>
      <c r="C681">
        <v>7622202207273</v>
      </c>
      <c r="D681">
        <v>19.899999999999999</v>
      </c>
      <c r="E681">
        <v>11.42</v>
      </c>
      <c r="F681" s="3">
        <v>0.30980000000000002</v>
      </c>
      <c r="G681">
        <v>8.3112999999999992</v>
      </c>
      <c r="H681">
        <v>3.3000000000000002E-2</v>
      </c>
    </row>
    <row r="682" spans="1:8" x14ac:dyDescent="0.25">
      <c r="A682" t="s">
        <v>688</v>
      </c>
      <c r="B682">
        <v>69302</v>
      </c>
      <c r="C682">
        <v>7622202207310</v>
      </c>
      <c r="D682">
        <v>19.899999999999999</v>
      </c>
      <c r="E682">
        <v>11.42</v>
      </c>
      <c r="F682" s="3">
        <v>0.30980000000000002</v>
      </c>
      <c r="G682">
        <v>8.3112999999999992</v>
      </c>
      <c r="H682">
        <v>6.7000000000000004E-2</v>
      </c>
    </row>
    <row r="683" spans="1:8" x14ac:dyDescent="0.25">
      <c r="A683" t="s">
        <v>689</v>
      </c>
      <c r="B683">
        <v>64426</v>
      </c>
      <c r="C683">
        <v>78945494</v>
      </c>
      <c r="D683">
        <v>3.49</v>
      </c>
      <c r="E683">
        <v>1.89</v>
      </c>
      <c r="F683" s="3">
        <v>0.33289999999999997</v>
      </c>
      <c r="G683">
        <v>1.3772</v>
      </c>
      <c r="H683">
        <v>11.367000000000001</v>
      </c>
    </row>
    <row r="684" spans="1:8" x14ac:dyDescent="0.25">
      <c r="A684" t="s">
        <v>690</v>
      </c>
      <c r="B684">
        <v>27226</v>
      </c>
      <c r="C684">
        <v>78945463</v>
      </c>
      <c r="D684">
        <v>3.49</v>
      </c>
      <c r="E684">
        <v>1.9</v>
      </c>
      <c r="F684" s="3">
        <v>0.33270000000000005</v>
      </c>
      <c r="G684">
        <v>1.3777999999999999</v>
      </c>
      <c r="H684">
        <v>16.899999999999999</v>
      </c>
    </row>
    <row r="685" spans="1:8" x14ac:dyDescent="0.25">
      <c r="A685" t="s">
        <v>691</v>
      </c>
      <c r="B685">
        <v>27227</v>
      </c>
      <c r="C685">
        <v>78945456</v>
      </c>
      <c r="D685">
        <v>3.49</v>
      </c>
      <c r="E685">
        <v>1.9</v>
      </c>
      <c r="F685" s="3">
        <v>0.33229999999999998</v>
      </c>
      <c r="G685">
        <v>1.3793</v>
      </c>
      <c r="H685">
        <v>22.3</v>
      </c>
    </row>
    <row r="686" spans="1:8" x14ac:dyDescent="0.25">
      <c r="A686" t="s">
        <v>692</v>
      </c>
      <c r="B686">
        <v>27228</v>
      </c>
      <c r="C686">
        <v>78945449</v>
      </c>
      <c r="D686">
        <v>3.49</v>
      </c>
      <c r="E686">
        <v>1.88</v>
      </c>
      <c r="F686" s="3">
        <v>0.33600000000000002</v>
      </c>
      <c r="G686">
        <v>1.3664000000000001</v>
      </c>
      <c r="H686">
        <v>22.167000000000002</v>
      </c>
    </row>
    <row r="687" spans="1:8" x14ac:dyDescent="0.25">
      <c r="A687" t="s">
        <v>693</v>
      </c>
      <c r="B687">
        <v>27229</v>
      </c>
      <c r="C687">
        <v>78945470</v>
      </c>
      <c r="D687">
        <v>3.49</v>
      </c>
      <c r="E687">
        <v>1.9</v>
      </c>
      <c r="F687" s="3">
        <v>0.3306</v>
      </c>
      <c r="G687">
        <v>1.3853</v>
      </c>
      <c r="H687">
        <v>21.733000000000001</v>
      </c>
    </row>
    <row r="688" spans="1:8" x14ac:dyDescent="0.25">
      <c r="A688" t="s">
        <v>694</v>
      </c>
      <c r="B688">
        <v>67124</v>
      </c>
      <c r="C688">
        <v>78946033</v>
      </c>
      <c r="D688">
        <v>3.49</v>
      </c>
      <c r="E688">
        <v>1.89</v>
      </c>
      <c r="F688" s="3">
        <v>0.33229999999999998</v>
      </c>
      <c r="G688">
        <v>1.3793</v>
      </c>
      <c r="H688">
        <v>13.766999999999999</v>
      </c>
    </row>
    <row r="689" spans="1:8" x14ac:dyDescent="0.25">
      <c r="A689" t="s">
        <v>695</v>
      </c>
      <c r="B689">
        <v>46544</v>
      </c>
      <c r="C689">
        <v>7861002901855</v>
      </c>
      <c r="D689">
        <v>10.99</v>
      </c>
      <c r="E689">
        <v>6.21</v>
      </c>
      <c r="F689" s="3">
        <v>0.31869999999999998</v>
      </c>
      <c r="G689">
        <v>4.4922000000000004</v>
      </c>
      <c r="H689">
        <v>13.1</v>
      </c>
    </row>
    <row r="690" spans="1:8" x14ac:dyDescent="0.25">
      <c r="A690" t="s">
        <v>696</v>
      </c>
      <c r="B690">
        <v>46543</v>
      </c>
      <c r="C690">
        <v>7861002901831</v>
      </c>
      <c r="D690">
        <v>10.99</v>
      </c>
      <c r="E690">
        <v>6.15</v>
      </c>
      <c r="F690" s="3">
        <v>0.31900000000000001</v>
      </c>
      <c r="G690">
        <v>4.4898999999999996</v>
      </c>
      <c r="H690">
        <v>9.4670000000000005</v>
      </c>
    </row>
    <row r="691" spans="1:8" x14ac:dyDescent="0.25">
      <c r="A691" t="s">
        <v>697</v>
      </c>
      <c r="B691">
        <v>59403</v>
      </c>
      <c r="C691">
        <v>7898629571864</v>
      </c>
      <c r="D691">
        <v>7.49</v>
      </c>
      <c r="E691">
        <v>4.3600000000000003</v>
      </c>
      <c r="F691" s="3">
        <v>0.3019</v>
      </c>
      <c r="G691">
        <v>3.1876000000000002</v>
      </c>
      <c r="H691">
        <v>1.9</v>
      </c>
    </row>
    <row r="692" spans="1:8" x14ac:dyDescent="0.25">
      <c r="A692" t="s">
        <v>698</v>
      </c>
      <c r="B692">
        <v>59404</v>
      </c>
      <c r="C692">
        <v>7898629571871</v>
      </c>
      <c r="D692">
        <v>7.49</v>
      </c>
      <c r="E692">
        <v>4.38</v>
      </c>
      <c r="F692" s="3">
        <v>0.29659999999999997</v>
      </c>
      <c r="G692">
        <v>3.2273999999999998</v>
      </c>
      <c r="H692">
        <v>1.9670000000000001</v>
      </c>
    </row>
    <row r="693" spans="1:8" x14ac:dyDescent="0.25">
      <c r="A693" t="s">
        <v>699</v>
      </c>
      <c r="B693">
        <v>44350</v>
      </c>
      <c r="C693">
        <v>7898629571741</v>
      </c>
      <c r="D693">
        <v>7.49</v>
      </c>
      <c r="E693">
        <v>4.3600000000000003</v>
      </c>
      <c r="F693" s="3">
        <v>0.29730000000000001</v>
      </c>
      <c r="G693">
        <v>3.2219000000000002</v>
      </c>
      <c r="H693">
        <v>4.9000000000000004</v>
      </c>
    </row>
    <row r="694" spans="1:8" x14ac:dyDescent="0.25">
      <c r="A694" t="s">
        <v>700</v>
      </c>
      <c r="B694">
        <v>61724</v>
      </c>
      <c r="C694">
        <v>7898629571888</v>
      </c>
      <c r="D694">
        <v>7.49</v>
      </c>
      <c r="E694">
        <v>4.3600000000000003</v>
      </c>
      <c r="F694" s="3">
        <v>0.30180000000000001</v>
      </c>
      <c r="G694">
        <v>3.1880999999999999</v>
      </c>
      <c r="H694">
        <v>2.6669999999999998</v>
      </c>
    </row>
    <row r="695" spans="1:8" x14ac:dyDescent="0.25">
      <c r="A695" t="s">
        <v>701</v>
      </c>
      <c r="B695">
        <v>53758</v>
      </c>
      <c r="C695">
        <v>7898629571857</v>
      </c>
      <c r="D695">
        <v>7.49</v>
      </c>
      <c r="E695">
        <v>4.46</v>
      </c>
      <c r="F695" s="3">
        <v>0.29420000000000002</v>
      </c>
      <c r="G695">
        <v>3.2452999999999999</v>
      </c>
      <c r="H695">
        <v>0.26700000000000002</v>
      </c>
    </row>
    <row r="696" spans="1:8" x14ac:dyDescent="0.25">
      <c r="A696" t="s">
        <v>702</v>
      </c>
      <c r="B696">
        <v>44351</v>
      </c>
      <c r="C696">
        <v>7898629571758</v>
      </c>
      <c r="D696">
        <v>7.49</v>
      </c>
      <c r="E696">
        <v>4.53</v>
      </c>
      <c r="F696" s="3">
        <v>0.28110000000000002</v>
      </c>
      <c r="G696">
        <v>3.3437999999999999</v>
      </c>
      <c r="H696">
        <v>0.86699999999999999</v>
      </c>
    </row>
    <row r="697" spans="1:8" x14ac:dyDescent="0.25">
      <c r="A697" t="s">
        <v>703</v>
      </c>
      <c r="B697">
        <v>65862</v>
      </c>
      <c r="C697">
        <v>7898038730050</v>
      </c>
      <c r="D697">
        <v>12.9</v>
      </c>
      <c r="E697">
        <v>7.5</v>
      </c>
      <c r="F697" s="3">
        <v>0.37530000000000002</v>
      </c>
      <c r="G697">
        <v>6.8654999999999999</v>
      </c>
      <c r="H697">
        <v>0.5</v>
      </c>
    </row>
    <row r="698" spans="1:8" x14ac:dyDescent="0.25">
      <c r="A698" t="s">
        <v>704</v>
      </c>
      <c r="B698">
        <v>15920</v>
      </c>
      <c r="C698">
        <v>7898104900011</v>
      </c>
      <c r="D698">
        <v>11.9</v>
      </c>
      <c r="E698">
        <v>7.27</v>
      </c>
      <c r="F698" s="3">
        <v>0.31509999999999999</v>
      </c>
      <c r="G698">
        <v>6.0083000000000002</v>
      </c>
      <c r="H698">
        <v>1.2330000000000001</v>
      </c>
    </row>
    <row r="699" spans="1:8" x14ac:dyDescent="0.25">
      <c r="A699" t="s">
        <v>705</v>
      </c>
      <c r="B699">
        <v>31563</v>
      </c>
      <c r="C699">
        <v>7898104900622</v>
      </c>
      <c r="D699">
        <v>18.899999999999999</v>
      </c>
      <c r="E699">
        <v>13.26</v>
      </c>
      <c r="F699" s="3">
        <v>0.27089999999999997</v>
      </c>
      <c r="G699">
        <v>12.0321</v>
      </c>
      <c r="H699">
        <v>0.13300000000000001</v>
      </c>
    </row>
    <row r="700" spans="1:8" x14ac:dyDescent="0.25">
      <c r="A700" t="s">
        <v>706</v>
      </c>
      <c r="B700">
        <v>15943</v>
      </c>
      <c r="C700">
        <v>7898104900172</v>
      </c>
      <c r="D700">
        <v>3.29</v>
      </c>
      <c r="E700">
        <v>2.25</v>
      </c>
      <c r="F700" s="3">
        <v>0.28309999999999996</v>
      </c>
      <c r="G700">
        <v>2.0543999999999998</v>
      </c>
      <c r="H700">
        <v>4.3</v>
      </c>
    </row>
    <row r="701" spans="1:8" x14ac:dyDescent="0.25">
      <c r="A701" t="s">
        <v>707</v>
      </c>
      <c r="B701">
        <v>15916</v>
      </c>
      <c r="C701">
        <v>7898104900448</v>
      </c>
      <c r="D701">
        <v>3.29</v>
      </c>
      <c r="E701">
        <v>1.98</v>
      </c>
      <c r="F701" s="3">
        <v>0.3574</v>
      </c>
      <c r="G701">
        <v>1.8098000000000001</v>
      </c>
      <c r="H701">
        <v>2.1669999999999998</v>
      </c>
    </row>
    <row r="702" spans="1:8" x14ac:dyDescent="0.25">
      <c r="A702" t="s">
        <v>708</v>
      </c>
      <c r="B702">
        <v>15941</v>
      </c>
      <c r="C702">
        <v>7898104900257</v>
      </c>
      <c r="D702">
        <v>3.29</v>
      </c>
      <c r="E702">
        <v>1.93</v>
      </c>
      <c r="F702" s="3">
        <v>0.37200000000000005</v>
      </c>
      <c r="G702">
        <v>1.7617</v>
      </c>
      <c r="H702">
        <v>2.3330000000000002</v>
      </c>
    </row>
    <row r="703" spans="1:8" x14ac:dyDescent="0.25">
      <c r="A703" t="s">
        <v>709</v>
      </c>
      <c r="B703">
        <v>15942</v>
      </c>
      <c r="C703">
        <v>7898104900134</v>
      </c>
      <c r="D703">
        <v>3.29</v>
      </c>
      <c r="E703">
        <v>1.94</v>
      </c>
      <c r="F703" s="3">
        <v>0.37240000000000001</v>
      </c>
      <c r="G703">
        <v>1.7604</v>
      </c>
      <c r="H703">
        <v>2</v>
      </c>
    </row>
    <row r="704" spans="1:8" x14ac:dyDescent="0.25">
      <c r="A704" t="s">
        <v>710</v>
      </c>
      <c r="B704">
        <v>15919</v>
      </c>
      <c r="C704">
        <v>7898104900103</v>
      </c>
      <c r="D704">
        <v>3.29</v>
      </c>
      <c r="E704">
        <v>2</v>
      </c>
      <c r="F704" s="3">
        <v>0.35570000000000002</v>
      </c>
      <c r="G704">
        <v>1.8156000000000001</v>
      </c>
      <c r="H704">
        <v>3.7669999999999999</v>
      </c>
    </row>
    <row r="705" spans="1:8" x14ac:dyDescent="0.25">
      <c r="A705" t="s">
        <v>711</v>
      </c>
      <c r="B705">
        <v>15915</v>
      </c>
      <c r="C705">
        <v>7898104900165</v>
      </c>
      <c r="D705">
        <v>3.29</v>
      </c>
      <c r="E705">
        <v>2.02</v>
      </c>
      <c r="F705" s="3">
        <v>0.34909999999999997</v>
      </c>
      <c r="G705">
        <v>1.8371</v>
      </c>
      <c r="H705">
        <v>5.5330000000000004</v>
      </c>
    </row>
    <row r="706" spans="1:8" x14ac:dyDescent="0.25">
      <c r="A706" t="s">
        <v>712</v>
      </c>
      <c r="B706">
        <v>15918</v>
      </c>
      <c r="C706">
        <v>7898104900202</v>
      </c>
      <c r="D706">
        <v>3.29</v>
      </c>
      <c r="E706">
        <v>2.02</v>
      </c>
      <c r="F706" s="3">
        <v>0.34970000000000001</v>
      </c>
      <c r="G706">
        <v>1.8352999999999999</v>
      </c>
      <c r="H706">
        <v>5</v>
      </c>
    </row>
    <row r="707" spans="1:8" x14ac:dyDescent="0.25">
      <c r="A707" t="s">
        <v>713</v>
      </c>
      <c r="B707">
        <v>31562</v>
      </c>
      <c r="C707">
        <v>7898104900608</v>
      </c>
      <c r="D707">
        <v>3.29</v>
      </c>
      <c r="E707">
        <v>2.02</v>
      </c>
      <c r="F707" s="3">
        <v>0.34950000000000003</v>
      </c>
      <c r="G707">
        <v>1.8357000000000001</v>
      </c>
      <c r="H707">
        <v>2.7</v>
      </c>
    </row>
    <row r="708" spans="1:8" x14ac:dyDescent="0.25">
      <c r="A708" t="s">
        <v>714</v>
      </c>
      <c r="B708">
        <v>15910</v>
      </c>
      <c r="C708">
        <v>7898104900158</v>
      </c>
      <c r="D708">
        <v>9.2899999999999991</v>
      </c>
      <c r="E708">
        <v>6.27</v>
      </c>
      <c r="F708" s="3">
        <v>0.29469999999999996</v>
      </c>
      <c r="G708">
        <v>5.6928999999999998</v>
      </c>
      <c r="H708">
        <v>0.16700000000000001</v>
      </c>
    </row>
    <row r="709" spans="1:8" x14ac:dyDescent="0.25">
      <c r="A709" t="s">
        <v>715</v>
      </c>
      <c r="B709">
        <v>15909</v>
      </c>
      <c r="C709">
        <v>7898104900271</v>
      </c>
      <c r="D709">
        <v>11.9</v>
      </c>
      <c r="E709">
        <v>8.59</v>
      </c>
      <c r="F709" s="3">
        <v>0.25259999999999999</v>
      </c>
      <c r="G709">
        <v>7.7931999999999997</v>
      </c>
      <c r="H709">
        <v>0.56699999999999995</v>
      </c>
    </row>
    <row r="710" spans="1:8" x14ac:dyDescent="0.25">
      <c r="A710" t="s">
        <v>716</v>
      </c>
      <c r="B710">
        <v>15911</v>
      </c>
      <c r="C710">
        <v>7898104900141</v>
      </c>
      <c r="D710">
        <v>9.2899999999999991</v>
      </c>
      <c r="E710">
        <v>6.52</v>
      </c>
      <c r="F710" s="3">
        <v>0.26579999999999998</v>
      </c>
      <c r="G710">
        <v>5.9614000000000003</v>
      </c>
      <c r="H710">
        <v>0.86699999999999999</v>
      </c>
    </row>
    <row r="711" spans="1:8" x14ac:dyDescent="0.25">
      <c r="A711" t="s">
        <v>717</v>
      </c>
      <c r="B711">
        <v>67996</v>
      </c>
      <c r="C711">
        <v>7898994905202</v>
      </c>
      <c r="D711">
        <v>24.9</v>
      </c>
      <c r="E711">
        <v>15</v>
      </c>
      <c r="F711" s="3">
        <v>0.36070000000000002</v>
      </c>
      <c r="G711">
        <v>13.6152</v>
      </c>
      <c r="H711">
        <v>0.2</v>
      </c>
    </row>
    <row r="712" spans="1:8" x14ac:dyDescent="0.25">
      <c r="A712" t="s">
        <v>718</v>
      </c>
      <c r="B712">
        <v>65805</v>
      </c>
      <c r="C712">
        <v>7896885500604</v>
      </c>
      <c r="D712">
        <v>3.99</v>
      </c>
      <c r="E712">
        <v>2.63</v>
      </c>
      <c r="F712" s="3">
        <v>0.30969999999999998</v>
      </c>
      <c r="G712">
        <v>2.3851</v>
      </c>
      <c r="H712">
        <v>1.2</v>
      </c>
    </row>
    <row r="713" spans="1:8" x14ac:dyDescent="0.25">
      <c r="A713" t="s">
        <v>719</v>
      </c>
      <c r="B713">
        <v>37442</v>
      </c>
      <c r="C713">
        <v>7896885500062</v>
      </c>
      <c r="D713">
        <v>14.9</v>
      </c>
      <c r="E713">
        <v>9.23</v>
      </c>
      <c r="F713" s="3">
        <v>0.34509999999999996</v>
      </c>
      <c r="G713">
        <v>8.3795000000000002</v>
      </c>
      <c r="H713">
        <v>10</v>
      </c>
    </row>
    <row r="714" spans="1:8" x14ac:dyDescent="0.25">
      <c r="A714" t="s">
        <v>720</v>
      </c>
      <c r="B714">
        <v>37367</v>
      </c>
      <c r="C714">
        <v>7896885500260</v>
      </c>
      <c r="D714">
        <v>21.9</v>
      </c>
      <c r="E714">
        <v>14.04</v>
      </c>
      <c r="F714" s="3">
        <v>0.3261</v>
      </c>
      <c r="G714">
        <v>12.7324</v>
      </c>
      <c r="H714">
        <v>18.533000000000001</v>
      </c>
    </row>
    <row r="715" spans="1:8" x14ac:dyDescent="0.25">
      <c r="A715" t="s">
        <v>721</v>
      </c>
      <c r="B715">
        <v>65810</v>
      </c>
      <c r="C715">
        <v>7896885500796</v>
      </c>
      <c r="D715">
        <v>3.99</v>
      </c>
      <c r="E715">
        <v>2.14</v>
      </c>
      <c r="F715" s="3">
        <v>0.4204</v>
      </c>
      <c r="G715">
        <v>1.9435</v>
      </c>
      <c r="H715">
        <v>2.5</v>
      </c>
    </row>
    <row r="716" spans="1:8" x14ac:dyDescent="0.25">
      <c r="A716" t="s">
        <v>722</v>
      </c>
      <c r="B716">
        <v>47435</v>
      </c>
      <c r="C716">
        <v>7896885500413</v>
      </c>
      <c r="D716">
        <v>3.29</v>
      </c>
      <c r="E716">
        <v>1.83</v>
      </c>
      <c r="F716" s="3">
        <v>0.4017</v>
      </c>
      <c r="G716">
        <v>1.6639999999999999</v>
      </c>
      <c r="H716">
        <v>0</v>
      </c>
    </row>
    <row r="717" spans="1:8" x14ac:dyDescent="0.25">
      <c r="A717" t="s">
        <v>723</v>
      </c>
      <c r="B717">
        <v>37365</v>
      </c>
      <c r="C717">
        <v>7896885500314</v>
      </c>
      <c r="D717">
        <v>3.29</v>
      </c>
      <c r="E717">
        <v>2.0299999999999998</v>
      </c>
      <c r="F717" s="3">
        <v>0.3478</v>
      </c>
      <c r="G717">
        <v>1.8414999999999999</v>
      </c>
      <c r="H717">
        <v>32.232999999999997</v>
      </c>
    </row>
    <row r="718" spans="1:8" x14ac:dyDescent="0.25">
      <c r="A718" t="s">
        <v>724</v>
      </c>
      <c r="B718">
        <v>37366</v>
      </c>
      <c r="C718">
        <v>7896885500307</v>
      </c>
      <c r="D718">
        <v>3.29</v>
      </c>
      <c r="E718">
        <v>1.81</v>
      </c>
      <c r="F718" s="3">
        <v>0.40860000000000002</v>
      </c>
      <c r="G718">
        <v>1.6413</v>
      </c>
      <c r="H718">
        <v>28.1</v>
      </c>
    </row>
    <row r="719" spans="1:8" x14ac:dyDescent="0.25">
      <c r="A719" t="s">
        <v>725</v>
      </c>
      <c r="B719">
        <v>65796</v>
      </c>
      <c r="C719">
        <v>7896885500482</v>
      </c>
      <c r="D719">
        <v>9.99</v>
      </c>
      <c r="E719">
        <v>6.68</v>
      </c>
      <c r="F719" s="3">
        <v>0.3009</v>
      </c>
      <c r="G719">
        <v>6.0597000000000003</v>
      </c>
      <c r="H719">
        <v>1.2</v>
      </c>
    </row>
    <row r="720" spans="1:8" x14ac:dyDescent="0.25">
      <c r="A720" t="s">
        <v>726</v>
      </c>
      <c r="B720">
        <v>65794</v>
      </c>
      <c r="C720">
        <v>7896885500451</v>
      </c>
      <c r="D720">
        <v>8.99</v>
      </c>
      <c r="E720">
        <v>5.28</v>
      </c>
      <c r="F720" s="3">
        <v>0.37450000000000006</v>
      </c>
      <c r="G720">
        <v>4.7919</v>
      </c>
      <c r="H720">
        <v>1.0329999999999999</v>
      </c>
    </row>
    <row r="721" spans="1:8" x14ac:dyDescent="0.25">
      <c r="A721" t="s">
        <v>727</v>
      </c>
      <c r="B721">
        <v>65808</v>
      </c>
      <c r="C721">
        <v>7896885500642</v>
      </c>
      <c r="D721">
        <v>10.9</v>
      </c>
      <c r="E721">
        <v>7.2</v>
      </c>
      <c r="F721" s="3">
        <v>0.30780000000000002</v>
      </c>
      <c r="G721">
        <v>6.5369000000000002</v>
      </c>
      <c r="H721">
        <v>3.7</v>
      </c>
    </row>
    <row r="722" spans="1:8" x14ac:dyDescent="0.25">
      <c r="A722" t="s">
        <v>728</v>
      </c>
      <c r="B722">
        <v>69182</v>
      </c>
      <c r="C722">
        <v>7896885500949</v>
      </c>
      <c r="D722">
        <v>23.9</v>
      </c>
      <c r="E722">
        <v>14.86</v>
      </c>
      <c r="F722" s="3">
        <v>0.34329999999999999</v>
      </c>
      <c r="G722">
        <v>13.485300000000001</v>
      </c>
      <c r="H722">
        <v>2.2330000000000001</v>
      </c>
    </row>
    <row r="723" spans="1:8" x14ac:dyDescent="0.25">
      <c r="A723" t="s">
        <v>729</v>
      </c>
      <c r="B723">
        <v>65443</v>
      </c>
      <c r="C723">
        <v>7896256042696</v>
      </c>
      <c r="D723">
        <v>3.99</v>
      </c>
      <c r="E723">
        <v>2.36</v>
      </c>
      <c r="F723" s="3">
        <v>0.37159999999999999</v>
      </c>
      <c r="G723">
        <v>2.1383999999999999</v>
      </c>
      <c r="H723">
        <v>1.1000000000000001</v>
      </c>
    </row>
    <row r="724" spans="1:8" x14ac:dyDescent="0.25">
      <c r="A724" t="s">
        <v>730</v>
      </c>
      <c r="B724">
        <v>48731</v>
      </c>
      <c r="C724">
        <v>7898176581651</v>
      </c>
      <c r="D724">
        <v>12.9</v>
      </c>
      <c r="E724">
        <v>7.04</v>
      </c>
      <c r="F724" s="3">
        <v>0.33069999999999999</v>
      </c>
      <c r="G724">
        <v>5.1189999999999998</v>
      </c>
      <c r="H724">
        <v>2.5329999999999999</v>
      </c>
    </row>
    <row r="725" spans="1:8" x14ac:dyDescent="0.25">
      <c r="A725" t="s">
        <v>731</v>
      </c>
      <c r="B725">
        <v>31367</v>
      </c>
      <c r="C725">
        <v>7898176580913</v>
      </c>
      <c r="D725">
        <v>11.9</v>
      </c>
      <c r="E725">
        <v>7.14</v>
      </c>
      <c r="F725" s="3">
        <v>0.2913</v>
      </c>
      <c r="G725">
        <v>5.1908000000000003</v>
      </c>
      <c r="H725">
        <v>2.8</v>
      </c>
    </row>
    <row r="726" spans="1:8" x14ac:dyDescent="0.25">
      <c r="A726" t="s">
        <v>732</v>
      </c>
      <c r="B726">
        <v>48733</v>
      </c>
      <c r="C726">
        <v>7898176580883</v>
      </c>
      <c r="D726">
        <v>12.9</v>
      </c>
      <c r="E726">
        <v>7.03</v>
      </c>
      <c r="F726" s="3">
        <v>0.3296</v>
      </c>
      <c r="G726">
        <v>5.1327999999999996</v>
      </c>
      <c r="H726">
        <v>3.8</v>
      </c>
    </row>
    <row r="727" spans="1:8" x14ac:dyDescent="0.25">
      <c r="A727" t="s">
        <v>733</v>
      </c>
      <c r="B727">
        <v>48732</v>
      </c>
      <c r="C727">
        <v>7898176581729</v>
      </c>
      <c r="D727">
        <v>12.9</v>
      </c>
      <c r="E727">
        <v>7.05</v>
      </c>
      <c r="F727" s="3">
        <v>0.33460000000000001</v>
      </c>
      <c r="G727">
        <v>5.0682999999999998</v>
      </c>
      <c r="H727">
        <v>2.0670000000000002</v>
      </c>
    </row>
    <row r="728" spans="1:8" x14ac:dyDescent="0.25">
      <c r="A728" t="s">
        <v>734</v>
      </c>
      <c r="B728">
        <v>58514</v>
      </c>
      <c r="C728">
        <v>7898176582177</v>
      </c>
      <c r="D728">
        <v>7.99</v>
      </c>
      <c r="E728">
        <v>5.42</v>
      </c>
      <c r="F728" s="3">
        <v>0.29199999999999998</v>
      </c>
      <c r="G728">
        <v>4.9177999999999997</v>
      </c>
      <c r="H728">
        <v>1.2</v>
      </c>
    </row>
    <row r="729" spans="1:8" x14ac:dyDescent="0.25">
      <c r="A729" t="s">
        <v>735</v>
      </c>
      <c r="B729">
        <v>58513</v>
      </c>
      <c r="C729">
        <v>7898176582153</v>
      </c>
      <c r="D729">
        <v>7.99</v>
      </c>
      <c r="E729">
        <v>5.42</v>
      </c>
      <c r="F729" s="3">
        <v>0.29210000000000003</v>
      </c>
      <c r="G729">
        <v>4.9168000000000003</v>
      </c>
      <c r="H729">
        <v>0.96699999999999997</v>
      </c>
    </row>
    <row r="730" spans="1:8" x14ac:dyDescent="0.25">
      <c r="A730" t="s">
        <v>736</v>
      </c>
      <c r="B730">
        <v>62825</v>
      </c>
      <c r="C730">
        <v>7891150089242</v>
      </c>
      <c r="D730">
        <v>10.9</v>
      </c>
      <c r="E730">
        <v>7.8</v>
      </c>
      <c r="F730" s="3">
        <v>0.25819999999999999</v>
      </c>
      <c r="G730">
        <v>7.0773000000000001</v>
      </c>
      <c r="H730">
        <v>3.3000000000000002E-2</v>
      </c>
    </row>
    <row r="731" spans="1:8" x14ac:dyDescent="0.25">
      <c r="A731" t="s">
        <v>737</v>
      </c>
      <c r="B731">
        <v>62822</v>
      </c>
      <c r="C731">
        <v>7891150089211</v>
      </c>
      <c r="D731">
        <v>10.9</v>
      </c>
      <c r="E731">
        <v>7.73</v>
      </c>
      <c r="F731" s="3">
        <v>0.2636</v>
      </c>
      <c r="G731">
        <v>7.0183</v>
      </c>
      <c r="H731">
        <v>0.1</v>
      </c>
    </row>
    <row r="732" spans="1:8" x14ac:dyDescent="0.25">
      <c r="A732" t="s">
        <v>738</v>
      </c>
      <c r="B732">
        <v>62824</v>
      </c>
      <c r="C732">
        <v>7891150089235</v>
      </c>
      <c r="D732">
        <v>10.9</v>
      </c>
      <c r="E732">
        <v>7.76</v>
      </c>
      <c r="F732" s="3">
        <v>0.26280000000000003</v>
      </c>
      <c r="G732">
        <v>7.0267999999999997</v>
      </c>
      <c r="H732">
        <v>0.66700000000000004</v>
      </c>
    </row>
    <row r="733" spans="1:8" x14ac:dyDescent="0.25">
      <c r="A733" t="s">
        <v>739</v>
      </c>
      <c r="B733">
        <v>64454</v>
      </c>
      <c r="C733">
        <v>7896261404847</v>
      </c>
      <c r="D733">
        <v>2.99</v>
      </c>
      <c r="E733">
        <v>1.97</v>
      </c>
      <c r="F733" s="3">
        <v>0.30659999999999998</v>
      </c>
      <c r="G733">
        <v>1.7967</v>
      </c>
      <c r="H733">
        <v>5.8330000000000002</v>
      </c>
    </row>
    <row r="734" spans="1:8" x14ac:dyDescent="0.25">
      <c r="A734" t="s">
        <v>740</v>
      </c>
      <c r="B734">
        <v>64455</v>
      </c>
      <c r="C734">
        <v>7896261404861</v>
      </c>
      <c r="D734">
        <v>2.99</v>
      </c>
      <c r="E734">
        <v>1.89</v>
      </c>
      <c r="F734" s="3">
        <v>0.33340000000000003</v>
      </c>
      <c r="G734">
        <v>1.7165999999999999</v>
      </c>
      <c r="H734">
        <v>3.6669999999999998</v>
      </c>
    </row>
    <row r="735" spans="1:8" x14ac:dyDescent="0.25">
      <c r="A735" t="s">
        <v>741</v>
      </c>
      <c r="B735">
        <v>35181</v>
      </c>
      <c r="C735">
        <v>7896261402829</v>
      </c>
      <c r="D735">
        <v>7.29</v>
      </c>
      <c r="E735">
        <v>5.3</v>
      </c>
      <c r="F735" s="3">
        <v>0.1913</v>
      </c>
      <c r="G735">
        <v>5.2214</v>
      </c>
      <c r="H735">
        <v>5.9669999999999996</v>
      </c>
    </row>
    <row r="736" spans="1:8" x14ac:dyDescent="0.25">
      <c r="A736" t="s">
        <v>742</v>
      </c>
      <c r="B736">
        <v>6451</v>
      </c>
      <c r="C736">
        <v>7896261402621</v>
      </c>
      <c r="D736">
        <v>7.29</v>
      </c>
      <c r="E736">
        <v>5.45</v>
      </c>
      <c r="F736" s="3">
        <v>0.217</v>
      </c>
      <c r="G736">
        <v>5.0339999999999998</v>
      </c>
      <c r="H736">
        <v>7.4329999999999998</v>
      </c>
    </row>
    <row r="737" spans="1:8" x14ac:dyDescent="0.25">
      <c r="A737" t="s">
        <v>743</v>
      </c>
      <c r="B737">
        <v>45583</v>
      </c>
      <c r="C737">
        <v>7896261402812</v>
      </c>
      <c r="D737">
        <v>7.29</v>
      </c>
      <c r="E737">
        <v>5.6</v>
      </c>
      <c r="F737" s="3">
        <v>0.19620000000000001</v>
      </c>
      <c r="G737">
        <v>5.1853999999999996</v>
      </c>
      <c r="H737">
        <v>3.8330000000000002</v>
      </c>
    </row>
    <row r="738" spans="1:8" x14ac:dyDescent="0.25">
      <c r="A738" t="s">
        <v>744</v>
      </c>
      <c r="B738">
        <v>6452</v>
      </c>
      <c r="C738">
        <v>7896261402638</v>
      </c>
      <c r="D738">
        <v>7.29</v>
      </c>
      <c r="E738">
        <v>5.59</v>
      </c>
      <c r="F738" s="3">
        <v>0.22109999999999999</v>
      </c>
      <c r="G738">
        <v>5.0038</v>
      </c>
      <c r="H738">
        <v>3.0329999999999999</v>
      </c>
    </row>
    <row r="739" spans="1:8" x14ac:dyDescent="0.25">
      <c r="A739" t="s">
        <v>745</v>
      </c>
      <c r="B739">
        <v>6450</v>
      </c>
      <c r="C739">
        <v>7896261402645</v>
      </c>
      <c r="D739">
        <v>7.29</v>
      </c>
      <c r="E739">
        <v>5.56</v>
      </c>
      <c r="F739" s="3">
        <v>0.17760000000000001</v>
      </c>
      <c r="G739">
        <v>5.3205999999999998</v>
      </c>
      <c r="H739">
        <v>3.7330000000000001</v>
      </c>
    </row>
    <row r="740" spans="1:8" x14ac:dyDescent="0.25">
      <c r="A740" t="s">
        <v>746</v>
      </c>
      <c r="B740">
        <v>36654</v>
      </c>
      <c r="C740">
        <v>7896261402799</v>
      </c>
      <c r="D740">
        <v>3.99</v>
      </c>
      <c r="E740">
        <v>2.7</v>
      </c>
      <c r="F740" s="3">
        <v>0.28370000000000001</v>
      </c>
      <c r="G740">
        <v>2.4889000000000001</v>
      </c>
      <c r="H740">
        <v>4.5</v>
      </c>
    </row>
    <row r="741" spans="1:8" x14ac:dyDescent="0.25">
      <c r="A741" t="s">
        <v>747</v>
      </c>
      <c r="B741">
        <v>31176</v>
      </c>
      <c r="C741">
        <v>7896261402805</v>
      </c>
      <c r="D741">
        <v>3.99</v>
      </c>
      <c r="E741">
        <v>2.74</v>
      </c>
      <c r="F741" s="3">
        <v>0.2802</v>
      </c>
      <c r="G741">
        <v>2.5028000000000001</v>
      </c>
      <c r="H741">
        <v>5.2329999999999997</v>
      </c>
    </row>
    <row r="742" spans="1:8" x14ac:dyDescent="0.25">
      <c r="A742" t="s">
        <v>748</v>
      </c>
      <c r="B742">
        <v>6263</v>
      </c>
      <c r="C742">
        <v>7896261402607</v>
      </c>
      <c r="D742">
        <v>3.99</v>
      </c>
      <c r="E742">
        <v>2.67</v>
      </c>
      <c r="F742" s="3">
        <v>0.28739999999999999</v>
      </c>
      <c r="G742">
        <v>2.4740000000000002</v>
      </c>
      <c r="H742">
        <v>4.367</v>
      </c>
    </row>
    <row r="743" spans="1:8" x14ac:dyDescent="0.25">
      <c r="A743" t="s">
        <v>749</v>
      </c>
      <c r="B743">
        <v>6264</v>
      </c>
      <c r="C743">
        <v>7896261402614</v>
      </c>
      <c r="D743">
        <v>3.99</v>
      </c>
      <c r="E743">
        <v>2.69</v>
      </c>
      <c r="F743" s="3">
        <v>0.2787</v>
      </c>
      <c r="G743">
        <v>2.5089000000000001</v>
      </c>
      <c r="H743">
        <v>3.2330000000000001</v>
      </c>
    </row>
    <row r="744" spans="1:8" x14ac:dyDescent="0.25">
      <c r="A744" t="s">
        <v>750</v>
      </c>
      <c r="B744">
        <v>6265</v>
      </c>
      <c r="C744">
        <v>7896261402591</v>
      </c>
      <c r="D744">
        <v>3.99</v>
      </c>
      <c r="E744">
        <v>2.69</v>
      </c>
      <c r="F744" s="3">
        <v>0.28610000000000002</v>
      </c>
      <c r="G744">
        <v>2.4794999999999998</v>
      </c>
      <c r="H744">
        <v>11.5</v>
      </c>
    </row>
    <row r="745" spans="1:8" x14ac:dyDescent="0.25">
      <c r="A745" t="s">
        <v>751</v>
      </c>
      <c r="B745">
        <v>52479</v>
      </c>
      <c r="C745">
        <v>7896261403536</v>
      </c>
      <c r="D745">
        <v>7.99</v>
      </c>
      <c r="E745">
        <v>5.5</v>
      </c>
      <c r="F745" s="3">
        <v>0.28129999999999999</v>
      </c>
      <c r="G745">
        <v>5.0030000000000001</v>
      </c>
      <c r="H745">
        <v>3.9329999999999998</v>
      </c>
    </row>
    <row r="746" spans="1:8" x14ac:dyDescent="0.25">
      <c r="A746" t="s">
        <v>752</v>
      </c>
      <c r="B746">
        <v>52480</v>
      </c>
      <c r="C746">
        <v>7896261403543</v>
      </c>
      <c r="D746">
        <v>7.99</v>
      </c>
      <c r="E746">
        <v>5.76</v>
      </c>
      <c r="F746" s="3">
        <v>0.245</v>
      </c>
      <c r="G746">
        <v>5.2935999999999996</v>
      </c>
      <c r="H746">
        <v>2.2669999999999999</v>
      </c>
    </row>
    <row r="747" spans="1:8" x14ac:dyDescent="0.25">
      <c r="A747" t="s">
        <v>753</v>
      </c>
      <c r="B747">
        <v>64711</v>
      </c>
      <c r="C747">
        <v>7898176582597</v>
      </c>
      <c r="D747">
        <v>5.99</v>
      </c>
      <c r="E747">
        <v>3.74</v>
      </c>
      <c r="F747" s="3">
        <v>0.30760000000000004</v>
      </c>
      <c r="G747">
        <v>3.0693999999999999</v>
      </c>
      <c r="H747">
        <v>2.0329999999999999</v>
      </c>
    </row>
    <row r="748" spans="1:8" x14ac:dyDescent="0.25">
      <c r="A748" t="s">
        <v>754</v>
      </c>
      <c r="B748">
        <v>54396</v>
      </c>
      <c r="C748">
        <v>7898176581507</v>
      </c>
      <c r="D748">
        <v>5.99</v>
      </c>
      <c r="E748">
        <v>3.76</v>
      </c>
      <c r="F748" s="3">
        <v>0.30570000000000003</v>
      </c>
      <c r="G748">
        <v>3.0804999999999998</v>
      </c>
      <c r="H748">
        <v>2.5</v>
      </c>
    </row>
    <row r="749" spans="1:8" x14ac:dyDescent="0.25">
      <c r="A749" t="s">
        <v>755</v>
      </c>
      <c r="B749">
        <v>31333</v>
      </c>
      <c r="C749">
        <v>7898176580210</v>
      </c>
      <c r="D749">
        <v>5.99</v>
      </c>
      <c r="E749">
        <v>3.76</v>
      </c>
      <c r="F749" s="3">
        <v>0.30570000000000003</v>
      </c>
      <c r="G749">
        <v>3.0806</v>
      </c>
      <c r="H749">
        <v>2.1</v>
      </c>
    </row>
    <row r="750" spans="1:8" x14ac:dyDescent="0.25">
      <c r="A750" t="s">
        <v>756</v>
      </c>
      <c r="B750">
        <v>31336</v>
      </c>
      <c r="C750">
        <v>7898176580470</v>
      </c>
      <c r="D750">
        <v>5.99</v>
      </c>
      <c r="E750">
        <v>3.75</v>
      </c>
      <c r="F750" s="3">
        <v>0.30609999999999998</v>
      </c>
      <c r="G750">
        <v>3.0783999999999998</v>
      </c>
      <c r="H750">
        <v>1.2669999999999999</v>
      </c>
    </row>
    <row r="751" spans="1:8" x14ac:dyDescent="0.25">
      <c r="A751" t="s">
        <v>757</v>
      </c>
      <c r="B751">
        <v>31334</v>
      </c>
      <c r="C751">
        <v>7898176580227</v>
      </c>
      <c r="D751">
        <v>5.99</v>
      </c>
      <c r="E751">
        <v>3.75</v>
      </c>
      <c r="F751" s="3">
        <v>0.30599999999999999</v>
      </c>
      <c r="G751">
        <v>3.0788000000000002</v>
      </c>
      <c r="H751">
        <v>0.96699999999999997</v>
      </c>
    </row>
    <row r="752" spans="1:8" x14ac:dyDescent="0.25">
      <c r="A752" t="s">
        <v>758</v>
      </c>
      <c r="B752">
        <v>31335</v>
      </c>
      <c r="C752">
        <v>7898176580234</v>
      </c>
      <c r="D752">
        <v>5.99</v>
      </c>
      <c r="E752">
        <v>3.76</v>
      </c>
      <c r="F752" s="3">
        <v>0.30570000000000003</v>
      </c>
      <c r="G752">
        <v>3.0806</v>
      </c>
      <c r="H752">
        <v>2.1669999999999998</v>
      </c>
    </row>
    <row r="753" spans="1:8" x14ac:dyDescent="0.25">
      <c r="A753" t="s">
        <v>759</v>
      </c>
      <c r="B753">
        <v>54861</v>
      </c>
      <c r="C753">
        <v>7896001281844</v>
      </c>
      <c r="D753">
        <v>0</v>
      </c>
      <c r="E753">
        <v>5.28</v>
      </c>
      <c r="F753" s="3">
        <v>0</v>
      </c>
      <c r="G753">
        <v>4.7942</v>
      </c>
      <c r="H753">
        <v>6.7000000000000004E-2</v>
      </c>
    </row>
    <row r="754" spans="1:8" x14ac:dyDescent="0.25">
      <c r="A754" t="s">
        <v>760</v>
      </c>
      <c r="B754">
        <v>58149</v>
      </c>
      <c r="C754">
        <v>7891150076952</v>
      </c>
      <c r="D754">
        <v>8.99</v>
      </c>
      <c r="E754">
        <v>5.36</v>
      </c>
      <c r="F754" s="3">
        <v>0.29350000000000004</v>
      </c>
      <c r="G754">
        <v>3.9014000000000002</v>
      </c>
      <c r="H754">
        <v>1.2669999999999999</v>
      </c>
    </row>
    <row r="755" spans="1:8" x14ac:dyDescent="0.25">
      <c r="A755" t="s">
        <v>761</v>
      </c>
      <c r="B755">
        <v>58148</v>
      </c>
      <c r="C755">
        <v>7891150076945</v>
      </c>
      <c r="D755">
        <v>8.99</v>
      </c>
      <c r="E755">
        <v>5.15</v>
      </c>
      <c r="F755" s="3">
        <v>0.31069999999999998</v>
      </c>
      <c r="G755">
        <v>3.7475000000000001</v>
      </c>
      <c r="H755">
        <v>6.7000000000000004E-2</v>
      </c>
    </row>
    <row r="756" spans="1:8" x14ac:dyDescent="0.25">
      <c r="A756" t="s">
        <v>762</v>
      </c>
      <c r="B756">
        <v>43685</v>
      </c>
      <c r="C756">
        <v>7896261403116</v>
      </c>
      <c r="D756">
        <v>5.99</v>
      </c>
      <c r="E756">
        <v>4.21</v>
      </c>
      <c r="F756" s="3">
        <v>0.26280000000000003</v>
      </c>
      <c r="G756">
        <v>3.8618999999999999</v>
      </c>
      <c r="H756">
        <v>2.9670000000000001</v>
      </c>
    </row>
    <row r="757" spans="1:8" x14ac:dyDescent="0.25">
      <c r="A757" t="s">
        <v>763</v>
      </c>
      <c r="B757">
        <v>43686</v>
      </c>
      <c r="C757">
        <v>7896261403123</v>
      </c>
      <c r="D757">
        <v>5.99</v>
      </c>
      <c r="E757">
        <v>4.09</v>
      </c>
      <c r="F757" s="3">
        <v>0.28449999999999998</v>
      </c>
      <c r="G757">
        <v>3.7315999999999998</v>
      </c>
      <c r="H757">
        <v>7.0330000000000004</v>
      </c>
    </row>
    <row r="758" spans="1:8" x14ac:dyDescent="0.25">
      <c r="A758" t="s">
        <v>764</v>
      </c>
      <c r="B758">
        <v>43684</v>
      </c>
      <c r="C758">
        <v>7896261403109</v>
      </c>
      <c r="D758">
        <v>5.99</v>
      </c>
      <c r="E758">
        <v>3.85</v>
      </c>
      <c r="F758" s="3">
        <v>0.3135</v>
      </c>
      <c r="G758">
        <v>3.5581999999999998</v>
      </c>
      <c r="H758">
        <v>5.0999999999999996</v>
      </c>
    </row>
    <row r="759" spans="1:8" x14ac:dyDescent="0.25">
      <c r="A759" t="s">
        <v>765</v>
      </c>
      <c r="B759">
        <v>43695</v>
      </c>
      <c r="C759">
        <v>7896261403185</v>
      </c>
      <c r="D759">
        <v>10.9</v>
      </c>
      <c r="E759">
        <v>8</v>
      </c>
      <c r="F759" s="3">
        <v>0.21780000000000002</v>
      </c>
      <c r="G759">
        <v>7.5179999999999998</v>
      </c>
      <c r="H759">
        <v>6.7000000000000004E-2</v>
      </c>
    </row>
    <row r="760" spans="1:8" x14ac:dyDescent="0.25">
      <c r="A760" t="s">
        <v>766</v>
      </c>
      <c r="B760">
        <v>43693</v>
      </c>
      <c r="C760">
        <v>7896261403161</v>
      </c>
      <c r="D760">
        <v>10.9</v>
      </c>
      <c r="E760">
        <v>8.33</v>
      </c>
      <c r="F760" s="3">
        <v>0.21379999999999999</v>
      </c>
      <c r="G760">
        <v>7.5609999999999999</v>
      </c>
      <c r="H760">
        <v>0.56699999999999995</v>
      </c>
    </row>
    <row r="761" spans="1:8" x14ac:dyDescent="0.25">
      <c r="A761" t="s">
        <v>767</v>
      </c>
      <c r="B761">
        <v>62546</v>
      </c>
      <c r="C761">
        <v>7896001282155</v>
      </c>
      <c r="D761">
        <v>0</v>
      </c>
      <c r="E761">
        <v>6.78</v>
      </c>
      <c r="F761" s="3">
        <v>0</v>
      </c>
      <c r="G761">
        <v>4.9298000000000002</v>
      </c>
      <c r="H761">
        <v>3.3000000000000002E-2</v>
      </c>
    </row>
    <row r="762" spans="1:8" x14ac:dyDescent="0.25">
      <c r="A762" t="s">
        <v>768</v>
      </c>
      <c r="B762">
        <v>67957</v>
      </c>
      <c r="C762">
        <v>7898599217618</v>
      </c>
      <c r="D762">
        <v>11.9</v>
      </c>
      <c r="E762">
        <v>6.62</v>
      </c>
      <c r="F762" s="3">
        <v>0.32429999999999998</v>
      </c>
      <c r="G762">
        <v>4.7976999999999999</v>
      </c>
      <c r="H762">
        <v>6.633</v>
      </c>
    </row>
    <row r="763" spans="1:8" x14ac:dyDescent="0.25">
      <c r="A763" t="s">
        <v>769</v>
      </c>
      <c r="B763">
        <v>67956</v>
      </c>
      <c r="C763">
        <v>7898599217632</v>
      </c>
      <c r="D763">
        <v>11.9</v>
      </c>
      <c r="E763">
        <v>6.34</v>
      </c>
      <c r="F763" s="3">
        <v>0.35749999999999998</v>
      </c>
      <c r="G763">
        <v>4.4028999999999998</v>
      </c>
      <c r="H763">
        <v>4.1820000000000004</v>
      </c>
    </row>
    <row r="764" spans="1:8" x14ac:dyDescent="0.25">
      <c r="A764" t="s">
        <v>770</v>
      </c>
      <c r="B764">
        <v>67953</v>
      </c>
      <c r="C764">
        <v>7898599217199</v>
      </c>
      <c r="D764">
        <v>8.99</v>
      </c>
      <c r="E764">
        <v>5.22</v>
      </c>
      <c r="F764" s="3">
        <v>0.3054</v>
      </c>
      <c r="G764">
        <v>3.7951000000000001</v>
      </c>
      <c r="H764">
        <v>4.617</v>
      </c>
    </row>
    <row r="765" spans="1:8" x14ac:dyDescent="0.25">
      <c r="A765" t="s">
        <v>771</v>
      </c>
      <c r="B765">
        <v>67952</v>
      </c>
      <c r="C765">
        <v>7898599216383</v>
      </c>
      <c r="D765">
        <v>19.899999999999999</v>
      </c>
      <c r="E765">
        <v>11.57</v>
      </c>
      <c r="F765" s="3">
        <v>0.30519999999999997</v>
      </c>
      <c r="G765">
        <v>8.4041999999999994</v>
      </c>
      <c r="H765">
        <v>2.9</v>
      </c>
    </row>
    <row r="766" spans="1:8" x14ac:dyDescent="0.25">
      <c r="A766" t="s">
        <v>772</v>
      </c>
      <c r="B766">
        <v>67949</v>
      </c>
      <c r="C766">
        <v>7898599217250</v>
      </c>
      <c r="D766">
        <v>11.9</v>
      </c>
      <c r="E766">
        <v>6.7</v>
      </c>
      <c r="F766" s="3">
        <v>0.318</v>
      </c>
      <c r="G766">
        <v>4.8731999999999998</v>
      </c>
      <c r="H766">
        <v>5.5030000000000001</v>
      </c>
    </row>
    <row r="767" spans="1:8" x14ac:dyDescent="0.25">
      <c r="A767" t="s">
        <v>773</v>
      </c>
      <c r="B767">
        <v>67950</v>
      </c>
      <c r="C767">
        <v>7898599217144</v>
      </c>
      <c r="D767">
        <v>11.9</v>
      </c>
      <c r="E767">
        <v>6.7</v>
      </c>
      <c r="F767" s="3">
        <v>0.3175</v>
      </c>
      <c r="G767">
        <v>4.8791000000000002</v>
      </c>
      <c r="H767">
        <v>5.9669999999999996</v>
      </c>
    </row>
    <row r="768" spans="1:8" x14ac:dyDescent="0.25">
      <c r="A768" t="s">
        <v>774</v>
      </c>
      <c r="B768">
        <v>67951</v>
      </c>
      <c r="C768">
        <v>7898599216376</v>
      </c>
      <c r="D768">
        <v>11.9</v>
      </c>
      <c r="E768">
        <v>6.74</v>
      </c>
      <c r="F768" s="3">
        <v>0.3155</v>
      </c>
      <c r="G768">
        <v>4.9027000000000003</v>
      </c>
      <c r="H768">
        <v>9.8330000000000002</v>
      </c>
    </row>
    <row r="769" spans="1:8" x14ac:dyDescent="0.25">
      <c r="A769" t="s">
        <v>775</v>
      </c>
      <c r="B769">
        <v>67954</v>
      </c>
      <c r="C769">
        <v>7898599217694</v>
      </c>
      <c r="D769">
        <v>14.9</v>
      </c>
      <c r="E769">
        <v>8.17</v>
      </c>
      <c r="F769" s="3">
        <v>0.30620000000000003</v>
      </c>
      <c r="G769">
        <v>6.2766999999999999</v>
      </c>
      <c r="H769">
        <v>4.9329999999999998</v>
      </c>
    </row>
    <row r="770" spans="1:8" x14ac:dyDescent="0.25">
      <c r="A770" t="s">
        <v>776</v>
      </c>
      <c r="B770">
        <v>67955</v>
      </c>
      <c r="C770">
        <v>7898599217687</v>
      </c>
      <c r="D770">
        <v>14.9</v>
      </c>
      <c r="E770">
        <v>8.61</v>
      </c>
      <c r="F770" s="3">
        <v>0.30199999999999999</v>
      </c>
      <c r="G770">
        <v>6.3399000000000001</v>
      </c>
      <c r="H770">
        <v>5.9</v>
      </c>
    </row>
    <row r="771" spans="1:8" x14ac:dyDescent="0.25">
      <c r="A771" t="s">
        <v>777</v>
      </c>
      <c r="B771">
        <v>56518</v>
      </c>
      <c r="C771">
        <v>7892840820640</v>
      </c>
      <c r="D771">
        <v>9.9</v>
      </c>
      <c r="E771">
        <v>6.51</v>
      </c>
      <c r="F771" s="3">
        <v>0.3211</v>
      </c>
      <c r="G771">
        <v>5.8048999999999999</v>
      </c>
      <c r="H771">
        <v>6.1</v>
      </c>
    </row>
    <row r="772" spans="1:8" x14ac:dyDescent="0.25">
      <c r="A772" t="s">
        <v>778</v>
      </c>
      <c r="B772">
        <v>17471</v>
      </c>
      <c r="C772">
        <v>7892840823375</v>
      </c>
      <c r="D772">
        <v>9.9</v>
      </c>
      <c r="E772">
        <v>6.23</v>
      </c>
      <c r="F772" s="3">
        <v>0.33649999999999997</v>
      </c>
      <c r="G772">
        <v>5.6534000000000004</v>
      </c>
      <c r="H772">
        <v>51.966999999999999</v>
      </c>
    </row>
    <row r="773" spans="1:8" x14ac:dyDescent="0.25">
      <c r="A773" t="s">
        <v>779</v>
      </c>
      <c r="B773">
        <v>41908</v>
      </c>
      <c r="C773">
        <v>7892840823382</v>
      </c>
      <c r="D773">
        <v>9.9</v>
      </c>
      <c r="E773">
        <v>6.25</v>
      </c>
      <c r="F773" s="3">
        <v>0.33549999999999996</v>
      </c>
      <c r="G773">
        <v>5.6627999999999998</v>
      </c>
      <c r="H773">
        <v>23.867000000000001</v>
      </c>
    </row>
    <row r="774" spans="1:8" x14ac:dyDescent="0.25">
      <c r="A774" t="s">
        <v>780</v>
      </c>
      <c r="B774">
        <v>17629</v>
      </c>
      <c r="C774">
        <v>7892840823399</v>
      </c>
      <c r="D774">
        <v>9.9</v>
      </c>
      <c r="E774">
        <v>6.23</v>
      </c>
      <c r="F774" s="3">
        <v>0.33630000000000004</v>
      </c>
      <c r="G774">
        <v>5.6547999999999998</v>
      </c>
      <c r="H774">
        <v>29.367000000000001</v>
      </c>
    </row>
    <row r="775" spans="1:8" x14ac:dyDescent="0.25">
      <c r="A775" t="s">
        <v>781</v>
      </c>
      <c r="B775">
        <v>4255</v>
      </c>
      <c r="C775">
        <v>7892840820381</v>
      </c>
      <c r="D775">
        <v>9.9</v>
      </c>
      <c r="E775">
        <v>7.3</v>
      </c>
      <c r="F775" s="3">
        <v>0.23710000000000001</v>
      </c>
      <c r="G775">
        <v>6.6367000000000003</v>
      </c>
      <c r="H775">
        <v>43.8</v>
      </c>
    </row>
    <row r="776" spans="1:8" x14ac:dyDescent="0.25">
      <c r="A776" t="s">
        <v>782</v>
      </c>
      <c r="B776">
        <v>57952</v>
      </c>
      <c r="C776">
        <v>7892840818241</v>
      </c>
      <c r="D776">
        <v>17.899999999999999</v>
      </c>
      <c r="E776">
        <v>12.77</v>
      </c>
      <c r="F776" s="3">
        <v>0.26200000000000001</v>
      </c>
      <c r="G776">
        <v>11.5543</v>
      </c>
      <c r="H776">
        <v>38.1</v>
      </c>
    </row>
    <row r="777" spans="1:8" x14ac:dyDescent="0.25">
      <c r="A777" t="s">
        <v>783</v>
      </c>
      <c r="B777">
        <v>4257</v>
      </c>
      <c r="C777">
        <v>7892840231941</v>
      </c>
      <c r="D777">
        <v>19.899999999999999</v>
      </c>
      <c r="E777">
        <v>0</v>
      </c>
      <c r="F777" s="3">
        <v>0.90749999999999997</v>
      </c>
      <c r="G777">
        <v>0</v>
      </c>
      <c r="H777">
        <v>0</v>
      </c>
    </row>
    <row r="778" spans="1:8" x14ac:dyDescent="0.25">
      <c r="A778" t="s">
        <v>784</v>
      </c>
      <c r="B778">
        <v>4262</v>
      </c>
      <c r="C778">
        <v>7892840820398</v>
      </c>
      <c r="D778">
        <v>10.9</v>
      </c>
      <c r="E778">
        <v>7.3</v>
      </c>
      <c r="F778" s="3">
        <v>0.30370000000000003</v>
      </c>
      <c r="G778">
        <v>6.5816999999999997</v>
      </c>
      <c r="H778">
        <v>26.667000000000002</v>
      </c>
    </row>
    <row r="779" spans="1:8" x14ac:dyDescent="0.25">
      <c r="A779" t="s">
        <v>785</v>
      </c>
      <c r="B779">
        <v>4263</v>
      </c>
      <c r="C779">
        <v>7891095031115</v>
      </c>
      <c r="D779">
        <v>9.2899999999999991</v>
      </c>
      <c r="E779">
        <v>6.9</v>
      </c>
      <c r="F779" s="3">
        <v>0.2339</v>
      </c>
      <c r="G779">
        <v>6.2572999999999999</v>
      </c>
      <c r="H779">
        <v>39.732999999999997</v>
      </c>
    </row>
    <row r="780" spans="1:8" x14ac:dyDescent="0.25">
      <c r="A780" t="s">
        <v>786</v>
      </c>
      <c r="B780">
        <v>66914</v>
      </c>
      <c r="C780">
        <v>7891095911608</v>
      </c>
      <c r="D780">
        <v>16.489999999999998</v>
      </c>
      <c r="E780">
        <v>10.91</v>
      </c>
      <c r="F780" s="3">
        <v>0.31670000000000004</v>
      </c>
      <c r="G780">
        <v>9.7426999999999992</v>
      </c>
      <c r="H780">
        <v>24.867000000000001</v>
      </c>
    </row>
    <row r="781" spans="1:8" x14ac:dyDescent="0.25">
      <c r="A781" t="s">
        <v>787</v>
      </c>
      <c r="B781">
        <v>4283</v>
      </c>
      <c r="C781">
        <v>7891095031153</v>
      </c>
      <c r="D781">
        <v>9.2899999999999991</v>
      </c>
      <c r="E781">
        <v>6.85</v>
      </c>
      <c r="F781" s="3">
        <v>0.23829999999999998</v>
      </c>
      <c r="G781">
        <v>6.2165999999999997</v>
      </c>
      <c r="H781">
        <v>15.967000000000001</v>
      </c>
    </row>
    <row r="782" spans="1:8" x14ac:dyDescent="0.25">
      <c r="A782" t="s">
        <v>788</v>
      </c>
      <c r="B782">
        <v>63456</v>
      </c>
      <c r="C782">
        <v>7891095031177</v>
      </c>
      <c r="D782">
        <v>9.2899999999999991</v>
      </c>
      <c r="E782">
        <v>6.89</v>
      </c>
      <c r="F782" s="3">
        <v>0.2346</v>
      </c>
      <c r="G782">
        <v>6.2507999999999999</v>
      </c>
      <c r="H782">
        <v>10.032999999999999</v>
      </c>
    </row>
    <row r="783" spans="1:8" x14ac:dyDescent="0.25">
      <c r="A783" t="s">
        <v>789</v>
      </c>
      <c r="B783">
        <v>4285</v>
      </c>
      <c r="C783">
        <v>7891095031122</v>
      </c>
      <c r="D783">
        <v>9.2899999999999991</v>
      </c>
      <c r="E783">
        <v>6.82</v>
      </c>
      <c r="F783" s="3">
        <v>0.24170000000000003</v>
      </c>
      <c r="G783">
        <v>6.1852999999999998</v>
      </c>
      <c r="H783">
        <v>97.966999999999999</v>
      </c>
    </row>
    <row r="784" spans="1:8" x14ac:dyDescent="0.25">
      <c r="A784" t="s">
        <v>790</v>
      </c>
      <c r="B784">
        <v>66915</v>
      </c>
      <c r="C784">
        <v>7891095911592</v>
      </c>
      <c r="D784">
        <v>16.489999999999998</v>
      </c>
      <c r="E784">
        <v>10.89</v>
      </c>
      <c r="F784" s="3">
        <v>0.309</v>
      </c>
      <c r="G784">
        <v>9.8697999999999997</v>
      </c>
      <c r="H784">
        <v>20.933</v>
      </c>
    </row>
    <row r="785" spans="1:8" x14ac:dyDescent="0.25">
      <c r="A785" t="s">
        <v>791</v>
      </c>
      <c r="B785">
        <v>64044</v>
      </c>
      <c r="C785">
        <v>7891095031696</v>
      </c>
      <c r="D785">
        <v>5.83</v>
      </c>
      <c r="E785">
        <v>5.64</v>
      </c>
      <c r="F785" s="3">
        <v>2.8799999999999999E-2</v>
      </c>
      <c r="G785">
        <v>5.1243999999999996</v>
      </c>
      <c r="H785">
        <v>52.433</v>
      </c>
    </row>
    <row r="786" spans="1:8" x14ac:dyDescent="0.25">
      <c r="A786" t="s">
        <v>792</v>
      </c>
      <c r="B786">
        <v>63193</v>
      </c>
      <c r="C786">
        <v>7892840820633</v>
      </c>
      <c r="D786">
        <v>10.9</v>
      </c>
      <c r="E786">
        <v>6.54</v>
      </c>
      <c r="F786" s="3">
        <v>0.36420000000000002</v>
      </c>
      <c r="G786">
        <v>5.9218999999999999</v>
      </c>
      <c r="H786">
        <v>19.433</v>
      </c>
    </row>
    <row r="787" spans="1:8" x14ac:dyDescent="0.25">
      <c r="A787" t="s">
        <v>793</v>
      </c>
      <c r="B787">
        <v>65515</v>
      </c>
      <c r="C787">
        <v>8008698031032</v>
      </c>
      <c r="D787">
        <v>39.9</v>
      </c>
      <c r="E787">
        <v>25.45</v>
      </c>
      <c r="F787" s="3">
        <v>0.3286</v>
      </c>
      <c r="G787">
        <v>23.098700000000001</v>
      </c>
      <c r="H787">
        <v>0.1</v>
      </c>
    </row>
    <row r="788" spans="1:8" x14ac:dyDescent="0.25">
      <c r="A788" t="s">
        <v>794</v>
      </c>
      <c r="B788">
        <v>65514</v>
      </c>
      <c r="C788">
        <v>8008698031056</v>
      </c>
      <c r="D788">
        <v>39.9</v>
      </c>
      <c r="E788">
        <v>25.88</v>
      </c>
      <c r="F788" s="3">
        <v>0.317</v>
      </c>
      <c r="G788">
        <v>23.5594</v>
      </c>
      <c r="H788">
        <v>0.13300000000000001</v>
      </c>
    </row>
    <row r="789" spans="1:8" x14ac:dyDescent="0.25">
      <c r="A789" t="s">
        <v>795</v>
      </c>
      <c r="B789">
        <v>6431</v>
      </c>
      <c r="C789">
        <v>7897122600019</v>
      </c>
      <c r="D789">
        <v>15.9</v>
      </c>
      <c r="E789">
        <v>10.85</v>
      </c>
      <c r="F789" s="3">
        <v>0.24530000000000002</v>
      </c>
      <c r="G789">
        <v>9.1372</v>
      </c>
      <c r="H789">
        <v>0.5</v>
      </c>
    </row>
    <row r="790" spans="1:8" x14ac:dyDescent="0.25">
      <c r="A790" t="s">
        <v>796</v>
      </c>
      <c r="B790">
        <v>65459</v>
      </c>
      <c r="C790">
        <v>7898215157113</v>
      </c>
      <c r="D790">
        <v>19.899999999999999</v>
      </c>
      <c r="E790">
        <v>13.89</v>
      </c>
      <c r="F790" s="3">
        <v>0.27140000000000003</v>
      </c>
      <c r="G790">
        <v>12.6586</v>
      </c>
      <c r="H790">
        <v>1.367</v>
      </c>
    </row>
    <row r="791" spans="1:8" x14ac:dyDescent="0.25">
      <c r="A791" t="s">
        <v>797</v>
      </c>
      <c r="B791">
        <v>65458</v>
      </c>
      <c r="C791">
        <v>7898215157106</v>
      </c>
      <c r="D791">
        <v>19.899999999999999</v>
      </c>
      <c r="E791">
        <v>13.83</v>
      </c>
      <c r="F791" s="3">
        <v>0.27699999999999997</v>
      </c>
      <c r="G791">
        <v>12.545999999999999</v>
      </c>
      <c r="H791">
        <v>1.867</v>
      </c>
    </row>
    <row r="792" spans="1:8" x14ac:dyDescent="0.25">
      <c r="A792" t="s">
        <v>798</v>
      </c>
      <c r="B792">
        <v>59945</v>
      </c>
      <c r="C792">
        <v>7891000288177</v>
      </c>
      <c r="D792">
        <v>19.899999999999999</v>
      </c>
      <c r="E792">
        <v>14.26</v>
      </c>
      <c r="F792" s="3">
        <v>0.25869999999999999</v>
      </c>
      <c r="G792">
        <v>12.912000000000001</v>
      </c>
      <c r="H792">
        <v>4</v>
      </c>
    </row>
    <row r="793" spans="1:8" x14ac:dyDescent="0.25">
      <c r="A793" t="s">
        <v>799</v>
      </c>
      <c r="B793">
        <v>66538</v>
      </c>
      <c r="C793">
        <v>7898692301290</v>
      </c>
      <c r="D793">
        <v>21.9</v>
      </c>
      <c r="E793">
        <v>12.8</v>
      </c>
      <c r="F793" s="3">
        <v>0.37640000000000001</v>
      </c>
      <c r="G793">
        <v>11.6309</v>
      </c>
      <c r="H793">
        <v>4.3330000000000002</v>
      </c>
    </row>
    <row r="794" spans="1:8" x14ac:dyDescent="0.25">
      <c r="A794" t="s">
        <v>800</v>
      </c>
      <c r="B794">
        <v>59147</v>
      </c>
      <c r="C794">
        <v>7898692300040</v>
      </c>
      <c r="D794">
        <v>21.9</v>
      </c>
      <c r="E794">
        <v>12.89</v>
      </c>
      <c r="F794" s="3">
        <v>0.37439999999999996</v>
      </c>
      <c r="G794">
        <v>11.674200000000001</v>
      </c>
      <c r="H794">
        <v>6.5670000000000002</v>
      </c>
    </row>
    <row r="795" spans="1:8" x14ac:dyDescent="0.25">
      <c r="A795" t="s">
        <v>801</v>
      </c>
      <c r="B795">
        <v>66568</v>
      </c>
      <c r="C795">
        <v>7894900088007</v>
      </c>
      <c r="D795">
        <v>15.9</v>
      </c>
      <c r="E795">
        <v>10.53</v>
      </c>
      <c r="F795" s="3">
        <v>0.30630000000000002</v>
      </c>
      <c r="G795">
        <v>9.5592000000000006</v>
      </c>
      <c r="H795">
        <v>0.6</v>
      </c>
    </row>
    <row r="796" spans="1:8" x14ac:dyDescent="0.25">
      <c r="A796" t="s">
        <v>802</v>
      </c>
      <c r="B796">
        <v>66570</v>
      </c>
      <c r="C796">
        <v>7894900087505</v>
      </c>
      <c r="D796">
        <v>15.9</v>
      </c>
      <c r="E796">
        <v>11.32</v>
      </c>
      <c r="F796" s="3">
        <v>0.2611</v>
      </c>
      <c r="G796">
        <v>10.2773</v>
      </c>
      <c r="H796">
        <v>0.23300000000000001</v>
      </c>
    </row>
    <row r="797" spans="1:8" x14ac:dyDescent="0.25">
      <c r="A797" t="s">
        <v>803</v>
      </c>
      <c r="B797">
        <v>65258</v>
      </c>
      <c r="C797">
        <v>7898678662940</v>
      </c>
      <c r="D797">
        <v>17.899999999999999</v>
      </c>
      <c r="E797">
        <v>5.89</v>
      </c>
      <c r="F797" s="3">
        <v>0.60899999999999999</v>
      </c>
      <c r="G797">
        <v>5.3426999999999998</v>
      </c>
      <c r="H797">
        <v>2.2000000000000002</v>
      </c>
    </row>
    <row r="798" spans="1:8" x14ac:dyDescent="0.25">
      <c r="A798" t="s">
        <v>804</v>
      </c>
      <c r="B798">
        <v>65256</v>
      </c>
      <c r="C798">
        <v>7898678662919</v>
      </c>
      <c r="D798">
        <v>14.9</v>
      </c>
      <c r="E798">
        <v>6.05</v>
      </c>
      <c r="F798" s="3">
        <v>0.53900000000000003</v>
      </c>
      <c r="G798">
        <v>5.4904999999999999</v>
      </c>
      <c r="H798">
        <v>2</v>
      </c>
    </row>
    <row r="799" spans="1:8" x14ac:dyDescent="0.25">
      <c r="A799" t="s">
        <v>805</v>
      </c>
      <c r="B799">
        <v>64008</v>
      </c>
      <c r="C799">
        <v>7891000368077</v>
      </c>
      <c r="D799">
        <v>19.899999999999999</v>
      </c>
      <c r="E799">
        <v>14.28</v>
      </c>
      <c r="F799" s="3">
        <v>0.25640000000000002</v>
      </c>
      <c r="G799">
        <v>12.957599999999999</v>
      </c>
      <c r="H799">
        <v>2.1</v>
      </c>
    </row>
    <row r="800" spans="1:8" x14ac:dyDescent="0.25">
      <c r="A800" t="s">
        <v>806</v>
      </c>
      <c r="B800">
        <v>59919</v>
      </c>
      <c r="C800">
        <v>7891000288207</v>
      </c>
      <c r="D800">
        <v>19.899999999999999</v>
      </c>
      <c r="E800">
        <v>14</v>
      </c>
      <c r="F800" s="3">
        <v>0.26819999999999999</v>
      </c>
      <c r="G800">
        <v>12.721299999999999</v>
      </c>
      <c r="H800">
        <v>8.6669999999999998</v>
      </c>
    </row>
    <row r="801" spans="1:8" x14ac:dyDescent="0.25">
      <c r="A801" t="s">
        <v>807</v>
      </c>
      <c r="B801">
        <v>57944</v>
      </c>
      <c r="C801">
        <v>7898955705490</v>
      </c>
      <c r="D801">
        <v>21.9</v>
      </c>
      <c r="E801">
        <v>14.37</v>
      </c>
      <c r="F801" s="3">
        <v>0.31190000000000001</v>
      </c>
      <c r="G801">
        <v>13.0441</v>
      </c>
      <c r="H801">
        <v>20.100000000000001</v>
      </c>
    </row>
    <row r="802" spans="1:8" x14ac:dyDescent="0.25">
      <c r="A802" t="s">
        <v>808</v>
      </c>
      <c r="B802">
        <v>57968</v>
      </c>
      <c r="C802">
        <v>7898955705988</v>
      </c>
      <c r="D802">
        <v>21.9</v>
      </c>
      <c r="E802">
        <v>14.37</v>
      </c>
      <c r="F802" s="3">
        <v>0.31190000000000001</v>
      </c>
      <c r="G802">
        <v>13.0441</v>
      </c>
      <c r="H802">
        <v>19.433</v>
      </c>
    </row>
    <row r="803" spans="1:8" x14ac:dyDescent="0.25">
      <c r="A803" t="s">
        <v>809</v>
      </c>
      <c r="B803">
        <v>57939</v>
      </c>
      <c r="C803">
        <v>7898955705186</v>
      </c>
      <c r="D803">
        <v>21.9</v>
      </c>
      <c r="E803">
        <v>14.37</v>
      </c>
      <c r="F803" s="3">
        <v>0.31190000000000001</v>
      </c>
      <c r="G803">
        <v>13.0441</v>
      </c>
      <c r="H803">
        <v>14.132999999999999</v>
      </c>
    </row>
    <row r="804" spans="1:8" x14ac:dyDescent="0.25">
      <c r="A804" t="s">
        <v>810</v>
      </c>
      <c r="B804">
        <v>57938</v>
      </c>
      <c r="C804">
        <v>7898955705162</v>
      </c>
      <c r="D804">
        <v>21.9</v>
      </c>
      <c r="E804">
        <v>14.37</v>
      </c>
      <c r="F804" s="3">
        <v>0.31180000000000002</v>
      </c>
      <c r="G804">
        <v>13.0449</v>
      </c>
      <c r="H804">
        <v>8.8670000000000009</v>
      </c>
    </row>
    <row r="805" spans="1:8" x14ac:dyDescent="0.25">
      <c r="A805" t="s">
        <v>811</v>
      </c>
      <c r="B805">
        <v>57942</v>
      </c>
      <c r="C805">
        <v>7898955705179</v>
      </c>
      <c r="D805">
        <v>21.9</v>
      </c>
      <c r="E805">
        <v>14.37</v>
      </c>
      <c r="F805" s="3">
        <v>0.31190000000000001</v>
      </c>
      <c r="G805">
        <v>13.0441</v>
      </c>
      <c r="H805">
        <v>16.332999999999998</v>
      </c>
    </row>
    <row r="806" spans="1:8" x14ac:dyDescent="0.25">
      <c r="A806" t="s">
        <v>812</v>
      </c>
      <c r="B806">
        <v>57940</v>
      </c>
      <c r="C806">
        <v>7898955705223</v>
      </c>
      <c r="D806">
        <v>21.9</v>
      </c>
      <c r="E806">
        <v>14.38</v>
      </c>
      <c r="F806" s="3">
        <v>0.31180000000000002</v>
      </c>
      <c r="G806">
        <v>13.045500000000001</v>
      </c>
      <c r="H806">
        <v>6.2</v>
      </c>
    </row>
    <row r="807" spans="1:8" x14ac:dyDescent="0.25">
      <c r="A807" t="s">
        <v>813</v>
      </c>
      <c r="B807">
        <v>57941</v>
      </c>
      <c r="C807">
        <v>7898955705049</v>
      </c>
      <c r="D807">
        <v>21.9</v>
      </c>
      <c r="E807">
        <v>14.37</v>
      </c>
      <c r="F807" s="3">
        <v>0.31190000000000001</v>
      </c>
      <c r="G807">
        <v>13.0441</v>
      </c>
      <c r="H807">
        <v>21.5</v>
      </c>
    </row>
    <row r="808" spans="1:8" x14ac:dyDescent="0.25">
      <c r="A808" t="s">
        <v>814</v>
      </c>
      <c r="B808">
        <v>61743</v>
      </c>
      <c r="C808">
        <v>7898692300392</v>
      </c>
      <c r="D808">
        <v>21.9</v>
      </c>
      <c r="E808">
        <v>14.37</v>
      </c>
      <c r="F808" s="3">
        <v>0.31190000000000001</v>
      </c>
      <c r="G808">
        <v>13.0441</v>
      </c>
      <c r="H808">
        <v>2.7330000000000001</v>
      </c>
    </row>
    <row r="809" spans="1:8" x14ac:dyDescent="0.25">
      <c r="A809" t="s">
        <v>815</v>
      </c>
      <c r="B809">
        <v>59941</v>
      </c>
      <c r="C809">
        <v>7891000288115</v>
      </c>
      <c r="D809">
        <v>19.899999999999999</v>
      </c>
      <c r="E809">
        <v>14.26</v>
      </c>
      <c r="F809" s="3">
        <v>0.25719999999999998</v>
      </c>
      <c r="G809">
        <v>12.941700000000001</v>
      </c>
      <c r="H809">
        <v>0.8</v>
      </c>
    </row>
    <row r="810" spans="1:8" x14ac:dyDescent="0.25">
      <c r="A810" t="s">
        <v>816</v>
      </c>
      <c r="B810">
        <v>59942</v>
      </c>
      <c r="C810">
        <v>7891000288085</v>
      </c>
      <c r="D810">
        <v>19.899999999999999</v>
      </c>
      <c r="E810">
        <v>14.25</v>
      </c>
      <c r="F810" s="3">
        <v>0.25739999999999996</v>
      </c>
      <c r="G810">
        <v>12.9374</v>
      </c>
      <c r="H810">
        <v>0.83299999999999996</v>
      </c>
    </row>
    <row r="811" spans="1:8" x14ac:dyDescent="0.25">
      <c r="A811" t="s">
        <v>817</v>
      </c>
      <c r="B811">
        <v>59943</v>
      </c>
      <c r="C811">
        <v>7891000288146</v>
      </c>
      <c r="D811">
        <v>19.899999999999999</v>
      </c>
      <c r="E811">
        <v>14.04</v>
      </c>
      <c r="F811" s="3">
        <v>0.26729999999999998</v>
      </c>
      <c r="G811">
        <v>12.7392</v>
      </c>
      <c r="H811">
        <v>2.8330000000000002</v>
      </c>
    </row>
    <row r="812" spans="1:8" x14ac:dyDescent="0.25">
      <c r="A812" t="s">
        <v>818</v>
      </c>
      <c r="B812">
        <v>67167</v>
      </c>
      <c r="C812">
        <v>7898960096910</v>
      </c>
      <c r="D812">
        <v>14.9</v>
      </c>
      <c r="E812">
        <v>9.76</v>
      </c>
      <c r="F812" s="3">
        <v>0.31309999999999999</v>
      </c>
      <c r="G812">
        <v>8.8562999999999992</v>
      </c>
      <c r="H812">
        <v>3.867</v>
      </c>
    </row>
    <row r="813" spans="1:8" x14ac:dyDescent="0.25">
      <c r="A813" t="s">
        <v>819</v>
      </c>
      <c r="B813">
        <v>67166</v>
      </c>
      <c r="C813">
        <v>7898960096903</v>
      </c>
      <c r="D813">
        <v>14.9</v>
      </c>
      <c r="E813">
        <v>9.76</v>
      </c>
      <c r="F813" s="3">
        <v>0.31309999999999999</v>
      </c>
      <c r="G813">
        <v>8.8562999999999992</v>
      </c>
      <c r="H813">
        <v>3.2330000000000001</v>
      </c>
    </row>
    <row r="814" spans="1:8" x14ac:dyDescent="0.25">
      <c r="A814" t="s">
        <v>820</v>
      </c>
      <c r="B814">
        <v>67168</v>
      </c>
      <c r="C814">
        <v>7898960096927</v>
      </c>
      <c r="D814">
        <v>14.9</v>
      </c>
      <c r="E814">
        <v>9.76</v>
      </c>
      <c r="F814" s="3">
        <v>0.31309999999999999</v>
      </c>
      <c r="G814">
        <v>8.8564000000000007</v>
      </c>
      <c r="H814">
        <v>1.633</v>
      </c>
    </row>
    <row r="815" spans="1:8" x14ac:dyDescent="0.25">
      <c r="A815" t="s">
        <v>821</v>
      </c>
      <c r="B815">
        <v>65246</v>
      </c>
      <c r="C815">
        <v>7898960096576</v>
      </c>
      <c r="D815">
        <v>16.899999999999999</v>
      </c>
      <c r="E815">
        <v>11.36</v>
      </c>
      <c r="F815" s="3">
        <v>0.29719999999999996</v>
      </c>
      <c r="G815">
        <v>10.3142</v>
      </c>
      <c r="H815">
        <v>3.3</v>
      </c>
    </row>
    <row r="816" spans="1:8" x14ac:dyDescent="0.25">
      <c r="A816" t="s">
        <v>822</v>
      </c>
      <c r="B816">
        <v>65250</v>
      </c>
      <c r="C816">
        <v>7898960096583</v>
      </c>
      <c r="D816">
        <v>16.899999999999999</v>
      </c>
      <c r="E816">
        <v>11.36</v>
      </c>
      <c r="F816" s="3">
        <v>0.29719999999999996</v>
      </c>
      <c r="G816">
        <v>10.314399999999999</v>
      </c>
      <c r="H816">
        <v>1.667</v>
      </c>
    </row>
    <row r="817" spans="1:8" x14ac:dyDescent="0.25">
      <c r="A817" t="s">
        <v>823</v>
      </c>
      <c r="B817">
        <v>65249</v>
      </c>
      <c r="C817">
        <v>7898960096668</v>
      </c>
      <c r="D817">
        <v>16.899999999999999</v>
      </c>
      <c r="E817">
        <v>11.37</v>
      </c>
      <c r="F817" s="3">
        <v>0.29710000000000003</v>
      </c>
      <c r="G817">
        <v>10.3163</v>
      </c>
      <c r="H817">
        <v>3.9670000000000001</v>
      </c>
    </row>
    <row r="818" spans="1:8" x14ac:dyDescent="0.25">
      <c r="A818" t="s">
        <v>824</v>
      </c>
      <c r="B818">
        <v>65248</v>
      </c>
      <c r="C818">
        <v>7898960096750</v>
      </c>
      <c r="D818">
        <v>16.899999999999999</v>
      </c>
      <c r="E818">
        <v>11.37</v>
      </c>
      <c r="F818" s="3">
        <v>0.29710000000000003</v>
      </c>
      <c r="G818">
        <v>10.3162</v>
      </c>
      <c r="H818">
        <v>3.4329999999999998</v>
      </c>
    </row>
    <row r="819" spans="1:8" x14ac:dyDescent="0.25">
      <c r="A819" t="s">
        <v>825</v>
      </c>
      <c r="B819">
        <v>65247</v>
      </c>
      <c r="C819">
        <v>7898960096620</v>
      </c>
      <c r="D819">
        <v>16.899999999999999</v>
      </c>
      <c r="E819">
        <v>11.37</v>
      </c>
      <c r="F819" s="3">
        <v>0.29710000000000003</v>
      </c>
      <c r="G819">
        <v>10.3163</v>
      </c>
      <c r="H819">
        <v>3.2</v>
      </c>
    </row>
    <row r="820" spans="1:8" x14ac:dyDescent="0.25">
      <c r="A820" t="s">
        <v>826</v>
      </c>
      <c r="B820">
        <v>65251</v>
      </c>
      <c r="C820">
        <v>7898960096606</v>
      </c>
      <c r="D820">
        <v>16.899999999999999</v>
      </c>
      <c r="E820">
        <v>11.37</v>
      </c>
      <c r="F820" s="3">
        <v>0.29710000000000003</v>
      </c>
      <c r="G820">
        <v>10.3164</v>
      </c>
      <c r="H820">
        <v>2.4</v>
      </c>
    </row>
    <row r="821" spans="1:8" x14ac:dyDescent="0.25">
      <c r="A821" t="s">
        <v>827</v>
      </c>
      <c r="B821">
        <v>58794</v>
      </c>
      <c r="C821">
        <v>7896005809501</v>
      </c>
      <c r="D821">
        <v>7.99</v>
      </c>
      <c r="E821">
        <v>3.97</v>
      </c>
      <c r="F821" s="3">
        <v>0.48590000000000005</v>
      </c>
      <c r="G821">
        <v>4.1077000000000004</v>
      </c>
      <c r="H821">
        <v>17.167000000000002</v>
      </c>
    </row>
    <row r="822" spans="1:8" x14ac:dyDescent="0.25">
      <c r="A822" t="s">
        <v>828</v>
      </c>
      <c r="B822">
        <v>58795</v>
      </c>
      <c r="C822">
        <v>7896005809518</v>
      </c>
      <c r="D822">
        <v>7.99</v>
      </c>
      <c r="E822">
        <v>3.93</v>
      </c>
      <c r="F822" s="3">
        <v>0.48969999999999997</v>
      </c>
      <c r="G822">
        <v>4.0776000000000003</v>
      </c>
      <c r="H822">
        <v>17.332999999999998</v>
      </c>
    </row>
    <row r="823" spans="1:8" x14ac:dyDescent="0.25">
      <c r="A823" t="s">
        <v>829</v>
      </c>
      <c r="B823">
        <v>62228</v>
      </c>
      <c r="C823">
        <v>7896045104499</v>
      </c>
      <c r="D823">
        <v>9.99</v>
      </c>
      <c r="E823">
        <v>6.82</v>
      </c>
      <c r="F823" s="3">
        <v>0.31759999999999999</v>
      </c>
      <c r="G823">
        <v>6.8170000000000002</v>
      </c>
      <c r="H823">
        <v>2.367</v>
      </c>
    </row>
    <row r="824" spans="1:8" x14ac:dyDescent="0.25">
      <c r="A824" t="s">
        <v>830</v>
      </c>
      <c r="B824">
        <v>64207</v>
      </c>
      <c r="C824">
        <v>7896045110667</v>
      </c>
      <c r="D824">
        <v>7.99</v>
      </c>
      <c r="E824">
        <v>4.45</v>
      </c>
      <c r="F824" s="3">
        <v>0.44429999999999997</v>
      </c>
      <c r="G824">
        <v>4.4398</v>
      </c>
      <c r="H824">
        <v>21.2</v>
      </c>
    </row>
    <row r="825" spans="1:8" x14ac:dyDescent="0.25">
      <c r="A825" t="s">
        <v>831</v>
      </c>
      <c r="B825">
        <v>64209</v>
      </c>
      <c r="C825">
        <v>7896045110407</v>
      </c>
      <c r="D825">
        <v>7.99</v>
      </c>
      <c r="E825">
        <v>4.41</v>
      </c>
      <c r="F825" s="3">
        <v>0.4526</v>
      </c>
      <c r="G825">
        <v>4.3737000000000004</v>
      </c>
      <c r="H825">
        <v>23.7</v>
      </c>
    </row>
    <row r="826" spans="1:8" x14ac:dyDescent="0.25">
      <c r="A826" t="s">
        <v>832</v>
      </c>
      <c r="B826">
        <v>64206</v>
      </c>
      <c r="C826">
        <v>7896045110629</v>
      </c>
      <c r="D826">
        <v>7.99</v>
      </c>
      <c r="E826">
        <v>4.43</v>
      </c>
      <c r="F826" s="3">
        <v>0.46970000000000001</v>
      </c>
      <c r="G826">
        <v>4.2366999999999999</v>
      </c>
      <c r="H826">
        <v>17.632999999999999</v>
      </c>
    </row>
    <row r="827" spans="1:8" x14ac:dyDescent="0.25">
      <c r="A827" t="s">
        <v>833</v>
      </c>
      <c r="B827">
        <v>64201</v>
      </c>
      <c r="C827">
        <v>7896045110636</v>
      </c>
      <c r="D827">
        <v>7.99</v>
      </c>
      <c r="E827">
        <v>4.83</v>
      </c>
      <c r="F827" s="3">
        <v>0.42060000000000003</v>
      </c>
      <c r="G827">
        <v>4.6295000000000002</v>
      </c>
      <c r="H827">
        <v>20.332999999999998</v>
      </c>
    </row>
    <row r="828" spans="1:8" x14ac:dyDescent="0.25">
      <c r="A828" t="s">
        <v>834</v>
      </c>
      <c r="B828">
        <v>5602</v>
      </c>
      <c r="C828">
        <v>7891025021117</v>
      </c>
      <c r="D828">
        <v>2.4900000000000002</v>
      </c>
      <c r="E828">
        <v>1.84</v>
      </c>
      <c r="F828" s="3">
        <v>0.26090000000000002</v>
      </c>
      <c r="G828">
        <v>1.8405</v>
      </c>
      <c r="H828">
        <v>44.732999999999997</v>
      </c>
    </row>
    <row r="829" spans="1:8" x14ac:dyDescent="0.25">
      <c r="A829" t="s">
        <v>835</v>
      </c>
      <c r="B829">
        <v>5668</v>
      </c>
      <c r="C829">
        <v>7891000067048</v>
      </c>
      <c r="D829">
        <v>6.99</v>
      </c>
      <c r="E829">
        <v>5.62</v>
      </c>
      <c r="F829" s="3">
        <v>0.19579999999999997</v>
      </c>
      <c r="G829">
        <v>5.6214000000000004</v>
      </c>
      <c r="H829">
        <v>5.2670000000000003</v>
      </c>
    </row>
    <row r="830" spans="1:8" x14ac:dyDescent="0.25">
      <c r="A830" t="s">
        <v>836</v>
      </c>
      <c r="B830">
        <v>5672</v>
      </c>
      <c r="C830">
        <v>7891000090732</v>
      </c>
      <c r="D830">
        <v>6.99</v>
      </c>
      <c r="E830">
        <v>5.57</v>
      </c>
      <c r="F830" s="3">
        <v>0.19980000000000001</v>
      </c>
      <c r="G830">
        <v>5.5936000000000003</v>
      </c>
      <c r="H830">
        <v>22.7</v>
      </c>
    </row>
    <row r="831" spans="1:8" x14ac:dyDescent="0.25">
      <c r="A831" t="s">
        <v>837</v>
      </c>
      <c r="B831">
        <v>65728</v>
      </c>
      <c r="C831">
        <v>7891000389300</v>
      </c>
      <c r="D831">
        <v>7.99</v>
      </c>
      <c r="E831">
        <v>6.35</v>
      </c>
      <c r="F831" s="3">
        <v>0.1797</v>
      </c>
      <c r="G831">
        <v>5.8148</v>
      </c>
      <c r="H831">
        <v>0.86699999999999999</v>
      </c>
    </row>
    <row r="832" spans="1:8" x14ac:dyDescent="0.25">
      <c r="A832" t="s">
        <v>838</v>
      </c>
      <c r="B832">
        <v>65727</v>
      </c>
      <c r="C832">
        <v>7891000389171</v>
      </c>
      <c r="D832">
        <v>7.99</v>
      </c>
      <c r="E832">
        <v>6.1</v>
      </c>
      <c r="F832" s="3">
        <v>0.23379999999999998</v>
      </c>
      <c r="G832">
        <v>6.1216999999999997</v>
      </c>
      <c r="H832">
        <v>0.63300000000000001</v>
      </c>
    </row>
    <row r="833" spans="1:8" x14ac:dyDescent="0.25">
      <c r="A833" t="s">
        <v>839</v>
      </c>
      <c r="B833">
        <v>65722</v>
      </c>
      <c r="C833">
        <v>7891000381113</v>
      </c>
      <c r="D833">
        <v>2.99</v>
      </c>
      <c r="E833">
        <v>2.23</v>
      </c>
      <c r="F833" s="3">
        <v>0.25440000000000002</v>
      </c>
      <c r="G833">
        <v>2.2292000000000001</v>
      </c>
      <c r="H833">
        <v>19.132999999999999</v>
      </c>
    </row>
    <row r="834" spans="1:8" x14ac:dyDescent="0.25">
      <c r="A834" t="s">
        <v>840</v>
      </c>
      <c r="B834">
        <v>19731</v>
      </c>
      <c r="C834">
        <v>7891000101926</v>
      </c>
      <c r="D834">
        <v>6.99</v>
      </c>
      <c r="E834">
        <v>5.55</v>
      </c>
      <c r="F834" s="3">
        <v>0.1986</v>
      </c>
      <c r="G834">
        <v>5.6021000000000001</v>
      </c>
      <c r="H834">
        <v>4.7670000000000003</v>
      </c>
    </row>
    <row r="835" spans="1:8" x14ac:dyDescent="0.25">
      <c r="A835" t="s">
        <v>841</v>
      </c>
      <c r="B835">
        <v>69522</v>
      </c>
      <c r="C835">
        <v>7891000401903</v>
      </c>
      <c r="D835">
        <v>7.99</v>
      </c>
      <c r="E835">
        <v>5.78</v>
      </c>
      <c r="F835" s="3">
        <v>0.25059999999999999</v>
      </c>
      <c r="G835">
        <v>5.2489999999999997</v>
      </c>
      <c r="H835">
        <v>0.66700000000000004</v>
      </c>
    </row>
    <row r="836" spans="1:8" x14ac:dyDescent="0.25">
      <c r="A836" t="s">
        <v>842</v>
      </c>
      <c r="B836">
        <v>5629</v>
      </c>
      <c r="C836">
        <v>7891000379103</v>
      </c>
      <c r="D836">
        <v>2.59</v>
      </c>
      <c r="E836">
        <v>1.85</v>
      </c>
      <c r="F836" s="3">
        <v>0.3029</v>
      </c>
      <c r="G836">
        <v>1.8056000000000001</v>
      </c>
      <c r="H836">
        <v>93.766999999999996</v>
      </c>
    </row>
    <row r="837" spans="1:8" x14ac:dyDescent="0.25">
      <c r="A837" t="s">
        <v>843</v>
      </c>
      <c r="B837">
        <v>5675</v>
      </c>
      <c r="C837">
        <v>7891000379707</v>
      </c>
      <c r="D837">
        <v>13.9</v>
      </c>
      <c r="E837">
        <v>10.14</v>
      </c>
      <c r="F837" s="3">
        <v>0.2707</v>
      </c>
      <c r="G837">
        <v>10.1372</v>
      </c>
      <c r="H837">
        <v>2.133</v>
      </c>
    </row>
    <row r="838" spans="1:8" x14ac:dyDescent="0.25">
      <c r="A838" t="s">
        <v>844</v>
      </c>
      <c r="B838">
        <v>5607</v>
      </c>
      <c r="C838">
        <v>7891000389201</v>
      </c>
      <c r="D838">
        <v>3.29</v>
      </c>
      <c r="E838">
        <v>2.23</v>
      </c>
      <c r="F838" s="3">
        <v>0.32189999999999996</v>
      </c>
      <c r="G838">
        <v>2.2307999999999999</v>
      </c>
      <c r="H838">
        <v>11.6</v>
      </c>
    </row>
    <row r="839" spans="1:8" x14ac:dyDescent="0.25">
      <c r="A839" t="s">
        <v>845</v>
      </c>
      <c r="B839">
        <v>64446</v>
      </c>
      <c r="C839">
        <v>7898215157854</v>
      </c>
      <c r="D839">
        <v>7.99</v>
      </c>
      <c r="E839">
        <v>4.49</v>
      </c>
      <c r="F839" s="3">
        <v>0.43740000000000001</v>
      </c>
      <c r="G839">
        <v>4.4950000000000001</v>
      </c>
      <c r="H839">
        <v>30.667000000000002</v>
      </c>
    </row>
    <row r="840" spans="1:8" x14ac:dyDescent="0.25">
      <c r="A840" t="s">
        <v>846</v>
      </c>
      <c r="B840">
        <v>64448</v>
      </c>
      <c r="C840">
        <v>7898215157861</v>
      </c>
      <c r="D840">
        <v>7.99</v>
      </c>
      <c r="E840">
        <v>4.49</v>
      </c>
      <c r="F840" s="3">
        <v>0.43740000000000001</v>
      </c>
      <c r="G840">
        <v>4.4950000000000001</v>
      </c>
      <c r="H840">
        <v>13.3</v>
      </c>
    </row>
    <row r="841" spans="1:8" x14ac:dyDescent="0.25">
      <c r="A841" t="s">
        <v>847</v>
      </c>
      <c r="B841">
        <v>64447</v>
      </c>
      <c r="C841">
        <v>7898215157847</v>
      </c>
      <c r="D841">
        <v>7.99</v>
      </c>
      <c r="E841">
        <v>4.49</v>
      </c>
      <c r="F841" s="3">
        <v>0.43740000000000001</v>
      </c>
      <c r="G841">
        <v>4.4950000000000001</v>
      </c>
      <c r="H841">
        <v>22.2</v>
      </c>
    </row>
    <row r="842" spans="1:8" x14ac:dyDescent="0.25">
      <c r="A842" t="s">
        <v>848</v>
      </c>
      <c r="B842">
        <v>59068</v>
      </c>
      <c r="C842">
        <v>7898215157526</v>
      </c>
      <c r="D842">
        <v>8.99</v>
      </c>
      <c r="E842">
        <v>5.78</v>
      </c>
      <c r="F842" s="3">
        <v>0.35700000000000004</v>
      </c>
      <c r="G842">
        <v>5.7808999999999999</v>
      </c>
      <c r="H842">
        <v>8.4329999999999998</v>
      </c>
    </row>
    <row r="843" spans="1:8" x14ac:dyDescent="0.25">
      <c r="A843" t="s">
        <v>849</v>
      </c>
      <c r="B843">
        <v>55832</v>
      </c>
      <c r="C843">
        <v>7898215153214</v>
      </c>
      <c r="D843">
        <v>8.99</v>
      </c>
      <c r="E843">
        <v>5.78</v>
      </c>
      <c r="F843" s="3">
        <v>0.35700000000000004</v>
      </c>
      <c r="G843">
        <v>5.7808999999999999</v>
      </c>
      <c r="H843">
        <v>12.733000000000001</v>
      </c>
    </row>
    <row r="844" spans="1:8" x14ac:dyDescent="0.25">
      <c r="A844" t="s">
        <v>850</v>
      </c>
      <c r="B844">
        <v>57212</v>
      </c>
      <c r="C844">
        <v>7898215153238</v>
      </c>
      <c r="D844">
        <v>8.99</v>
      </c>
      <c r="E844">
        <v>5.78</v>
      </c>
      <c r="F844" s="3">
        <v>0.35700000000000004</v>
      </c>
      <c r="G844">
        <v>5.7808999999999999</v>
      </c>
      <c r="H844">
        <v>11.6</v>
      </c>
    </row>
    <row r="845" spans="1:8" x14ac:dyDescent="0.25">
      <c r="A845" t="s">
        <v>851</v>
      </c>
      <c r="B845">
        <v>55833</v>
      </c>
      <c r="C845">
        <v>7898215153221</v>
      </c>
      <c r="D845">
        <v>8.99</v>
      </c>
      <c r="E845">
        <v>5.78</v>
      </c>
      <c r="F845" s="3">
        <v>0.35700000000000004</v>
      </c>
      <c r="G845">
        <v>5.7808999999999999</v>
      </c>
      <c r="H845">
        <v>21.033000000000001</v>
      </c>
    </row>
    <row r="846" spans="1:8" x14ac:dyDescent="0.25">
      <c r="A846" t="s">
        <v>852</v>
      </c>
      <c r="B846">
        <v>55831</v>
      </c>
      <c r="C846">
        <v>7898215153207</v>
      </c>
      <c r="D846">
        <v>8.99</v>
      </c>
      <c r="E846">
        <v>5.78</v>
      </c>
      <c r="F846" s="3">
        <v>0.35700000000000004</v>
      </c>
      <c r="G846">
        <v>5.7808999999999999</v>
      </c>
      <c r="H846">
        <v>10.567</v>
      </c>
    </row>
    <row r="847" spans="1:8" x14ac:dyDescent="0.25">
      <c r="A847" t="s">
        <v>853</v>
      </c>
      <c r="B847">
        <v>66706</v>
      </c>
      <c r="C847">
        <v>7891000371336</v>
      </c>
      <c r="D847">
        <v>11.9</v>
      </c>
      <c r="E847">
        <v>8.58</v>
      </c>
      <c r="F847" s="3">
        <v>0.25140000000000001</v>
      </c>
      <c r="G847">
        <v>7.8078000000000003</v>
      </c>
      <c r="H847">
        <v>4.5330000000000004</v>
      </c>
    </row>
    <row r="848" spans="1:8" x14ac:dyDescent="0.25">
      <c r="A848" t="s">
        <v>854</v>
      </c>
      <c r="B848">
        <v>66707</v>
      </c>
      <c r="C848">
        <v>7891000369753</v>
      </c>
      <c r="D848">
        <v>9.9</v>
      </c>
      <c r="E848">
        <v>7.66</v>
      </c>
      <c r="F848" s="3">
        <v>0.22620000000000001</v>
      </c>
      <c r="G848">
        <v>7.6604999999999999</v>
      </c>
      <c r="H848">
        <v>3.867</v>
      </c>
    </row>
    <row r="849" spans="1:8" x14ac:dyDescent="0.25">
      <c r="A849" t="s">
        <v>855</v>
      </c>
      <c r="B849">
        <v>66708</v>
      </c>
      <c r="C849">
        <v>7891000369715</v>
      </c>
      <c r="D849">
        <v>9.9</v>
      </c>
      <c r="E849">
        <v>7.8</v>
      </c>
      <c r="F849" s="3">
        <v>0.21160000000000001</v>
      </c>
      <c r="G849">
        <v>7.8052999999999999</v>
      </c>
      <c r="H849">
        <v>5.7329999999999997</v>
      </c>
    </row>
    <row r="850" spans="1:8" x14ac:dyDescent="0.25">
      <c r="A850" t="s">
        <v>856</v>
      </c>
      <c r="B850">
        <v>13270</v>
      </c>
      <c r="C850">
        <v>7894321242521</v>
      </c>
      <c r="D850">
        <v>2.99</v>
      </c>
      <c r="E850">
        <v>2.4300000000000002</v>
      </c>
      <c r="F850" s="3">
        <v>0.18079999999999999</v>
      </c>
      <c r="G850">
        <v>2.4493999999999998</v>
      </c>
      <c r="H850">
        <v>129.63300000000001</v>
      </c>
    </row>
    <row r="851" spans="1:8" x14ac:dyDescent="0.25">
      <c r="A851" t="s">
        <v>857</v>
      </c>
      <c r="B851">
        <v>6059</v>
      </c>
      <c r="C851">
        <v>7894321722016</v>
      </c>
      <c r="D851">
        <v>2.99</v>
      </c>
      <c r="E851">
        <v>2.34</v>
      </c>
      <c r="F851" s="3">
        <v>0.2089</v>
      </c>
      <c r="G851">
        <v>2.3654999999999999</v>
      </c>
      <c r="H851">
        <v>341.733</v>
      </c>
    </row>
    <row r="852" spans="1:8" x14ac:dyDescent="0.25">
      <c r="A852" t="s">
        <v>858</v>
      </c>
      <c r="B852">
        <v>6052</v>
      </c>
      <c r="C852">
        <v>7891156061273</v>
      </c>
      <c r="D852">
        <v>3.59</v>
      </c>
      <c r="E852">
        <v>2.65</v>
      </c>
      <c r="F852" s="3">
        <v>0.26179999999999998</v>
      </c>
      <c r="G852">
        <v>2.65</v>
      </c>
      <c r="H852">
        <v>21.667000000000002</v>
      </c>
    </row>
    <row r="853" spans="1:8" x14ac:dyDescent="0.25">
      <c r="A853" t="s">
        <v>859</v>
      </c>
      <c r="B853">
        <v>6050</v>
      </c>
      <c r="C853">
        <v>7891156063017</v>
      </c>
      <c r="D853">
        <v>3.59</v>
      </c>
      <c r="E853">
        <v>2.63</v>
      </c>
      <c r="F853" s="3">
        <v>0.2646</v>
      </c>
      <c r="G853">
        <v>2.64</v>
      </c>
      <c r="H853">
        <v>21.632999999999999</v>
      </c>
    </row>
    <row r="854" spans="1:8" x14ac:dyDescent="0.25">
      <c r="A854" t="s">
        <v>860</v>
      </c>
      <c r="B854">
        <v>55705</v>
      </c>
      <c r="C854">
        <v>7891025115632</v>
      </c>
      <c r="D854">
        <v>9.99</v>
      </c>
      <c r="E854">
        <v>7.33</v>
      </c>
      <c r="F854" s="3">
        <v>0.26569999999999999</v>
      </c>
      <c r="G854">
        <v>7.3357999999999999</v>
      </c>
      <c r="H854">
        <v>16.8</v>
      </c>
    </row>
    <row r="855" spans="1:8" x14ac:dyDescent="0.25">
      <c r="A855" t="s">
        <v>861</v>
      </c>
      <c r="B855">
        <v>69171</v>
      </c>
      <c r="C855">
        <v>7891025124627</v>
      </c>
      <c r="D855">
        <v>9.99</v>
      </c>
      <c r="E855">
        <v>7.34</v>
      </c>
      <c r="F855" s="3">
        <v>0.26500000000000001</v>
      </c>
      <c r="G855">
        <v>7.3425000000000002</v>
      </c>
      <c r="H855">
        <v>17.899999999999999</v>
      </c>
    </row>
    <row r="856" spans="1:8" x14ac:dyDescent="0.25">
      <c r="A856" t="s">
        <v>862</v>
      </c>
      <c r="B856">
        <v>55704</v>
      </c>
      <c r="C856">
        <v>7891025115649</v>
      </c>
      <c r="D856">
        <v>9.99</v>
      </c>
      <c r="E856">
        <v>7.33</v>
      </c>
      <c r="F856" s="3">
        <v>0.26619999999999999</v>
      </c>
      <c r="G856">
        <v>7.3308999999999997</v>
      </c>
      <c r="H856">
        <v>17.367000000000001</v>
      </c>
    </row>
    <row r="857" spans="1:8" x14ac:dyDescent="0.25">
      <c r="A857" t="s">
        <v>863</v>
      </c>
      <c r="B857">
        <v>69172</v>
      </c>
      <c r="C857">
        <v>7891025125013</v>
      </c>
      <c r="D857">
        <v>9.99</v>
      </c>
      <c r="E857">
        <v>7.34</v>
      </c>
      <c r="F857" s="3">
        <v>0.26500000000000001</v>
      </c>
      <c r="G857">
        <v>7.3425000000000002</v>
      </c>
      <c r="H857">
        <v>25.167000000000002</v>
      </c>
    </row>
    <row r="858" spans="1:8" x14ac:dyDescent="0.25">
      <c r="A858" t="s">
        <v>864</v>
      </c>
      <c r="B858">
        <v>62268</v>
      </c>
      <c r="C858">
        <v>7891025122067</v>
      </c>
      <c r="D858">
        <v>9.99</v>
      </c>
      <c r="E858">
        <v>7.34</v>
      </c>
      <c r="F858" s="3">
        <v>0.2651</v>
      </c>
      <c r="G858">
        <v>7.3411999999999997</v>
      </c>
      <c r="H858">
        <v>33.866999999999997</v>
      </c>
    </row>
    <row r="859" spans="1:8" x14ac:dyDescent="0.25">
      <c r="A859" t="s">
        <v>865</v>
      </c>
      <c r="B859">
        <v>55706</v>
      </c>
      <c r="C859">
        <v>7891025115656</v>
      </c>
      <c r="D859">
        <v>9.99</v>
      </c>
      <c r="E859">
        <v>7.34</v>
      </c>
      <c r="F859" s="3">
        <v>0.2656</v>
      </c>
      <c r="G859">
        <v>7.3365999999999998</v>
      </c>
      <c r="H859">
        <v>56.4</v>
      </c>
    </row>
    <row r="860" spans="1:8" x14ac:dyDescent="0.25">
      <c r="A860" t="s">
        <v>866</v>
      </c>
      <c r="B860">
        <v>58392</v>
      </c>
      <c r="C860">
        <v>7891025118985</v>
      </c>
      <c r="D860">
        <v>12.9</v>
      </c>
      <c r="E860">
        <v>8.77</v>
      </c>
      <c r="F860" s="3">
        <v>0.31989999999999996</v>
      </c>
      <c r="G860">
        <v>8.7728999999999999</v>
      </c>
      <c r="H860">
        <v>7.0330000000000004</v>
      </c>
    </row>
    <row r="861" spans="1:8" x14ac:dyDescent="0.25">
      <c r="A861" t="s">
        <v>867</v>
      </c>
      <c r="B861">
        <v>58390</v>
      </c>
      <c r="C861">
        <v>7891025118978</v>
      </c>
      <c r="D861">
        <v>12.9</v>
      </c>
      <c r="E861">
        <v>8.77</v>
      </c>
      <c r="F861" s="3">
        <v>0.31969999999999998</v>
      </c>
      <c r="G861">
        <v>8.7756000000000007</v>
      </c>
      <c r="H861">
        <v>10.6</v>
      </c>
    </row>
    <row r="862" spans="1:8" x14ac:dyDescent="0.25">
      <c r="A862" t="s">
        <v>868</v>
      </c>
      <c r="B862">
        <v>64704</v>
      </c>
      <c r="C862">
        <v>7891025124269</v>
      </c>
      <c r="D862">
        <v>9.99</v>
      </c>
      <c r="E862">
        <v>7.34</v>
      </c>
      <c r="F862" s="3">
        <v>0.26500000000000001</v>
      </c>
      <c r="G862">
        <v>7.3425000000000002</v>
      </c>
      <c r="H862">
        <v>10.766999999999999</v>
      </c>
    </row>
    <row r="863" spans="1:8" x14ac:dyDescent="0.25">
      <c r="A863" t="s">
        <v>869</v>
      </c>
      <c r="B863">
        <v>64705</v>
      </c>
      <c r="C863">
        <v>7891025124252</v>
      </c>
      <c r="D863">
        <v>9.99</v>
      </c>
      <c r="E863">
        <v>7.35</v>
      </c>
      <c r="F863" s="3">
        <v>0.26489999999999997</v>
      </c>
      <c r="G863">
        <v>7.3436000000000003</v>
      </c>
      <c r="H863">
        <v>13.2</v>
      </c>
    </row>
    <row r="864" spans="1:8" x14ac:dyDescent="0.25">
      <c r="A864" t="s">
        <v>870</v>
      </c>
      <c r="B864">
        <v>69035</v>
      </c>
      <c r="C864">
        <v>7894900184006</v>
      </c>
      <c r="D864">
        <v>4.99</v>
      </c>
      <c r="E864">
        <v>3.82</v>
      </c>
      <c r="F864" s="3">
        <v>0.23120000000000002</v>
      </c>
      <c r="G864">
        <v>3.3748999999999998</v>
      </c>
      <c r="H864">
        <v>3.9</v>
      </c>
    </row>
    <row r="865" spans="1:8" x14ac:dyDescent="0.25">
      <c r="A865" t="s">
        <v>871</v>
      </c>
      <c r="B865">
        <v>69033</v>
      </c>
      <c r="C865">
        <v>7894900184303</v>
      </c>
      <c r="D865">
        <v>6.9</v>
      </c>
      <c r="E865">
        <v>3.74</v>
      </c>
      <c r="F865" s="3">
        <v>0.42219999999999996</v>
      </c>
      <c r="G865">
        <v>3.3488000000000002</v>
      </c>
      <c r="H865">
        <v>4.7670000000000003</v>
      </c>
    </row>
    <row r="866" spans="1:8" x14ac:dyDescent="0.25">
      <c r="A866" t="s">
        <v>872</v>
      </c>
      <c r="B866">
        <v>69034</v>
      </c>
      <c r="C866">
        <v>7894900184204</v>
      </c>
      <c r="D866">
        <v>6.9</v>
      </c>
      <c r="E866">
        <v>3.54</v>
      </c>
      <c r="F866" s="3">
        <v>0.4879</v>
      </c>
      <c r="G866">
        <v>2.8948999999999998</v>
      </c>
      <c r="H866">
        <v>5.4329999999999998</v>
      </c>
    </row>
    <row r="867" spans="1:8" x14ac:dyDescent="0.25">
      <c r="A867" t="s">
        <v>873</v>
      </c>
      <c r="B867">
        <v>69086</v>
      </c>
      <c r="C867">
        <v>7894900337006</v>
      </c>
      <c r="D867">
        <v>8.9</v>
      </c>
      <c r="E867">
        <v>6.3</v>
      </c>
      <c r="F867" s="3">
        <v>0.26579999999999998</v>
      </c>
      <c r="G867">
        <v>5.7111999999999998</v>
      </c>
      <c r="H867">
        <v>15.167</v>
      </c>
    </row>
    <row r="868" spans="1:8" x14ac:dyDescent="0.25">
      <c r="A868" t="s">
        <v>874</v>
      </c>
      <c r="B868">
        <v>67678</v>
      </c>
      <c r="C868">
        <v>7897395000509</v>
      </c>
      <c r="D868">
        <v>6.99</v>
      </c>
      <c r="E868">
        <v>6.55</v>
      </c>
      <c r="F868" s="3">
        <v>5.7599999999999998E-2</v>
      </c>
      <c r="G868">
        <v>5.9405000000000001</v>
      </c>
      <c r="H868">
        <v>0.33300000000000002</v>
      </c>
    </row>
    <row r="869" spans="1:8" x14ac:dyDescent="0.25">
      <c r="A869" t="s">
        <v>875</v>
      </c>
      <c r="B869">
        <v>67677</v>
      </c>
      <c r="C869">
        <v>7897395000479</v>
      </c>
      <c r="D869">
        <v>6.99</v>
      </c>
      <c r="E869">
        <v>6.55</v>
      </c>
      <c r="F869" s="3">
        <v>5.7599999999999998E-2</v>
      </c>
      <c r="G869">
        <v>5.9405000000000001</v>
      </c>
      <c r="H869">
        <v>0.2</v>
      </c>
    </row>
    <row r="870" spans="1:8" x14ac:dyDescent="0.25">
      <c r="A870" t="s">
        <v>876</v>
      </c>
      <c r="B870">
        <v>67676</v>
      </c>
      <c r="C870">
        <v>7898377661848</v>
      </c>
      <c r="D870">
        <v>6.99</v>
      </c>
      <c r="E870">
        <v>6.55</v>
      </c>
      <c r="F870" s="3">
        <v>5.7599999999999998E-2</v>
      </c>
      <c r="G870">
        <v>5.9405000000000001</v>
      </c>
      <c r="H870">
        <v>0.2</v>
      </c>
    </row>
    <row r="871" spans="1:8" x14ac:dyDescent="0.25">
      <c r="A871" t="s">
        <v>877</v>
      </c>
      <c r="B871">
        <v>69186</v>
      </c>
      <c r="C871">
        <v>7897395002657</v>
      </c>
      <c r="D871">
        <v>6.9</v>
      </c>
      <c r="E871">
        <v>4.7</v>
      </c>
      <c r="F871" s="3">
        <v>0.28920000000000001</v>
      </c>
      <c r="G871">
        <v>4.266</v>
      </c>
      <c r="H871">
        <v>0</v>
      </c>
    </row>
    <row r="872" spans="1:8" x14ac:dyDescent="0.25">
      <c r="A872" t="s">
        <v>878</v>
      </c>
      <c r="B872">
        <v>69185</v>
      </c>
      <c r="C872">
        <v>7897395002671</v>
      </c>
      <c r="D872">
        <v>6.9</v>
      </c>
      <c r="E872">
        <v>4.67</v>
      </c>
      <c r="F872" s="3">
        <v>0.29320000000000002</v>
      </c>
      <c r="G872">
        <v>4.2386999999999997</v>
      </c>
      <c r="H872">
        <v>9.5000000000000001E-2</v>
      </c>
    </row>
    <row r="873" spans="1:8" x14ac:dyDescent="0.25">
      <c r="A873" t="s">
        <v>879</v>
      </c>
      <c r="B873">
        <v>64348</v>
      </c>
      <c r="C873">
        <v>7894900336504</v>
      </c>
      <c r="D873">
        <v>12.49</v>
      </c>
      <c r="E873">
        <v>9.31</v>
      </c>
      <c r="F873" s="3">
        <v>0.23070000000000002</v>
      </c>
      <c r="G873">
        <v>8.4529999999999994</v>
      </c>
      <c r="H873">
        <v>0.1</v>
      </c>
    </row>
    <row r="874" spans="1:8" x14ac:dyDescent="0.25">
      <c r="A874" t="s">
        <v>880</v>
      </c>
      <c r="B874">
        <v>55153</v>
      </c>
      <c r="C874">
        <v>7891141031717</v>
      </c>
      <c r="D874">
        <v>7.9</v>
      </c>
      <c r="E874">
        <v>5.14</v>
      </c>
      <c r="F874" s="3">
        <v>0.31690000000000002</v>
      </c>
      <c r="G874">
        <v>4.6660000000000004</v>
      </c>
      <c r="H874">
        <v>1.2</v>
      </c>
    </row>
    <row r="875" spans="1:8" x14ac:dyDescent="0.25">
      <c r="A875" t="s">
        <v>881</v>
      </c>
      <c r="B875">
        <v>39158</v>
      </c>
      <c r="C875">
        <v>7891141022852</v>
      </c>
      <c r="D875">
        <v>7.9</v>
      </c>
      <c r="E875">
        <v>5.66</v>
      </c>
      <c r="F875" s="3">
        <v>0.253</v>
      </c>
      <c r="G875">
        <v>5.1704999999999997</v>
      </c>
      <c r="H875">
        <v>4.4329999999999998</v>
      </c>
    </row>
    <row r="876" spans="1:8" x14ac:dyDescent="0.25">
      <c r="A876" t="s">
        <v>882</v>
      </c>
      <c r="B876">
        <v>58885</v>
      </c>
      <c r="C876">
        <v>7891141022814</v>
      </c>
      <c r="D876">
        <v>7.9</v>
      </c>
      <c r="E876">
        <v>5.71</v>
      </c>
      <c r="F876" s="3">
        <v>0.24850000000000003</v>
      </c>
      <c r="G876">
        <v>5.2058999999999997</v>
      </c>
      <c r="H876">
        <v>4.0330000000000004</v>
      </c>
    </row>
    <row r="877" spans="1:8" x14ac:dyDescent="0.25">
      <c r="A877" t="s">
        <v>883</v>
      </c>
      <c r="B877">
        <v>64389</v>
      </c>
      <c r="C877">
        <v>7891141037535</v>
      </c>
      <c r="D877">
        <v>7.9</v>
      </c>
      <c r="E877">
        <v>5.0999999999999996</v>
      </c>
      <c r="F877" s="3">
        <v>0.32130000000000003</v>
      </c>
      <c r="G877">
        <v>4.6307999999999998</v>
      </c>
      <c r="H877">
        <v>2.6669999999999998</v>
      </c>
    </row>
    <row r="878" spans="1:8" x14ac:dyDescent="0.25">
      <c r="A878" t="s">
        <v>884</v>
      </c>
      <c r="B878">
        <v>39159</v>
      </c>
      <c r="C878">
        <v>7891141023019</v>
      </c>
      <c r="D878">
        <v>7.9</v>
      </c>
      <c r="E878">
        <v>5.72</v>
      </c>
      <c r="F878" s="3">
        <v>0.248</v>
      </c>
      <c r="G878">
        <v>5.2103999999999999</v>
      </c>
      <c r="H878">
        <v>4.3330000000000002</v>
      </c>
    </row>
    <row r="879" spans="1:8" x14ac:dyDescent="0.25">
      <c r="A879" t="s">
        <v>885</v>
      </c>
      <c r="B879">
        <v>63826</v>
      </c>
      <c r="C879">
        <v>7898605253012</v>
      </c>
      <c r="D879">
        <v>8.9</v>
      </c>
      <c r="E879">
        <v>6.44</v>
      </c>
      <c r="F879" s="3">
        <v>0.26369999999999999</v>
      </c>
      <c r="G879">
        <v>5.7302999999999997</v>
      </c>
      <c r="H879">
        <v>1.833</v>
      </c>
    </row>
    <row r="880" spans="1:8" x14ac:dyDescent="0.25">
      <c r="A880" t="s">
        <v>886</v>
      </c>
      <c r="B880">
        <v>60855</v>
      </c>
      <c r="C880">
        <v>7894900184273</v>
      </c>
      <c r="D880">
        <v>4.99</v>
      </c>
      <c r="E880">
        <v>3.77</v>
      </c>
      <c r="F880" s="3">
        <v>0.2208</v>
      </c>
      <c r="G880">
        <v>3.4268000000000001</v>
      </c>
      <c r="H880">
        <v>11.5</v>
      </c>
    </row>
    <row r="881" spans="1:8" x14ac:dyDescent="0.25">
      <c r="A881" t="s">
        <v>887</v>
      </c>
      <c r="B881">
        <v>65602</v>
      </c>
      <c r="C881">
        <v>7891991306188</v>
      </c>
      <c r="D881">
        <v>8.2899999999999991</v>
      </c>
      <c r="E881">
        <v>6.45</v>
      </c>
      <c r="F881" s="3">
        <v>0.2011</v>
      </c>
      <c r="G881">
        <v>5.8559999999999999</v>
      </c>
      <c r="H881">
        <v>2.1669999999999998</v>
      </c>
    </row>
    <row r="882" spans="1:8" x14ac:dyDescent="0.25">
      <c r="A882" t="s">
        <v>888</v>
      </c>
      <c r="B882">
        <v>68627</v>
      </c>
      <c r="C882">
        <v>7891991307185</v>
      </c>
      <c r="D882">
        <v>6.79</v>
      </c>
      <c r="E882">
        <v>4.5999999999999996</v>
      </c>
      <c r="F882" s="3">
        <v>0.33179999999999998</v>
      </c>
      <c r="G882">
        <v>3.9089</v>
      </c>
      <c r="H882">
        <v>79.966999999999999</v>
      </c>
    </row>
    <row r="883" spans="1:8" x14ac:dyDescent="0.25">
      <c r="A883" t="s">
        <v>889</v>
      </c>
      <c r="B883">
        <v>65601</v>
      </c>
      <c r="C883">
        <v>7891991306164</v>
      </c>
      <c r="D883">
        <v>6.79</v>
      </c>
      <c r="E883">
        <v>4.99</v>
      </c>
      <c r="F883" s="3">
        <v>0.2402</v>
      </c>
      <c r="G883">
        <v>4.5308999999999999</v>
      </c>
      <c r="H883">
        <v>6.6669999999999998</v>
      </c>
    </row>
    <row r="884" spans="1:8" x14ac:dyDescent="0.25">
      <c r="A884" t="s">
        <v>890</v>
      </c>
      <c r="B884">
        <v>63573</v>
      </c>
      <c r="C884">
        <v>7891991304252</v>
      </c>
      <c r="D884">
        <v>5.49</v>
      </c>
      <c r="E884">
        <v>4.99</v>
      </c>
      <c r="F884" s="3">
        <v>8.2200000000000009E-2</v>
      </c>
      <c r="G884">
        <v>4.5305999999999997</v>
      </c>
      <c r="H884">
        <v>11.833</v>
      </c>
    </row>
    <row r="885" spans="1:8" x14ac:dyDescent="0.25">
      <c r="A885" t="s">
        <v>891</v>
      </c>
      <c r="B885">
        <v>57677</v>
      </c>
      <c r="C885">
        <v>7891991301114</v>
      </c>
      <c r="D885">
        <v>8.9</v>
      </c>
      <c r="E885">
        <v>6.47</v>
      </c>
      <c r="F885" s="3">
        <v>0.24710000000000001</v>
      </c>
      <c r="G885">
        <v>5.8773</v>
      </c>
      <c r="H885">
        <v>2.5</v>
      </c>
    </row>
    <row r="886" spans="1:8" x14ac:dyDescent="0.25">
      <c r="A886" t="s">
        <v>892</v>
      </c>
      <c r="B886">
        <v>56758</v>
      </c>
      <c r="C886">
        <v>7891149840885</v>
      </c>
      <c r="D886">
        <v>6.49</v>
      </c>
      <c r="E886">
        <v>4.9800000000000004</v>
      </c>
      <c r="F886" s="3">
        <v>0.21050000000000002</v>
      </c>
      <c r="G886">
        <v>4.5232999999999999</v>
      </c>
      <c r="H886">
        <v>7.5</v>
      </c>
    </row>
    <row r="887" spans="1:8" x14ac:dyDescent="0.25">
      <c r="A887" t="s">
        <v>893</v>
      </c>
      <c r="B887">
        <v>69614</v>
      </c>
      <c r="C887">
        <v>7893218003986</v>
      </c>
      <c r="D887">
        <v>6.99</v>
      </c>
      <c r="E887">
        <v>5.24</v>
      </c>
      <c r="F887" s="3">
        <v>0.2273</v>
      </c>
      <c r="G887">
        <v>4.7545000000000002</v>
      </c>
      <c r="H887">
        <v>12.054</v>
      </c>
    </row>
    <row r="888" spans="1:8" x14ac:dyDescent="0.25">
      <c r="A888" t="s">
        <v>894</v>
      </c>
      <c r="B888">
        <v>69615</v>
      </c>
      <c r="C888">
        <v>7893218003993</v>
      </c>
      <c r="D888">
        <v>6.99</v>
      </c>
      <c r="E888">
        <v>5.0199999999999996</v>
      </c>
      <c r="F888" s="3">
        <v>0.25559999999999999</v>
      </c>
      <c r="G888">
        <v>4.5564999999999998</v>
      </c>
      <c r="H888">
        <v>6.5019999999999998</v>
      </c>
    </row>
    <row r="889" spans="1:8" x14ac:dyDescent="0.25">
      <c r="A889" t="s">
        <v>895</v>
      </c>
      <c r="B889">
        <v>63120</v>
      </c>
      <c r="C889">
        <v>7891000347942</v>
      </c>
      <c r="D889">
        <v>10.9</v>
      </c>
      <c r="E889">
        <v>7.93</v>
      </c>
      <c r="F889" s="3">
        <v>0.19820000000000002</v>
      </c>
      <c r="G889">
        <v>5.7693000000000003</v>
      </c>
      <c r="H889">
        <v>1.9330000000000001</v>
      </c>
    </row>
    <row r="890" spans="1:8" x14ac:dyDescent="0.25">
      <c r="A890" t="s">
        <v>896</v>
      </c>
      <c r="B890">
        <v>19734</v>
      </c>
      <c r="C890">
        <v>7891000104101</v>
      </c>
      <c r="D890">
        <v>17.899999999999999</v>
      </c>
      <c r="E890">
        <v>12.33</v>
      </c>
      <c r="F890" s="3">
        <v>0.2263</v>
      </c>
      <c r="G890">
        <v>8.9715000000000007</v>
      </c>
      <c r="H890">
        <v>1.8</v>
      </c>
    </row>
    <row r="891" spans="1:8" x14ac:dyDescent="0.25">
      <c r="A891" t="s">
        <v>897</v>
      </c>
      <c r="B891">
        <v>19732</v>
      </c>
      <c r="C891">
        <v>7891000101674</v>
      </c>
      <c r="D891">
        <v>9.9</v>
      </c>
      <c r="E891">
        <v>5.34</v>
      </c>
      <c r="F891" s="3">
        <v>0.33590000000000003</v>
      </c>
      <c r="G891">
        <v>3.8767</v>
      </c>
      <c r="H891">
        <v>2.4</v>
      </c>
    </row>
    <row r="892" spans="1:8" x14ac:dyDescent="0.25">
      <c r="A892" t="s">
        <v>898</v>
      </c>
      <c r="B892">
        <v>5513</v>
      </c>
      <c r="C892">
        <v>7891000268506</v>
      </c>
      <c r="D892">
        <v>15.9</v>
      </c>
      <c r="E892">
        <v>10.14</v>
      </c>
      <c r="F892" s="3">
        <v>0.26369999999999999</v>
      </c>
      <c r="G892">
        <v>7.3742999999999999</v>
      </c>
      <c r="H892">
        <v>1.167</v>
      </c>
    </row>
    <row r="893" spans="1:8" x14ac:dyDescent="0.25">
      <c r="A893" t="s">
        <v>899</v>
      </c>
      <c r="B893">
        <v>13038</v>
      </c>
      <c r="C893">
        <v>7891000087794</v>
      </c>
      <c r="D893">
        <v>39.9</v>
      </c>
      <c r="E893">
        <v>27.34</v>
      </c>
      <c r="F893" s="3">
        <v>0.22899999999999998</v>
      </c>
      <c r="G893">
        <v>19.890999999999998</v>
      </c>
      <c r="H893">
        <v>0.16700000000000001</v>
      </c>
    </row>
    <row r="894" spans="1:8" x14ac:dyDescent="0.25">
      <c r="A894" t="s">
        <v>900</v>
      </c>
      <c r="B894">
        <v>9364</v>
      </c>
      <c r="C894">
        <v>7891000087817</v>
      </c>
      <c r="D894">
        <v>39.9</v>
      </c>
      <c r="E894">
        <v>27.34</v>
      </c>
      <c r="F894" s="3">
        <v>0.22889999999999999</v>
      </c>
      <c r="G894">
        <v>19.8933</v>
      </c>
      <c r="H894">
        <v>0.1</v>
      </c>
    </row>
    <row r="895" spans="1:8" x14ac:dyDescent="0.25">
      <c r="A895" t="s">
        <v>901</v>
      </c>
      <c r="B895">
        <v>65726</v>
      </c>
      <c r="C895">
        <v>7891000389225</v>
      </c>
      <c r="D895">
        <v>8.9</v>
      </c>
      <c r="E895">
        <v>6.3</v>
      </c>
      <c r="F895" s="3">
        <v>0.29370000000000002</v>
      </c>
      <c r="G895">
        <v>6.2858999999999998</v>
      </c>
      <c r="H895">
        <v>0.46700000000000003</v>
      </c>
    </row>
    <row r="896" spans="1:8" x14ac:dyDescent="0.25">
      <c r="A896" t="s">
        <v>902</v>
      </c>
      <c r="B896">
        <v>35607</v>
      </c>
      <c r="C896">
        <v>7891000110829</v>
      </c>
      <c r="D896">
        <v>8.9</v>
      </c>
      <c r="E896">
        <v>6.1</v>
      </c>
      <c r="F896" s="3">
        <v>0.31569999999999998</v>
      </c>
      <c r="G896">
        <v>6.0906000000000002</v>
      </c>
      <c r="H896">
        <v>1.9</v>
      </c>
    </row>
    <row r="897" spans="1:8" x14ac:dyDescent="0.25">
      <c r="A897" t="s">
        <v>903</v>
      </c>
      <c r="B897">
        <v>7341</v>
      </c>
      <c r="C897">
        <v>7898968066243</v>
      </c>
      <c r="D897">
        <v>29.9</v>
      </c>
      <c r="E897">
        <v>14.85</v>
      </c>
      <c r="F897" s="3">
        <v>0.45659999999999995</v>
      </c>
      <c r="G897">
        <v>13.480499999999999</v>
      </c>
      <c r="H897">
        <v>0.3</v>
      </c>
    </row>
    <row r="898" spans="1:8" x14ac:dyDescent="0.25">
      <c r="A898" t="s">
        <v>904</v>
      </c>
      <c r="B898">
        <v>65979</v>
      </c>
      <c r="C898">
        <v>5285001400836</v>
      </c>
      <c r="D898">
        <v>79.989999999999995</v>
      </c>
      <c r="E898">
        <v>57.78</v>
      </c>
      <c r="F898" s="3">
        <v>0.252</v>
      </c>
      <c r="G898">
        <v>52.432400000000001</v>
      </c>
      <c r="H898">
        <v>0</v>
      </c>
    </row>
    <row r="899" spans="1:8" x14ac:dyDescent="0.25">
      <c r="A899" t="s">
        <v>905</v>
      </c>
      <c r="B899">
        <v>26300</v>
      </c>
      <c r="C899">
        <v>7898629610297</v>
      </c>
      <c r="D899">
        <v>6.99</v>
      </c>
      <c r="E899">
        <v>1.96</v>
      </c>
      <c r="F899" s="3">
        <v>0.52310000000000001</v>
      </c>
      <c r="G899">
        <v>1.4288000000000001</v>
      </c>
      <c r="H899">
        <v>11.733000000000001</v>
      </c>
    </row>
    <row r="900" spans="1:8" x14ac:dyDescent="0.25">
      <c r="A900" t="s">
        <v>906</v>
      </c>
      <c r="B900">
        <v>4705</v>
      </c>
      <c r="C900">
        <v>7891095604753</v>
      </c>
      <c r="D900">
        <v>7.99</v>
      </c>
      <c r="E900">
        <v>3.4</v>
      </c>
      <c r="F900" s="3">
        <v>0.42460000000000003</v>
      </c>
      <c r="G900">
        <v>2.4201000000000001</v>
      </c>
      <c r="H900">
        <v>14.3</v>
      </c>
    </row>
    <row r="901" spans="1:8" x14ac:dyDescent="0.25">
      <c r="A901" t="s">
        <v>907</v>
      </c>
      <c r="B901">
        <v>6443</v>
      </c>
      <c r="C901">
        <v>7896024800404</v>
      </c>
      <c r="D901">
        <v>19.899999999999999</v>
      </c>
      <c r="E901">
        <v>13.74</v>
      </c>
      <c r="F901" s="3">
        <v>0.30980000000000002</v>
      </c>
      <c r="G901">
        <v>13.735799999999999</v>
      </c>
      <c r="H901">
        <v>1</v>
      </c>
    </row>
    <row r="902" spans="1:8" x14ac:dyDescent="0.25">
      <c r="A902" t="s">
        <v>908</v>
      </c>
      <c r="B902">
        <v>4260</v>
      </c>
      <c r="C902">
        <v>7896085087189</v>
      </c>
      <c r="D902">
        <v>4.49</v>
      </c>
      <c r="E902">
        <v>2.73</v>
      </c>
      <c r="F902" s="3">
        <v>0.32469999999999999</v>
      </c>
      <c r="G902">
        <v>2.3026</v>
      </c>
      <c r="H902">
        <v>65.332999999999998</v>
      </c>
    </row>
    <row r="903" spans="1:8" x14ac:dyDescent="0.25">
      <c r="A903" t="s">
        <v>909</v>
      </c>
      <c r="B903">
        <v>14910</v>
      </c>
      <c r="C903">
        <v>4017100210105</v>
      </c>
      <c r="D903">
        <v>29.9</v>
      </c>
      <c r="E903">
        <v>24.91</v>
      </c>
      <c r="F903" s="3">
        <v>0.1515</v>
      </c>
      <c r="G903">
        <v>22.6038</v>
      </c>
      <c r="H903">
        <v>3.3000000000000002E-2</v>
      </c>
    </row>
    <row r="904" spans="1:8" x14ac:dyDescent="0.25">
      <c r="A904" t="s">
        <v>910</v>
      </c>
      <c r="B904">
        <v>62481</v>
      </c>
      <c r="C904">
        <v>7891962068053</v>
      </c>
      <c r="D904">
        <v>8.9</v>
      </c>
      <c r="E904">
        <v>4.57</v>
      </c>
      <c r="F904" s="3">
        <v>0.38329999999999997</v>
      </c>
      <c r="G904">
        <v>3.5977000000000001</v>
      </c>
      <c r="H904">
        <v>2.0329999999999999</v>
      </c>
    </row>
    <row r="905" spans="1:8" x14ac:dyDescent="0.25">
      <c r="A905" t="s">
        <v>911</v>
      </c>
      <c r="B905">
        <v>62479</v>
      </c>
      <c r="C905">
        <v>7891962068022</v>
      </c>
      <c r="D905">
        <v>8.9</v>
      </c>
      <c r="E905">
        <v>6.09</v>
      </c>
      <c r="F905" s="3">
        <v>0.28610000000000002</v>
      </c>
      <c r="G905">
        <v>5.5301999999999998</v>
      </c>
      <c r="H905">
        <v>6.5</v>
      </c>
    </row>
    <row r="906" spans="1:8" x14ac:dyDescent="0.25">
      <c r="A906" t="s">
        <v>912</v>
      </c>
      <c r="B906">
        <v>62478</v>
      </c>
      <c r="C906">
        <v>7891962068046</v>
      </c>
      <c r="D906">
        <v>8.9</v>
      </c>
      <c r="E906">
        <v>6.09</v>
      </c>
      <c r="F906" s="3">
        <v>0.28610000000000002</v>
      </c>
      <c r="G906">
        <v>5.5301</v>
      </c>
      <c r="H906">
        <v>11.6</v>
      </c>
    </row>
    <row r="907" spans="1:8" x14ac:dyDescent="0.25">
      <c r="A907" t="s">
        <v>913</v>
      </c>
      <c r="B907">
        <v>62480</v>
      </c>
      <c r="C907">
        <v>7891962068039</v>
      </c>
      <c r="D907">
        <v>8.9</v>
      </c>
      <c r="E907">
        <v>4.8499999999999996</v>
      </c>
      <c r="F907" s="3">
        <v>0.34639999999999999</v>
      </c>
      <c r="G907">
        <v>3.9258000000000002</v>
      </c>
      <c r="H907">
        <v>8.7330000000000005</v>
      </c>
    </row>
    <row r="908" spans="1:8" x14ac:dyDescent="0.25">
      <c r="A908" t="s">
        <v>914</v>
      </c>
      <c r="B908">
        <v>7582</v>
      </c>
      <c r="C908">
        <v>7896639800028</v>
      </c>
      <c r="D908">
        <v>19.899999999999999</v>
      </c>
      <c r="E908">
        <v>13.35</v>
      </c>
      <c r="F908" s="3">
        <v>0.29909999999999998</v>
      </c>
      <c r="G908">
        <v>12.1074</v>
      </c>
      <c r="H908">
        <v>1.5329999999999999</v>
      </c>
    </row>
    <row r="909" spans="1:8" x14ac:dyDescent="0.25">
      <c r="A909" t="s">
        <v>915</v>
      </c>
      <c r="B909">
        <v>7514</v>
      </c>
      <c r="C909">
        <v>7896639800417</v>
      </c>
      <c r="D909">
        <v>19.899999999999999</v>
      </c>
      <c r="E909">
        <v>13.53</v>
      </c>
      <c r="F909" s="3">
        <v>0.29120000000000001</v>
      </c>
      <c r="G909">
        <v>12.2645</v>
      </c>
      <c r="H909">
        <v>1</v>
      </c>
    </row>
    <row r="910" spans="1:8" x14ac:dyDescent="0.25">
      <c r="A910" t="s">
        <v>916</v>
      </c>
      <c r="B910">
        <v>55224</v>
      </c>
      <c r="C910">
        <v>7898957617203</v>
      </c>
      <c r="D910">
        <v>10.9</v>
      </c>
      <c r="E910">
        <v>6.54</v>
      </c>
      <c r="F910" s="3">
        <v>0.36259999999999998</v>
      </c>
      <c r="G910">
        <v>5.9394</v>
      </c>
      <c r="H910">
        <v>3.4329999999999998</v>
      </c>
    </row>
    <row r="911" spans="1:8" x14ac:dyDescent="0.25">
      <c r="A911" t="s">
        <v>917</v>
      </c>
      <c r="B911">
        <v>49261</v>
      </c>
      <c r="C911">
        <v>7898957617210</v>
      </c>
      <c r="D911">
        <v>10.9</v>
      </c>
      <c r="E911">
        <v>6.58</v>
      </c>
      <c r="F911" s="3">
        <v>0.35899999999999999</v>
      </c>
      <c r="G911">
        <v>5.9787999999999997</v>
      </c>
      <c r="H911">
        <v>3.133</v>
      </c>
    </row>
    <row r="912" spans="1:8" x14ac:dyDescent="0.25">
      <c r="A912" t="s">
        <v>918</v>
      </c>
      <c r="B912">
        <v>4068</v>
      </c>
      <c r="C912">
        <v>7896006779674</v>
      </c>
      <c r="D912">
        <v>8.99</v>
      </c>
      <c r="E912">
        <v>6.03</v>
      </c>
      <c r="F912" s="3">
        <v>0.29899999999999999</v>
      </c>
      <c r="G912">
        <v>5.4702999999999999</v>
      </c>
      <c r="H912">
        <v>15.632999999999999</v>
      </c>
    </row>
    <row r="913" spans="1:8" x14ac:dyDescent="0.25">
      <c r="A913" t="s">
        <v>919</v>
      </c>
      <c r="B913">
        <v>35363</v>
      </c>
      <c r="C913">
        <v>7896006716471</v>
      </c>
      <c r="D913">
        <v>8.99</v>
      </c>
      <c r="E913">
        <v>6.03</v>
      </c>
      <c r="F913" s="3">
        <v>0.29870000000000002</v>
      </c>
      <c r="G913">
        <v>5.4736000000000002</v>
      </c>
      <c r="H913">
        <v>5.9</v>
      </c>
    </row>
    <row r="914" spans="1:8" x14ac:dyDescent="0.25">
      <c r="A914" t="s">
        <v>920</v>
      </c>
      <c r="B914">
        <v>35362</v>
      </c>
      <c r="C914">
        <v>7896006716464</v>
      </c>
      <c r="D914">
        <v>8.99</v>
      </c>
      <c r="E914">
        <v>6.02</v>
      </c>
      <c r="F914" s="3">
        <v>0.29930000000000001</v>
      </c>
      <c r="G914">
        <v>5.4679000000000002</v>
      </c>
      <c r="H914">
        <v>3.4329999999999998</v>
      </c>
    </row>
    <row r="915" spans="1:8" x14ac:dyDescent="0.25">
      <c r="A915" t="s">
        <v>921</v>
      </c>
      <c r="B915">
        <v>68603</v>
      </c>
      <c r="C915">
        <v>7896006779513</v>
      </c>
      <c r="D915">
        <v>6.49</v>
      </c>
      <c r="E915">
        <v>4.49</v>
      </c>
      <c r="F915" s="3">
        <v>0.27899999999999997</v>
      </c>
      <c r="G915">
        <v>4.0789999999999997</v>
      </c>
      <c r="H915">
        <v>0.8</v>
      </c>
    </row>
    <row r="916" spans="1:8" x14ac:dyDescent="0.25">
      <c r="A916" t="s">
        <v>922</v>
      </c>
      <c r="B916">
        <v>68604</v>
      </c>
      <c r="C916">
        <v>7896006779643</v>
      </c>
      <c r="D916">
        <v>6.49</v>
      </c>
      <c r="E916">
        <v>4.49</v>
      </c>
      <c r="F916" s="3">
        <v>0.27899999999999997</v>
      </c>
      <c r="G916">
        <v>4.0789</v>
      </c>
      <c r="H916">
        <v>12.167</v>
      </c>
    </row>
    <row r="917" spans="1:8" x14ac:dyDescent="0.25">
      <c r="A917" t="s">
        <v>923</v>
      </c>
      <c r="B917">
        <v>65431</v>
      </c>
      <c r="C917">
        <v>7896256065817</v>
      </c>
      <c r="D917">
        <v>7.99</v>
      </c>
      <c r="E917">
        <v>4.99</v>
      </c>
      <c r="F917" s="3">
        <v>0.33579999999999999</v>
      </c>
      <c r="G917">
        <v>4.5681000000000003</v>
      </c>
      <c r="H917">
        <v>4.5670000000000002</v>
      </c>
    </row>
    <row r="918" spans="1:8" x14ac:dyDescent="0.25">
      <c r="A918" t="s">
        <v>924</v>
      </c>
      <c r="B918">
        <v>65432</v>
      </c>
      <c r="C918">
        <v>7896256066197</v>
      </c>
      <c r="D918">
        <v>7.99</v>
      </c>
      <c r="E918">
        <v>5.39</v>
      </c>
      <c r="F918" s="3">
        <v>0.29339999999999999</v>
      </c>
      <c r="G918">
        <v>4.9067999999999996</v>
      </c>
      <c r="H918">
        <v>3.9</v>
      </c>
    </row>
    <row r="919" spans="1:8" x14ac:dyDescent="0.25">
      <c r="A919" t="s">
        <v>925</v>
      </c>
      <c r="B919">
        <v>66774</v>
      </c>
      <c r="C919">
        <v>7897327902048</v>
      </c>
      <c r="D919">
        <v>8.99</v>
      </c>
      <c r="E919">
        <v>5.47</v>
      </c>
      <c r="F919" s="3">
        <v>0.35479999999999995</v>
      </c>
      <c r="G919">
        <v>4.9687000000000001</v>
      </c>
      <c r="H919">
        <v>1.9330000000000001</v>
      </c>
    </row>
    <row r="920" spans="1:8" x14ac:dyDescent="0.25">
      <c r="A920" t="s">
        <v>926</v>
      </c>
      <c r="B920">
        <v>47423</v>
      </c>
      <c r="C920">
        <v>7896283007477</v>
      </c>
      <c r="D920">
        <v>10.9</v>
      </c>
      <c r="E920">
        <v>5.72</v>
      </c>
      <c r="F920" s="3">
        <v>0.43119999999999997</v>
      </c>
      <c r="G920">
        <v>5.1917</v>
      </c>
      <c r="H920">
        <v>0.53300000000000003</v>
      </c>
    </row>
    <row r="921" spans="1:8" x14ac:dyDescent="0.25">
      <c r="A921" t="s">
        <v>927</v>
      </c>
      <c r="B921">
        <v>47424</v>
      </c>
      <c r="C921">
        <v>7896283007460</v>
      </c>
      <c r="D921">
        <v>10.9</v>
      </c>
      <c r="E921">
        <v>5.7</v>
      </c>
      <c r="F921" s="3">
        <v>0.43409999999999999</v>
      </c>
      <c r="G921">
        <v>5.1599000000000004</v>
      </c>
      <c r="H921">
        <v>4.633</v>
      </c>
    </row>
    <row r="922" spans="1:8" x14ac:dyDescent="0.25">
      <c r="A922" t="s">
        <v>928</v>
      </c>
      <c r="B922">
        <v>65435</v>
      </c>
      <c r="C922">
        <v>7896256065695</v>
      </c>
      <c r="D922">
        <v>14.9</v>
      </c>
      <c r="E922">
        <v>9.4499999999999993</v>
      </c>
      <c r="F922" s="3">
        <v>0.33149999999999996</v>
      </c>
      <c r="G922">
        <v>8.5821000000000005</v>
      </c>
      <c r="H922">
        <v>0.5</v>
      </c>
    </row>
    <row r="923" spans="1:8" x14ac:dyDescent="0.25">
      <c r="A923" t="s">
        <v>929</v>
      </c>
      <c r="B923">
        <v>65434</v>
      </c>
      <c r="C923">
        <v>7896256065794</v>
      </c>
      <c r="D923">
        <v>7.9</v>
      </c>
      <c r="E923">
        <v>5.0999999999999996</v>
      </c>
      <c r="F923" s="3">
        <v>0.32159999999999994</v>
      </c>
      <c r="G923">
        <v>4.6284999999999998</v>
      </c>
      <c r="H923">
        <v>0.83299999999999996</v>
      </c>
    </row>
    <row r="924" spans="1:8" x14ac:dyDescent="0.25">
      <c r="A924" t="s">
        <v>930</v>
      </c>
      <c r="B924">
        <v>62773</v>
      </c>
      <c r="C924">
        <v>7898697540106</v>
      </c>
      <c r="D924">
        <v>8.99</v>
      </c>
      <c r="E924">
        <v>5.47</v>
      </c>
      <c r="F924" s="3">
        <v>0.35489999999999999</v>
      </c>
      <c r="G924">
        <v>4.9675000000000002</v>
      </c>
      <c r="H924">
        <v>3.2</v>
      </c>
    </row>
    <row r="925" spans="1:8" x14ac:dyDescent="0.25">
      <c r="A925" t="s">
        <v>931</v>
      </c>
      <c r="B925">
        <v>63676</v>
      </c>
      <c r="C925">
        <v>7891962066073</v>
      </c>
      <c r="D925">
        <v>2.99</v>
      </c>
      <c r="E925">
        <v>2.0099999999999998</v>
      </c>
      <c r="F925" s="3">
        <v>0.29770000000000002</v>
      </c>
      <c r="G925">
        <v>1.8233999999999999</v>
      </c>
      <c r="H925">
        <v>7</v>
      </c>
    </row>
    <row r="926" spans="1:8" x14ac:dyDescent="0.25">
      <c r="A926" t="s">
        <v>932</v>
      </c>
      <c r="B926">
        <v>41385</v>
      </c>
      <c r="C926">
        <v>7891962051079</v>
      </c>
      <c r="D926">
        <v>4.99</v>
      </c>
      <c r="E926">
        <v>3.14</v>
      </c>
      <c r="F926" s="3">
        <v>0.32880000000000004</v>
      </c>
      <c r="G926">
        <v>2.8875999999999999</v>
      </c>
      <c r="H926">
        <v>8.1999999999999993</v>
      </c>
    </row>
    <row r="927" spans="1:8" x14ac:dyDescent="0.25">
      <c r="A927" t="s">
        <v>933</v>
      </c>
      <c r="B927">
        <v>41384</v>
      </c>
      <c r="C927">
        <v>7891962051062</v>
      </c>
      <c r="D927">
        <v>4.99</v>
      </c>
      <c r="E927">
        <v>3.16</v>
      </c>
      <c r="F927" s="3">
        <v>0.32979999999999998</v>
      </c>
      <c r="G927">
        <v>2.8828</v>
      </c>
      <c r="H927">
        <v>6.9329999999999998</v>
      </c>
    </row>
    <row r="928" spans="1:8" x14ac:dyDescent="0.25">
      <c r="A928" t="s">
        <v>934</v>
      </c>
      <c r="B928">
        <v>34687</v>
      </c>
      <c r="C928">
        <v>7891962045160</v>
      </c>
      <c r="D928">
        <v>4.99</v>
      </c>
      <c r="E928">
        <v>3.15</v>
      </c>
      <c r="F928" s="3">
        <v>0.32979999999999998</v>
      </c>
      <c r="G928">
        <v>2.8824999999999998</v>
      </c>
      <c r="H928">
        <v>18.2</v>
      </c>
    </row>
    <row r="929" spans="1:8" x14ac:dyDescent="0.25">
      <c r="A929" t="s">
        <v>935</v>
      </c>
      <c r="B929">
        <v>34689</v>
      </c>
      <c r="C929">
        <v>7891962047560</v>
      </c>
      <c r="D929">
        <v>4.99</v>
      </c>
      <c r="E929">
        <v>3.12</v>
      </c>
      <c r="F929" s="3">
        <v>0.33850000000000002</v>
      </c>
      <c r="G929">
        <v>2.8391000000000002</v>
      </c>
      <c r="H929">
        <v>9.5670000000000002</v>
      </c>
    </row>
    <row r="930" spans="1:8" x14ac:dyDescent="0.25">
      <c r="A930" t="s">
        <v>936</v>
      </c>
      <c r="B930">
        <v>68015</v>
      </c>
      <c r="C930">
        <v>7891962076348</v>
      </c>
      <c r="D930">
        <v>7.99</v>
      </c>
      <c r="E930">
        <v>5.53</v>
      </c>
      <c r="F930" s="3">
        <v>0.22409999999999999</v>
      </c>
      <c r="G930">
        <v>4.0217999999999998</v>
      </c>
      <c r="H930">
        <v>5.867</v>
      </c>
    </row>
    <row r="931" spans="1:8" x14ac:dyDescent="0.25">
      <c r="A931" t="s">
        <v>937</v>
      </c>
      <c r="B931">
        <v>4219</v>
      </c>
      <c r="C931">
        <v>7891962035451</v>
      </c>
      <c r="D931">
        <v>11.9</v>
      </c>
      <c r="E931">
        <v>8.58</v>
      </c>
      <c r="F931" s="3">
        <v>0.25190000000000001</v>
      </c>
      <c r="G931">
        <v>7.8010999999999999</v>
      </c>
      <c r="H931">
        <v>11.567</v>
      </c>
    </row>
    <row r="932" spans="1:8" x14ac:dyDescent="0.25">
      <c r="A932" t="s">
        <v>938</v>
      </c>
      <c r="B932">
        <v>34720</v>
      </c>
      <c r="C932">
        <v>7891962014982</v>
      </c>
      <c r="D932">
        <v>3.99</v>
      </c>
      <c r="E932">
        <v>2.4900000000000002</v>
      </c>
      <c r="F932" s="3">
        <v>0.31409999999999999</v>
      </c>
      <c r="G932">
        <v>2.0884999999999998</v>
      </c>
      <c r="H932">
        <v>15.667</v>
      </c>
    </row>
    <row r="933" spans="1:8" x14ac:dyDescent="0.25">
      <c r="A933" t="s">
        <v>939</v>
      </c>
      <c r="B933">
        <v>34723</v>
      </c>
      <c r="C933">
        <v>7891962026831</v>
      </c>
      <c r="D933">
        <v>3.99</v>
      </c>
      <c r="E933">
        <v>2.4900000000000002</v>
      </c>
      <c r="F933" s="3">
        <v>0.31409999999999999</v>
      </c>
      <c r="G933">
        <v>2.0886</v>
      </c>
      <c r="H933">
        <v>0.96699999999999997</v>
      </c>
    </row>
    <row r="934" spans="1:8" x14ac:dyDescent="0.25">
      <c r="A934" t="s">
        <v>940</v>
      </c>
      <c r="B934">
        <v>4232</v>
      </c>
      <c r="C934">
        <v>7891962018935</v>
      </c>
      <c r="D934">
        <v>2.99</v>
      </c>
      <c r="E934">
        <v>2.0099999999999998</v>
      </c>
      <c r="F934" s="3">
        <v>0.29760000000000003</v>
      </c>
      <c r="G934">
        <v>1.8234999999999999</v>
      </c>
      <c r="H934">
        <v>4.4329999999999998</v>
      </c>
    </row>
    <row r="935" spans="1:8" x14ac:dyDescent="0.25">
      <c r="A935" t="s">
        <v>941</v>
      </c>
      <c r="B935">
        <v>4235</v>
      </c>
      <c r="C935">
        <v>7891962026138</v>
      </c>
      <c r="D935">
        <v>2.99</v>
      </c>
      <c r="E935">
        <v>2.0099999999999998</v>
      </c>
      <c r="F935" s="3">
        <v>0.29760000000000003</v>
      </c>
      <c r="G935">
        <v>1.8236000000000001</v>
      </c>
      <c r="H935">
        <v>10.032999999999999</v>
      </c>
    </row>
    <row r="936" spans="1:8" x14ac:dyDescent="0.25">
      <c r="A936" t="s">
        <v>942</v>
      </c>
      <c r="B936">
        <v>4237</v>
      </c>
      <c r="C936">
        <v>7891962018959</v>
      </c>
      <c r="D936">
        <v>2.99</v>
      </c>
      <c r="E936">
        <v>2.0099999999999998</v>
      </c>
      <c r="F936" s="3">
        <v>0.29760000000000003</v>
      </c>
      <c r="G936">
        <v>1.8236000000000001</v>
      </c>
      <c r="H936">
        <v>5.0670000000000002</v>
      </c>
    </row>
    <row r="937" spans="1:8" x14ac:dyDescent="0.25">
      <c r="A937" t="s">
        <v>943</v>
      </c>
      <c r="B937">
        <v>4238</v>
      </c>
      <c r="C937">
        <v>7891962032450</v>
      </c>
      <c r="D937">
        <v>3.99</v>
      </c>
      <c r="E937">
        <v>2.56</v>
      </c>
      <c r="F937" s="3">
        <v>0.29859999999999998</v>
      </c>
      <c r="G937">
        <v>2.1501999999999999</v>
      </c>
      <c r="H937">
        <v>39.232999999999997</v>
      </c>
    </row>
    <row r="938" spans="1:8" x14ac:dyDescent="0.25">
      <c r="A938" t="s">
        <v>944</v>
      </c>
      <c r="B938">
        <v>9392</v>
      </c>
      <c r="C938">
        <v>7891962050089</v>
      </c>
      <c r="D938">
        <v>3.97</v>
      </c>
      <c r="E938">
        <v>2.66</v>
      </c>
      <c r="F938" s="3">
        <v>0.2878</v>
      </c>
      <c r="G938">
        <v>2.4619</v>
      </c>
      <c r="H938">
        <v>10.867000000000001</v>
      </c>
    </row>
    <row r="939" spans="1:8" x14ac:dyDescent="0.25">
      <c r="A939" t="s">
        <v>945</v>
      </c>
      <c r="B939">
        <v>38201</v>
      </c>
      <c r="C939">
        <v>7891962050072</v>
      </c>
      <c r="D939">
        <v>3.99</v>
      </c>
      <c r="E939">
        <v>2.67</v>
      </c>
      <c r="F939" s="3">
        <v>0.2792</v>
      </c>
      <c r="G939">
        <v>2.5070999999999999</v>
      </c>
      <c r="H939">
        <v>9.7669999999999995</v>
      </c>
    </row>
    <row r="940" spans="1:8" x14ac:dyDescent="0.25">
      <c r="A940" t="s">
        <v>946</v>
      </c>
      <c r="B940">
        <v>4239</v>
      </c>
      <c r="C940">
        <v>7891962050065</v>
      </c>
      <c r="D940">
        <v>3.99</v>
      </c>
      <c r="E940">
        <v>2.66</v>
      </c>
      <c r="F940" s="3">
        <v>0.29980000000000001</v>
      </c>
      <c r="G940">
        <v>2.4247000000000001</v>
      </c>
      <c r="H940">
        <v>8.7330000000000005</v>
      </c>
    </row>
    <row r="941" spans="1:8" x14ac:dyDescent="0.25">
      <c r="A941" t="s">
        <v>947</v>
      </c>
      <c r="B941">
        <v>68016</v>
      </c>
      <c r="C941">
        <v>7891962076317</v>
      </c>
      <c r="D941">
        <v>3.49</v>
      </c>
      <c r="E941">
        <v>2.0499999999999998</v>
      </c>
      <c r="F941" s="3">
        <v>0.3</v>
      </c>
      <c r="G941">
        <v>1.4919</v>
      </c>
      <c r="H941">
        <v>7.5670000000000002</v>
      </c>
    </row>
    <row r="942" spans="1:8" x14ac:dyDescent="0.25">
      <c r="A942" t="s">
        <v>948</v>
      </c>
      <c r="B942">
        <v>48380</v>
      </c>
      <c r="C942">
        <v>7896043001202</v>
      </c>
      <c r="D942">
        <v>16.899999999999999</v>
      </c>
      <c r="E942">
        <v>11</v>
      </c>
      <c r="F942" s="3">
        <v>0.31679999999999997</v>
      </c>
      <c r="G942">
        <v>9.9829000000000008</v>
      </c>
      <c r="H942">
        <v>0.3</v>
      </c>
    </row>
    <row r="943" spans="1:8" x14ac:dyDescent="0.25">
      <c r="A943" t="s">
        <v>949</v>
      </c>
      <c r="B943">
        <v>48381</v>
      </c>
      <c r="C943">
        <v>7896043001196</v>
      </c>
      <c r="D943">
        <v>16.899999999999999</v>
      </c>
      <c r="E943">
        <v>11</v>
      </c>
      <c r="F943" s="3">
        <v>0.31679999999999997</v>
      </c>
      <c r="G943">
        <v>9.9831000000000003</v>
      </c>
      <c r="H943">
        <v>0.2</v>
      </c>
    </row>
    <row r="944" spans="1:8" x14ac:dyDescent="0.25">
      <c r="A944" t="s">
        <v>950</v>
      </c>
      <c r="B944">
        <v>48404</v>
      </c>
      <c r="C944">
        <v>7896043001363</v>
      </c>
      <c r="D944">
        <v>4.29</v>
      </c>
      <c r="E944">
        <v>2.79</v>
      </c>
      <c r="F944" s="3">
        <v>0.3175</v>
      </c>
      <c r="G944">
        <v>2.5312000000000001</v>
      </c>
      <c r="H944">
        <v>0.4</v>
      </c>
    </row>
    <row r="945" spans="1:8" x14ac:dyDescent="0.25">
      <c r="A945" t="s">
        <v>951</v>
      </c>
      <c r="B945">
        <v>37024</v>
      </c>
      <c r="C945">
        <v>7622300451462</v>
      </c>
      <c r="D945">
        <v>1.99</v>
      </c>
      <c r="E945">
        <v>1.3</v>
      </c>
      <c r="F945" s="3">
        <v>0.31469999999999998</v>
      </c>
      <c r="G945">
        <v>1.1797</v>
      </c>
      <c r="H945">
        <v>1.367</v>
      </c>
    </row>
    <row r="946" spans="1:8" x14ac:dyDescent="0.25">
      <c r="A946" t="s">
        <v>952</v>
      </c>
      <c r="B946">
        <v>22007</v>
      </c>
      <c r="C946">
        <v>7622300800529</v>
      </c>
      <c r="D946">
        <v>6.9</v>
      </c>
      <c r="E946">
        <v>4.34</v>
      </c>
      <c r="F946" s="3">
        <v>0.33700000000000002</v>
      </c>
      <c r="G946">
        <v>3.9363999999999999</v>
      </c>
      <c r="H946">
        <v>3.2669999999999999</v>
      </c>
    </row>
    <row r="947" spans="1:8" x14ac:dyDescent="0.25">
      <c r="A947" t="s">
        <v>953</v>
      </c>
      <c r="B947">
        <v>67981</v>
      </c>
      <c r="C947">
        <v>3178530400687</v>
      </c>
      <c r="D947">
        <v>11.61</v>
      </c>
      <c r="E947">
        <v>14.9</v>
      </c>
      <c r="F947" s="3">
        <v>-0.25670000000000004</v>
      </c>
      <c r="G947">
        <v>13.521800000000001</v>
      </c>
      <c r="H947">
        <v>0.96699999999999997</v>
      </c>
    </row>
    <row r="948" spans="1:8" x14ac:dyDescent="0.25">
      <c r="A948" t="s">
        <v>954</v>
      </c>
      <c r="B948">
        <v>58215</v>
      </c>
      <c r="C948">
        <v>7891000321164</v>
      </c>
      <c r="D948">
        <v>7.59</v>
      </c>
      <c r="E948">
        <v>6.15</v>
      </c>
      <c r="F948" s="3">
        <v>0.17499999999999999</v>
      </c>
      <c r="G948">
        <v>5.5595999999999997</v>
      </c>
      <c r="H948">
        <v>2.1669999999999998</v>
      </c>
    </row>
    <row r="949" spans="1:8" x14ac:dyDescent="0.25">
      <c r="A949" t="s">
        <v>955</v>
      </c>
      <c r="B949">
        <v>67799</v>
      </c>
      <c r="C949">
        <v>7891000351925</v>
      </c>
      <c r="D949">
        <v>7.9</v>
      </c>
      <c r="E949">
        <v>6.01</v>
      </c>
      <c r="F949" s="3">
        <v>0.22059999999999999</v>
      </c>
      <c r="G949">
        <v>5.4260999999999999</v>
      </c>
      <c r="H949">
        <v>3.2669999999999999</v>
      </c>
    </row>
    <row r="950" spans="1:8" x14ac:dyDescent="0.25">
      <c r="A950" t="s">
        <v>956</v>
      </c>
      <c r="B950">
        <v>4282</v>
      </c>
      <c r="C950">
        <v>7891000376843</v>
      </c>
      <c r="D950">
        <v>3.29</v>
      </c>
      <c r="E950">
        <v>2.2400000000000002</v>
      </c>
      <c r="F950" s="3">
        <v>0.28649999999999998</v>
      </c>
      <c r="G950">
        <v>2.0430999999999999</v>
      </c>
      <c r="H950">
        <v>17.067</v>
      </c>
    </row>
    <row r="951" spans="1:8" x14ac:dyDescent="0.25">
      <c r="A951" t="s">
        <v>957</v>
      </c>
      <c r="B951">
        <v>62513</v>
      </c>
      <c r="C951">
        <v>7891000377017</v>
      </c>
      <c r="D951">
        <v>3.59</v>
      </c>
      <c r="E951">
        <v>1.88</v>
      </c>
      <c r="F951" s="3">
        <v>0.43270000000000003</v>
      </c>
      <c r="G951">
        <v>1.7047000000000001</v>
      </c>
      <c r="H951">
        <v>11.032999999999999</v>
      </c>
    </row>
    <row r="952" spans="1:8" x14ac:dyDescent="0.25">
      <c r="A952" t="s">
        <v>958</v>
      </c>
      <c r="B952">
        <v>5560</v>
      </c>
      <c r="C952">
        <v>7891000376928</v>
      </c>
      <c r="D952">
        <v>3.29</v>
      </c>
      <c r="E952">
        <v>2.17</v>
      </c>
      <c r="F952" s="3">
        <v>0.3105</v>
      </c>
      <c r="G952">
        <v>1.9642999999999999</v>
      </c>
      <c r="H952">
        <v>17.100000000000001</v>
      </c>
    </row>
    <row r="953" spans="1:8" x14ac:dyDescent="0.25">
      <c r="A953" t="s">
        <v>959</v>
      </c>
      <c r="B953">
        <v>57646</v>
      </c>
      <c r="C953">
        <v>7891000376881</v>
      </c>
      <c r="D953">
        <v>2.59</v>
      </c>
      <c r="E953">
        <v>1.88</v>
      </c>
      <c r="F953" s="3">
        <v>0.24729999999999999</v>
      </c>
      <c r="G953">
        <v>1.71</v>
      </c>
      <c r="H953">
        <v>11.7</v>
      </c>
    </row>
    <row r="954" spans="1:8" x14ac:dyDescent="0.25">
      <c r="A954" t="s">
        <v>960</v>
      </c>
      <c r="B954">
        <v>4286</v>
      </c>
      <c r="C954">
        <v>7891000376959</v>
      </c>
      <c r="D954">
        <v>3.29</v>
      </c>
      <c r="E954">
        <v>2.21</v>
      </c>
      <c r="F954" s="3">
        <v>0.30990000000000001</v>
      </c>
      <c r="G954">
        <v>1.9661999999999999</v>
      </c>
      <c r="H954">
        <v>4.5330000000000004</v>
      </c>
    </row>
    <row r="955" spans="1:8" x14ac:dyDescent="0.25">
      <c r="A955" t="s">
        <v>961</v>
      </c>
      <c r="B955">
        <v>62061</v>
      </c>
      <c r="C955">
        <v>7891000304877</v>
      </c>
      <c r="D955">
        <v>2.29</v>
      </c>
      <c r="E955">
        <v>1.54</v>
      </c>
      <c r="F955" s="3">
        <v>0.30630000000000002</v>
      </c>
      <c r="G955">
        <v>1.3766</v>
      </c>
      <c r="H955">
        <v>10.733000000000001</v>
      </c>
    </row>
    <row r="956" spans="1:8" x14ac:dyDescent="0.25">
      <c r="A956" t="s">
        <v>962</v>
      </c>
      <c r="B956">
        <v>62514</v>
      </c>
      <c r="C956">
        <v>7891000364291</v>
      </c>
      <c r="D956">
        <v>2.29</v>
      </c>
      <c r="E956">
        <v>1.56</v>
      </c>
      <c r="F956" s="3">
        <v>0.28859999999999997</v>
      </c>
      <c r="G956">
        <v>1.4172</v>
      </c>
      <c r="H956">
        <v>7.133</v>
      </c>
    </row>
    <row r="957" spans="1:8" x14ac:dyDescent="0.25">
      <c r="A957" t="s">
        <v>963</v>
      </c>
      <c r="B957">
        <v>62526</v>
      </c>
      <c r="C957">
        <v>7891000367773</v>
      </c>
      <c r="D957">
        <v>8.9</v>
      </c>
      <c r="E957">
        <v>6.53</v>
      </c>
      <c r="F957" s="3">
        <v>0.24170000000000003</v>
      </c>
      <c r="G957">
        <v>5.9257999999999997</v>
      </c>
      <c r="H957">
        <v>2.1669999999999998</v>
      </c>
    </row>
    <row r="958" spans="1:8" x14ac:dyDescent="0.25">
      <c r="A958" t="s">
        <v>964</v>
      </c>
      <c r="B958">
        <v>4487</v>
      </c>
      <c r="C958">
        <v>7891000889701</v>
      </c>
      <c r="D958">
        <v>8.9</v>
      </c>
      <c r="E958">
        <v>5.17</v>
      </c>
      <c r="F958" s="3">
        <v>0.38520000000000004</v>
      </c>
      <c r="G958">
        <v>4.6485000000000003</v>
      </c>
      <c r="H958">
        <v>16.667000000000002</v>
      </c>
    </row>
    <row r="959" spans="1:8" x14ac:dyDescent="0.25">
      <c r="A959" t="s">
        <v>965</v>
      </c>
      <c r="B959">
        <v>69478</v>
      </c>
      <c r="C959">
        <v>7891962077239</v>
      </c>
      <c r="D959">
        <v>2.4900000000000002</v>
      </c>
      <c r="E959">
        <v>1.6</v>
      </c>
      <c r="F959" s="3">
        <v>0.32439999999999997</v>
      </c>
      <c r="G959">
        <v>1.4519</v>
      </c>
      <c r="H959">
        <v>14.387</v>
      </c>
    </row>
    <row r="960" spans="1:8" x14ac:dyDescent="0.25">
      <c r="A960" t="s">
        <v>966</v>
      </c>
      <c r="B960">
        <v>62818</v>
      </c>
      <c r="C960">
        <v>7891150089167</v>
      </c>
      <c r="D960">
        <v>10.9</v>
      </c>
      <c r="E960">
        <v>7.9</v>
      </c>
      <c r="F960" s="3">
        <v>0.2495</v>
      </c>
      <c r="G960">
        <v>7.1718999999999999</v>
      </c>
      <c r="H960">
        <v>2.3330000000000002</v>
      </c>
    </row>
    <row r="961" spans="1:8" x14ac:dyDescent="0.25">
      <c r="A961" t="s">
        <v>967</v>
      </c>
      <c r="B961">
        <v>67790</v>
      </c>
      <c r="C961">
        <v>7891000403150</v>
      </c>
      <c r="D961">
        <v>6.67</v>
      </c>
      <c r="E961">
        <v>4.66</v>
      </c>
      <c r="F961" s="3">
        <v>0.2676</v>
      </c>
      <c r="G961">
        <v>4.2694000000000001</v>
      </c>
      <c r="H961">
        <v>1.9330000000000001</v>
      </c>
    </row>
    <row r="962" spans="1:8" x14ac:dyDescent="0.25">
      <c r="A962" t="s">
        <v>968</v>
      </c>
      <c r="B962">
        <v>69527</v>
      </c>
      <c r="C962">
        <v>7891000415320</v>
      </c>
      <c r="D962">
        <v>6.9</v>
      </c>
      <c r="E962">
        <v>4.59</v>
      </c>
      <c r="F962" s="3">
        <v>0.30430000000000001</v>
      </c>
      <c r="G962">
        <v>4.1618000000000004</v>
      </c>
      <c r="H962">
        <v>0.222</v>
      </c>
    </row>
    <row r="963" spans="1:8" x14ac:dyDescent="0.25">
      <c r="A963" t="s">
        <v>969</v>
      </c>
      <c r="B963">
        <v>62820</v>
      </c>
      <c r="C963">
        <v>7891150089181</v>
      </c>
      <c r="D963">
        <v>9.99</v>
      </c>
      <c r="E963">
        <v>6.96</v>
      </c>
      <c r="F963" s="3">
        <v>0.27489999999999998</v>
      </c>
      <c r="G963">
        <v>6.3193999999999999</v>
      </c>
      <c r="H963">
        <v>2.5</v>
      </c>
    </row>
    <row r="964" spans="1:8" x14ac:dyDescent="0.25">
      <c r="A964" t="s">
        <v>970</v>
      </c>
      <c r="B964">
        <v>22010</v>
      </c>
      <c r="C964">
        <v>7622300747442</v>
      </c>
      <c r="D964">
        <v>5.9</v>
      </c>
      <c r="E964">
        <v>3.97</v>
      </c>
      <c r="F964" s="3">
        <v>0.29719999999999996</v>
      </c>
      <c r="G964">
        <v>3.6004999999999998</v>
      </c>
      <c r="H964">
        <v>29.067</v>
      </c>
    </row>
    <row r="965" spans="1:8" x14ac:dyDescent="0.25">
      <c r="A965" t="s">
        <v>971</v>
      </c>
      <c r="B965">
        <v>4493</v>
      </c>
      <c r="C965">
        <v>7891000089194</v>
      </c>
      <c r="D965">
        <v>4.99</v>
      </c>
      <c r="E965">
        <v>3.63</v>
      </c>
      <c r="F965" s="3">
        <v>0.2457</v>
      </c>
      <c r="G965">
        <v>3.3025000000000002</v>
      </c>
      <c r="H965">
        <v>2.1</v>
      </c>
    </row>
    <row r="966" spans="1:8" x14ac:dyDescent="0.25">
      <c r="A966" t="s">
        <v>972</v>
      </c>
      <c r="B966">
        <v>60869</v>
      </c>
      <c r="C966">
        <v>7622210568847</v>
      </c>
      <c r="D966">
        <v>5.99</v>
      </c>
      <c r="E966">
        <v>4.6500000000000004</v>
      </c>
      <c r="F966" s="3">
        <v>0.20300000000000001</v>
      </c>
      <c r="G966">
        <v>4.2198000000000002</v>
      </c>
      <c r="H966">
        <v>2.7</v>
      </c>
    </row>
    <row r="967" spans="1:8" x14ac:dyDescent="0.25">
      <c r="A967" t="s">
        <v>973</v>
      </c>
      <c r="B967">
        <v>60870</v>
      </c>
      <c r="C967">
        <v>7622210568816</v>
      </c>
      <c r="D967">
        <v>5.99</v>
      </c>
      <c r="E967">
        <v>3.9</v>
      </c>
      <c r="F967" s="3">
        <v>0.31059999999999999</v>
      </c>
      <c r="G967">
        <v>3.5756999999999999</v>
      </c>
      <c r="H967">
        <v>6.4</v>
      </c>
    </row>
    <row r="968" spans="1:8" x14ac:dyDescent="0.25">
      <c r="A968" t="s">
        <v>974</v>
      </c>
      <c r="B968">
        <v>22018</v>
      </c>
      <c r="C968">
        <v>7622300053338</v>
      </c>
      <c r="D968">
        <v>5.99</v>
      </c>
      <c r="E968">
        <v>4.04</v>
      </c>
      <c r="F968" s="3">
        <v>0.28620000000000001</v>
      </c>
      <c r="G968">
        <v>3.7214</v>
      </c>
      <c r="H968">
        <v>4.633</v>
      </c>
    </row>
    <row r="969" spans="1:8" x14ac:dyDescent="0.25">
      <c r="A969" t="s">
        <v>975</v>
      </c>
      <c r="B969">
        <v>22019</v>
      </c>
      <c r="C969">
        <v>7622300281489</v>
      </c>
      <c r="D969">
        <v>5.99</v>
      </c>
      <c r="E969">
        <v>4.3899999999999997</v>
      </c>
      <c r="F969" s="3">
        <v>0.23920000000000002</v>
      </c>
      <c r="G969">
        <v>4.0033000000000003</v>
      </c>
      <c r="H969">
        <v>8.2330000000000005</v>
      </c>
    </row>
    <row r="970" spans="1:8" x14ac:dyDescent="0.25">
      <c r="A970" t="s">
        <v>976</v>
      </c>
      <c r="B970">
        <v>22020</v>
      </c>
      <c r="C970">
        <v>7622210644534</v>
      </c>
      <c r="D970">
        <v>5.99</v>
      </c>
      <c r="E970">
        <v>4.05</v>
      </c>
      <c r="F970" s="3">
        <v>0.28889999999999999</v>
      </c>
      <c r="G970">
        <v>3.7057000000000002</v>
      </c>
      <c r="H970">
        <v>3.4</v>
      </c>
    </row>
    <row r="971" spans="1:8" x14ac:dyDescent="0.25">
      <c r="A971" t="s">
        <v>977</v>
      </c>
      <c r="B971">
        <v>22017</v>
      </c>
      <c r="C971">
        <v>7893333317456</v>
      </c>
      <c r="D971">
        <v>5.99</v>
      </c>
      <c r="E971">
        <v>4.0999999999999996</v>
      </c>
      <c r="F971" s="3">
        <v>0.28720000000000001</v>
      </c>
      <c r="G971">
        <v>3.7155999999999998</v>
      </c>
      <c r="H971">
        <v>5.4329999999999998</v>
      </c>
    </row>
    <row r="972" spans="1:8" x14ac:dyDescent="0.25">
      <c r="A972" t="s">
        <v>978</v>
      </c>
      <c r="B972">
        <v>22014</v>
      </c>
      <c r="C972">
        <v>7893333289128</v>
      </c>
      <c r="D972">
        <v>5.99</v>
      </c>
      <c r="E972">
        <v>4.07</v>
      </c>
      <c r="F972" s="3">
        <v>0.29070000000000001</v>
      </c>
      <c r="G972">
        <v>3.6947000000000001</v>
      </c>
      <c r="H972">
        <v>90.033000000000001</v>
      </c>
    </row>
    <row r="973" spans="1:8" x14ac:dyDescent="0.25">
      <c r="A973" t="s">
        <v>979</v>
      </c>
      <c r="B973">
        <v>23104</v>
      </c>
      <c r="C973">
        <v>7622300992330</v>
      </c>
      <c r="D973">
        <v>10.9</v>
      </c>
      <c r="E973">
        <v>7.84</v>
      </c>
      <c r="F973" s="3">
        <v>0.25459999999999999</v>
      </c>
      <c r="G973">
        <v>7.1162999999999998</v>
      </c>
      <c r="H973">
        <v>2.2669999999999999</v>
      </c>
    </row>
    <row r="974" spans="1:8" x14ac:dyDescent="0.25">
      <c r="A974" t="s">
        <v>980</v>
      </c>
      <c r="B974">
        <v>29425</v>
      </c>
      <c r="C974">
        <v>7622300990749</v>
      </c>
      <c r="D974">
        <v>10.9</v>
      </c>
      <c r="E974">
        <v>7.66</v>
      </c>
      <c r="F974" s="3">
        <v>0.26519999999999999</v>
      </c>
      <c r="G974">
        <v>7.0007000000000001</v>
      </c>
      <c r="H974">
        <v>35.200000000000003</v>
      </c>
    </row>
    <row r="975" spans="1:8" x14ac:dyDescent="0.25">
      <c r="A975" t="s">
        <v>981</v>
      </c>
      <c r="B975">
        <v>62633</v>
      </c>
      <c r="C975">
        <v>7891000350119</v>
      </c>
      <c r="D975">
        <v>3.9</v>
      </c>
      <c r="E975">
        <v>1.92</v>
      </c>
      <c r="F975" s="3">
        <v>0.46240000000000003</v>
      </c>
      <c r="G975">
        <v>1.7358</v>
      </c>
      <c r="H975">
        <v>9.9670000000000005</v>
      </c>
    </row>
    <row r="976" spans="1:8" x14ac:dyDescent="0.25">
      <c r="A976" t="s">
        <v>982</v>
      </c>
      <c r="B976">
        <v>4220</v>
      </c>
      <c r="C976">
        <v>7891962054117</v>
      </c>
      <c r="D976">
        <v>5.49</v>
      </c>
      <c r="E976">
        <v>3.62</v>
      </c>
      <c r="F976" s="3">
        <v>0.30859999999999999</v>
      </c>
      <c r="G976">
        <v>3.2879999999999998</v>
      </c>
      <c r="H976">
        <v>30.233000000000001</v>
      </c>
    </row>
    <row r="977" spans="1:8" x14ac:dyDescent="0.25">
      <c r="A977" t="s">
        <v>983</v>
      </c>
      <c r="B977">
        <v>4221</v>
      </c>
      <c r="C977">
        <v>7891962054100</v>
      </c>
      <c r="D977">
        <v>5.49</v>
      </c>
      <c r="E977">
        <v>3.62</v>
      </c>
      <c r="F977" s="3">
        <v>0.30859999999999999</v>
      </c>
      <c r="G977">
        <v>3.2879999999999998</v>
      </c>
      <c r="H977">
        <v>39.232999999999997</v>
      </c>
    </row>
    <row r="978" spans="1:8" x14ac:dyDescent="0.25">
      <c r="A978" t="s">
        <v>984</v>
      </c>
      <c r="B978">
        <v>68014</v>
      </c>
      <c r="C978">
        <v>7891962054476</v>
      </c>
      <c r="D978">
        <v>4.49</v>
      </c>
      <c r="E978">
        <v>2.86</v>
      </c>
      <c r="F978" s="3">
        <v>0.3553</v>
      </c>
      <c r="G978">
        <v>2.4792999999999998</v>
      </c>
      <c r="H978">
        <v>17.667000000000002</v>
      </c>
    </row>
    <row r="979" spans="1:8" x14ac:dyDescent="0.25">
      <c r="A979" t="s">
        <v>985</v>
      </c>
      <c r="B979">
        <v>17942</v>
      </c>
      <c r="C979">
        <v>7891962054810</v>
      </c>
      <c r="D979">
        <v>4.49</v>
      </c>
      <c r="E979">
        <v>3.21</v>
      </c>
      <c r="F979" s="3">
        <v>0.34119999999999995</v>
      </c>
      <c r="G979">
        <v>2.5428000000000002</v>
      </c>
      <c r="H979">
        <v>9.8670000000000009</v>
      </c>
    </row>
    <row r="980" spans="1:8" x14ac:dyDescent="0.25">
      <c r="A980" t="s">
        <v>986</v>
      </c>
      <c r="B980">
        <v>68017</v>
      </c>
      <c r="C980">
        <v>7891962076676</v>
      </c>
      <c r="D980">
        <v>5.49</v>
      </c>
      <c r="E980">
        <v>3.62</v>
      </c>
      <c r="F980" s="3">
        <v>0.30859999999999999</v>
      </c>
      <c r="G980">
        <v>3.2881</v>
      </c>
      <c r="H980">
        <v>13.867000000000001</v>
      </c>
    </row>
    <row r="981" spans="1:8" x14ac:dyDescent="0.25">
      <c r="A981" t="s">
        <v>987</v>
      </c>
      <c r="B981">
        <v>69475</v>
      </c>
      <c r="C981">
        <v>7891962076669</v>
      </c>
      <c r="D981">
        <v>5.49</v>
      </c>
      <c r="E981">
        <v>2.42</v>
      </c>
      <c r="F981" s="3">
        <v>0.29799999999999999</v>
      </c>
      <c r="G981">
        <v>3.3458999999999999</v>
      </c>
      <c r="H981">
        <v>4.3929999999999998</v>
      </c>
    </row>
    <row r="982" spans="1:8" x14ac:dyDescent="0.25">
      <c r="A982" t="s">
        <v>988</v>
      </c>
      <c r="B982">
        <v>66460</v>
      </c>
      <c r="C982">
        <v>7891962071619</v>
      </c>
      <c r="D982">
        <v>5.99</v>
      </c>
      <c r="E982">
        <v>3.63</v>
      </c>
      <c r="F982" s="3">
        <v>0.35759999999999997</v>
      </c>
      <c r="G982">
        <v>3.2936999999999999</v>
      </c>
      <c r="H982">
        <v>8.5</v>
      </c>
    </row>
    <row r="983" spans="1:8" x14ac:dyDescent="0.25">
      <c r="A983" t="s">
        <v>989</v>
      </c>
      <c r="B983">
        <v>62486</v>
      </c>
      <c r="C983">
        <v>7891962067629</v>
      </c>
      <c r="D983">
        <v>5.9</v>
      </c>
      <c r="E983">
        <v>3.65</v>
      </c>
      <c r="F983" s="3">
        <v>0.3483</v>
      </c>
      <c r="G983">
        <v>3.2991000000000001</v>
      </c>
      <c r="H983">
        <v>7.5670000000000002</v>
      </c>
    </row>
    <row r="984" spans="1:8" x14ac:dyDescent="0.25">
      <c r="A984" t="s">
        <v>990</v>
      </c>
      <c r="B984">
        <v>4222</v>
      </c>
      <c r="C984">
        <v>7891962054124</v>
      </c>
      <c r="D984">
        <v>5.99</v>
      </c>
      <c r="E984">
        <v>3.63</v>
      </c>
      <c r="F984" s="3">
        <v>0.35759999999999997</v>
      </c>
      <c r="G984">
        <v>3.2936999999999999</v>
      </c>
      <c r="H984">
        <v>21.5</v>
      </c>
    </row>
    <row r="985" spans="1:8" x14ac:dyDescent="0.25">
      <c r="A985" t="s">
        <v>991</v>
      </c>
      <c r="B985">
        <v>62634</v>
      </c>
      <c r="C985">
        <v>7891000350072</v>
      </c>
      <c r="D985">
        <v>3.9</v>
      </c>
      <c r="E985">
        <v>1.94</v>
      </c>
      <c r="F985" s="3">
        <v>0.45840000000000003</v>
      </c>
      <c r="G985">
        <v>1.7513000000000001</v>
      </c>
      <c r="H985">
        <v>4.8</v>
      </c>
    </row>
    <row r="986" spans="1:8" x14ac:dyDescent="0.25">
      <c r="A986" t="s">
        <v>992</v>
      </c>
      <c r="B986">
        <v>67789</v>
      </c>
      <c r="C986">
        <v>7891000402894</v>
      </c>
      <c r="D986">
        <v>2.99</v>
      </c>
      <c r="E986">
        <v>2.29</v>
      </c>
      <c r="F986" s="3">
        <v>0.22769999999999999</v>
      </c>
      <c r="G986">
        <v>2.0326</v>
      </c>
      <c r="H986">
        <v>4.7</v>
      </c>
    </row>
    <row r="987" spans="1:8" x14ac:dyDescent="0.25">
      <c r="A987" t="s">
        <v>993</v>
      </c>
      <c r="B987">
        <v>67788</v>
      </c>
      <c r="C987">
        <v>7891000402856</v>
      </c>
      <c r="D987">
        <v>2.99</v>
      </c>
      <c r="E987">
        <v>2.13</v>
      </c>
      <c r="F987" s="3">
        <v>0.27239999999999998</v>
      </c>
      <c r="G987">
        <v>1.899</v>
      </c>
      <c r="H987">
        <v>3.5329999999999999</v>
      </c>
    </row>
    <row r="988" spans="1:8" x14ac:dyDescent="0.25">
      <c r="A988" t="s">
        <v>994</v>
      </c>
      <c r="B988">
        <v>62477</v>
      </c>
      <c r="C988">
        <v>7891962067681</v>
      </c>
      <c r="D988">
        <v>4.7300000000000004</v>
      </c>
      <c r="E988">
        <v>2.93</v>
      </c>
      <c r="F988" s="3">
        <v>0.34539999999999998</v>
      </c>
      <c r="G988">
        <v>2.6604000000000001</v>
      </c>
      <c r="H988">
        <v>9.6999999999999993</v>
      </c>
    </row>
    <row r="989" spans="1:8" x14ac:dyDescent="0.25">
      <c r="A989" t="s">
        <v>995</v>
      </c>
      <c r="B989">
        <v>30130</v>
      </c>
      <c r="C989">
        <v>7896283005664</v>
      </c>
      <c r="D989">
        <v>12.9</v>
      </c>
      <c r="E989">
        <v>7.28</v>
      </c>
      <c r="F989" s="3">
        <v>0.4</v>
      </c>
      <c r="G989">
        <v>6.5462999999999996</v>
      </c>
      <c r="H989">
        <v>0.56699999999999995</v>
      </c>
    </row>
    <row r="990" spans="1:8" x14ac:dyDescent="0.25">
      <c r="A990" t="s">
        <v>996</v>
      </c>
      <c r="B990">
        <v>4404</v>
      </c>
      <c r="C990">
        <v>7896283002052</v>
      </c>
      <c r="D990">
        <v>11.9</v>
      </c>
      <c r="E990">
        <v>7.79</v>
      </c>
      <c r="F990" s="3">
        <v>0.31840000000000002</v>
      </c>
      <c r="G990">
        <v>7.0105000000000004</v>
      </c>
      <c r="H990">
        <v>0.5</v>
      </c>
    </row>
    <row r="991" spans="1:8" x14ac:dyDescent="0.25">
      <c r="A991" t="s">
        <v>997</v>
      </c>
      <c r="B991">
        <v>44622</v>
      </c>
      <c r="C991">
        <v>7622210754813</v>
      </c>
      <c r="D991">
        <v>5.9</v>
      </c>
      <c r="E991">
        <v>4.17</v>
      </c>
      <c r="F991" s="3">
        <v>0.26750000000000002</v>
      </c>
      <c r="G991">
        <v>3.7759</v>
      </c>
      <c r="H991">
        <v>2.4329999999999998</v>
      </c>
    </row>
    <row r="992" spans="1:8" x14ac:dyDescent="0.25">
      <c r="A992" t="s">
        <v>998</v>
      </c>
      <c r="B992">
        <v>44623</v>
      </c>
      <c r="C992">
        <v>7622210754714</v>
      </c>
      <c r="D992">
        <v>5.9</v>
      </c>
      <c r="E992">
        <v>4.1900000000000004</v>
      </c>
      <c r="F992" s="3">
        <v>0.26300000000000001</v>
      </c>
      <c r="G992">
        <v>3.8022999999999998</v>
      </c>
      <c r="H992">
        <v>1.867</v>
      </c>
    </row>
    <row r="993" spans="1:8" x14ac:dyDescent="0.25">
      <c r="A993" t="s">
        <v>999</v>
      </c>
      <c r="B993">
        <v>4421</v>
      </c>
      <c r="C993">
        <v>7896496980857</v>
      </c>
      <c r="D993">
        <v>12.9</v>
      </c>
      <c r="E993">
        <v>8.58</v>
      </c>
      <c r="F993" s="3">
        <v>0.30359999999999998</v>
      </c>
      <c r="G993">
        <v>7.7901999999999996</v>
      </c>
      <c r="H993">
        <v>0.63300000000000001</v>
      </c>
    </row>
    <row r="994" spans="1:8" x14ac:dyDescent="0.25">
      <c r="A994" t="s">
        <v>1000</v>
      </c>
      <c r="B994">
        <v>4419</v>
      </c>
      <c r="C994">
        <v>7896496980994</v>
      </c>
      <c r="D994">
        <v>12.9</v>
      </c>
      <c r="E994">
        <v>8.5500000000000007</v>
      </c>
      <c r="F994" s="3">
        <v>0.30430000000000001</v>
      </c>
      <c r="G994">
        <v>7.7812000000000001</v>
      </c>
      <c r="H994">
        <v>0.76700000000000002</v>
      </c>
    </row>
    <row r="995" spans="1:8" x14ac:dyDescent="0.25">
      <c r="A995" t="s">
        <v>1001</v>
      </c>
      <c r="B995">
        <v>62635</v>
      </c>
      <c r="C995">
        <v>7891000247624</v>
      </c>
      <c r="D995">
        <v>3.9</v>
      </c>
      <c r="E995">
        <v>2.33</v>
      </c>
      <c r="F995" s="3">
        <v>0.38340000000000002</v>
      </c>
      <c r="G995">
        <v>2.044</v>
      </c>
      <c r="H995">
        <v>1.6</v>
      </c>
    </row>
    <row r="996" spans="1:8" x14ac:dyDescent="0.25">
      <c r="A996" t="s">
        <v>1002</v>
      </c>
      <c r="B996">
        <v>62630</v>
      </c>
      <c r="C996">
        <v>7891000339558</v>
      </c>
      <c r="D996">
        <v>3.9</v>
      </c>
      <c r="E996">
        <v>2.19</v>
      </c>
      <c r="F996" s="3">
        <v>0.41749999999999998</v>
      </c>
      <c r="G996">
        <v>1.9111</v>
      </c>
      <c r="H996">
        <v>1.3</v>
      </c>
    </row>
    <row r="997" spans="1:8" x14ac:dyDescent="0.25">
      <c r="A997" t="s">
        <v>1003</v>
      </c>
      <c r="B997">
        <v>62624</v>
      </c>
      <c r="C997">
        <v>7891000255773</v>
      </c>
      <c r="D997">
        <v>3.9</v>
      </c>
      <c r="E997">
        <v>2.29</v>
      </c>
      <c r="F997" s="3">
        <v>0.34960000000000002</v>
      </c>
      <c r="G997">
        <v>2.1757</v>
      </c>
      <c r="H997">
        <v>3.6669999999999998</v>
      </c>
    </row>
    <row r="998" spans="1:8" x14ac:dyDescent="0.25">
      <c r="A998" t="s">
        <v>1004</v>
      </c>
      <c r="B998">
        <v>67785</v>
      </c>
      <c r="C998">
        <v>7891000397787</v>
      </c>
      <c r="D998">
        <v>6.99</v>
      </c>
      <c r="E998">
        <v>4.5999999999999996</v>
      </c>
      <c r="F998" s="3">
        <v>0.3105</v>
      </c>
      <c r="G998">
        <v>4.1727999999999996</v>
      </c>
      <c r="H998">
        <v>3.133</v>
      </c>
    </row>
    <row r="999" spans="1:8" x14ac:dyDescent="0.25">
      <c r="A999" t="s">
        <v>1005</v>
      </c>
      <c r="B999">
        <v>64473</v>
      </c>
      <c r="C999">
        <v>7891000381588</v>
      </c>
      <c r="D999">
        <v>9.9</v>
      </c>
      <c r="E999">
        <v>4.63</v>
      </c>
      <c r="F999" s="3">
        <v>0.48549999999999999</v>
      </c>
      <c r="G999">
        <v>4.1776</v>
      </c>
      <c r="H999">
        <v>1.2669999999999999</v>
      </c>
    </row>
    <row r="1000" spans="1:8" x14ac:dyDescent="0.25">
      <c r="A1000" t="s">
        <v>1006</v>
      </c>
      <c r="B1000">
        <v>64474</v>
      </c>
      <c r="C1000">
        <v>7891000381625</v>
      </c>
      <c r="D1000">
        <v>9.9</v>
      </c>
      <c r="E1000">
        <v>4.63</v>
      </c>
      <c r="F1000" s="3">
        <v>0.48560000000000003</v>
      </c>
      <c r="G1000">
        <v>4.1772999999999998</v>
      </c>
      <c r="H1000">
        <v>0.9</v>
      </c>
    </row>
    <row r="1001" spans="1:8" x14ac:dyDescent="0.25">
      <c r="A1001" t="s">
        <v>1007</v>
      </c>
      <c r="B1001">
        <v>64549</v>
      </c>
      <c r="C1001">
        <v>7891000381663</v>
      </c>
      <c r="D1001">
        <v>9.9</v>
      </c>
      <c r="E1001">
        <v>4.1900000000000004</v>
      </c>
      <c r="F1001" s="3">
        <v>0.52400000000000002</v>
      </c>
      <c r="G1001">
        <v>3.7961999999999998</v>
      </c>
      <c r="H1001">
        <v>1.167</v>
      </c>
    </row>
    <row r="1002" spans="1:8" x14ac:dyDescent="0.25">
      <c r="A1002" t="s">
        <v>1008</v>
      </c>
      <c r="B1002">
        <v>55052</v>
      </c>
      <c r="C1002">
        <v>7896011107868</v>
      </c>
      <c r="D1002">
        <v>3.49</v>
      </c>
      <c r="E1002">
        <v>2.09</v>
      </c>
      <c r="F1002" s="3">
        <v>0.36430000000000001</v>
      </c>
      <c r="G1002">
        <v>1.8958999999999999</v>
      </c>
      <c r="H1002">
        <v>2.2669999999999999</v>
      </c>
    </row>
    <row r="1003" spans="1:8" x14ac:dyDescent="0.25">
      <c r="A1003" t="s">
        <v>1009</v>
      </c>
      <c r="B1003">
        <v>62632</v>
      </c>
      <c r="C1003">
        <v>7891000339237</v>
      </c>
      <c r="D1003">
        <v>3.9</v>
      </c>
      <c r="E1003">
        <v>2.33</v>
      </c>
      <c r="F1003" s="3">
        <v>0.3679</v>
      </c>
      <c r="G1003">
        <v>2.1042999999999998</v>
      </c>
      <c r="H1003">
        <v>1.2669999999999999</v>
      </c>
    </row>
    <row r="1004" spans="1:8" x14ac:dyDescent="0.25">
      <c r="A1004" t="s">
        <v>1010</v>
      </c>
      <c r="B1004">
        <v>62628</v>
      </c>
      <c r="C1004">
        <v>7891000339596</v>
      </c>
      <c r="D1004">
        <v>3.9</v>
      </c>
      <c r="E1004">
        <v>2.25</v>
      </c>
      <c r="F1004" s="3">
        <v>0.3876</v>
      </c>
      <c r="G1004">
        <v>2.0276999999999998</v>
      </c>
      <c r="H1004">
        <v>4.5999999999999996</v>
      </c>
    </row>
    <row r="1005" spans="1:8" x14ac:dyDescent="0.25">
      <c r="A1005" t="s">
        <v>1011</v>
      </c>
      <c r="B1005">
        <v>4364</v>
      </c>
      <c r="C1005">
        <v>7896283001727</v>
      </c>
      <c r="D1005">
        <v>11.9</v>
      </c>
      <c r="E1005">
        <v>7.67</v>
      </c>
      <c r="F1005" s="3">
        <v>0.32240000000000002</v>
      </c>
      <c r="G1005">
        <v>6.9623999999999997</v>
      </c>
      <c r="H1005">
        <v>0.73299999999999998</v>
      </c>
    </row>
    <row r="1006" spans="1:8" x14ac:dyDescent="0.25">
      <c r="A1006" t="s">
        <v>1012</v>
      </c>
      <c r="B1006">
        <v>4374</v>
      </c>
      <c r="C1006">
        <v>7896283001758</v>
      </c>
      <c r="D1006">
        <v>11.9</v>
      </c>
      <c r="E1006">
        <v>7.68</v>
      </c>
      <c r="F1006" s="3">
        <v>0.32219999999999999</v>
      </c>
      <c r="G1006">
        <v>6.9653</v>
      </c>
      <c r="H1006">
        <v>0.46700000000000003</v>
      </c>
    </row>
    <row r="1007" spans="1:8" x14ac:dyDescent="0.25">
      <c r="A1007" t="s">
        <v>1013</v>
      </c>
      <c r="B1007">
        <v>4373</v>
      </c>
      <c r="C1007">
        <v>7896283001734</v>
      </c>
      <c r="D1007">
        <v>11.9</v>
      </c>
      <c r="E1007">
        <v>7.3</v>
      </c>
      <c r="F1007" s="3">
        <v>0.36369999999999997</v>
      </c>
      <c r="G1007">
        <v>6.4706999999999999</v>
      </c>
      <c r="H1007">
        <v>1.367</v>
      </c>
    </row>
    <row r="1008" spans="1:8" x14ac:dyDescent="0.25">
      <c r="A1008" t="s">
        <v>1014</v>
      </c>
      <c r="B1008">
        <v>4377</v>
      </c>
      <c r="C1008">
        <v>7896283001710</v>
      </c>
      <c r="D1008">
        <v>11.9</v>
      </c>
      <c r="E1008">
        <v>7.68</v>
      </c>
      <c r="F1008" s="3">
        <v>0.32229999999999998</v>
      </c>
      <c r="G1008">
        <v>6.9634</v>
      </c>
      <c r="H1008">
        <v>1.2</v>
      </c>
    </row>
    <row r="1009" spans="1:8" x14ac:dyDescent="0.25">
      <c r="A1009" t="s">
        <v>1015</v>
      </c>
      <c r="B1009">
        <v>4363</v>
      </c>
      <c r="C1009">
        <v>7896283001321</v>
      </c>
      <c r="D1009">
        <v>11.9</v>
      </c>
      <c r="E1009">
        <v>7.25</v>
      </c>
      <c r="F1009" s="3">
        <v>0.37130000000000002</v>
      </c>
      <c r="G1009">
        <v>6.3803999999999998</v>
      </c>
      <c r="H1009">
        <v>1.2669999999999999</v>
      </c>
    </row>
    <row r="1010" spans="1:8" x14ac:dyDescent="0.25">
      <c r="A1010" t="s">
        <v>1016</v>
      </c>
      <c r="B1010">
        <v>4378</v>
      </c>
      <c r="C1010">
        <v>7896283000898</v>
      </c>
      <c r="D1010">
        <v>11.9</v>
      </c>
      <c r="E1010">
        <v>7.67</v>
      </c>
      <c r="F1010" s="3">
        <v>0.32240000000000002</v>
      </c>
      <c r="G1010">
        <v>6.9625000000000004</v>
      </c>
      <c r="H1010">
        <v>0.33300000000000002</v>
      </c>
    </row>
    <row r="1011" spans="1:8" x14ac:dyDescent="0.25">
      <c r="A1011" t="s">
        <v>1017</v>
      </c>
      <c r="B1011">
        <v>4382</v>
      </c>
      <c r="C1011">
        <v>7896283001260</v>
      </c>
      <c r="D1011">
        <v>11.9</v>
      </c>
      <c r="E1011">
        <v>7.51</v>
      </c>
      <c r="F1011" s="3">
        <v>0.3332</v>
      </c>
      <c r="G1011">
        <v>6.8341000000000003</v>
      </c>
      <c r="H1011">
        <v>0.1</v>
      </c>
    </row>
    <row r="1012" spans="1:8" x14ac:dyDescent="0.25">
      <c r="A1012" t="s">
        <v>1018</v>
      </c>
      <c r="B1012">
        <v>65441</v>
      </c>
      <c r="C1012">
        <v>7896256065527</v>
      </c>
      <c r="D1012">
        <v>15.9</v>
      </c>
      <c r="E1012">
        <v>10.93</v>
      </c>
      <c r="F1012" s="3">
        <v>0.2515</v>
      </c>
      <c r="G1012">
        <v>10.4308</v>
      </c>
      <c r="H1012">
        <v>0.56699999999999995</v>
      </c>
    </row>
    <row r="1013" spans="1:8" x14ac:dyDescent="0.25">
      <c r="A1013" t="s">
        <v>1019</v>
      </c>
      <c r="B1013">
        <v>31056</v>
      </c>
      <c r="C1013">
        <v>7891000109298</v>
      </c>
      <c r="D1013">
        <v>2.9</v>
      </c>
      <c r="E1013">
        <v>2.02</v>
      </c>
      <c r="F1013" s="3">
        <v>0.28550000000000003</v>
      </c>
      <c r="G1013">
        <v>1.8037000000000001</v>
      </c>
      <c r="H1013">
        <v>8.8670000000000009</v>
      </c>
    </row>
    <row r="1014" spans="1:8" x14ac:dyDescent="0.25">
      <c r="A1014" t="s">
        <v>1020</v>
      </c>
      <c r="B1014">
        <v>38726</v>
      </c>
      <c r="C1014">
        <v>8008698013021</v>
      </c>
      <c r="D1014">
        <v>21.9</v>
      </c>
      <c r="E1014">
        <v>14.74</v>
      </c>
      <c r="F1014" s="3">
        <v>0.29799999999999999</v>
      </c>
      <c r="G1014">
        <v>13.347099999999999</v>
      </c>
      <c r="H1014">
        <v>0.4</v>
      </c>
    </row>
    <row r="1015" spans="1:8" x14ac:dyDescent="0.25">
      <c r="A1015" t="s">
        <v>1021</v>
      </c>
      <c r="B1015">
        <v>7347</v>
      </c>
      <c r="C1015">
        <v>7897327901607</v>
      </c>
      <c r="D1015">
        <v>21.9</v>
      </c>
      <c r="E1015">
        <v>14.29</v>
      </c>
      <c r="F1015" s="3">
        <v>0.31519999999999998</v>
      </c>
      <c r="G1015">
        <v>12.9711</v>
      </c>
      <c r="H1015">
        <v>1.633</v>
      </c>
    </row>
    <row r="1016" spans="1:8" x14ac:dyDescent="0.25">
      <c r="A1016" t="s">
        <v>1022</v>
      </c>
      <c r="B1016">
        <v>7352</v>
      </c>
      <c r="C1016">
        <v>7897327901621</v>
      </c>
      <c r="D1016">
        <v>21.9</v>
      </c>
      <c r="E1016">
        <v>14.28</v>
      </c>
      <c r="F1016" s="3">
        <v>0.31540000000000001</v>
      </c>
      <c r="G1016">
        <v>12.967599999999999</v>
      </c>
      <c r="H1016">
        <v>2.9</v>
      </c>
    </row>
    <row r="1017" spans="1:8" x14ac:dyDescent="0.25">
      <c r="A1017" t="s">
        <v>1023</v>
      </c>
      <c r="B1017">
        <v>37383</v>
      </c>
      <c r="C1017">
        <v>7897327901775</v>
      </c>
      <c r="D1017">
        <v>21.9</v>
      </c>
      <c r="E1017">
        <v>14.29</v>
      </c>
      <c r="F1017" s="3">
        <v>0.31540000000000001</v>
      </c>
      <c r="G1017">
        <v>12.9681</v>
      </c>
      <c r="H1017">
        <v>1.4330000000000001</v>
      </c>
    </row>
    <row r="1018" spans="1:8" x14ac:dyDescent="0.25">
      <c r="A1018" t="s">
        <v>1024</v>
      </c>
      <c r="B1018">
        <v>7350</v>
      </c>
      <c r="C1018">
        <v>7897327901614</v>
      </c>
      <c r="D1018">
        <v>21.9</v>
      </c>
      <c r="E1018">
        <v>14.28</v>
      </c>
      <c r="F1018" s="3">
        <v>0.31590000000000001</v>
      </c>
      <c r="G1018">
        <v>12.956200000000001</v>
      </c>
      <c r="H1018">
        <v>1.833</v>
      </c>
    </row>
    <row r="1019" spans="1:8" x14ac:dyDescent="0.25">
      <c r="A1019" t="s">
        <v>1025</v>
      </c>
      <c r="B1019">
        <v>62766</v>
      </c>
      <c r="C1019">
        <v>7898697540649</v>
      </c>
      <c r="D1019">
        <v>6.29</v>
      </c>
      <c r="E1019">
        <v>4.2</v>
      </c>
      <c r="F1019" s="3">
        <v>0.30199999999999999</v>
      </c>
      <c r="G1019">
        <v>3.8088000000000002</v>
      </c>
      <c r="H1019">
        <v>1.8</v>
      </c>
    </row>
    <row r="1020" spans="1:8" x14ac:dyDescent="0.25">
      <c r="A1020" t="s">
        <v>1026</v>
      </c>
      <c r="B1020">
        <v>62767</v>
      </c>
      <c r="C1020">
        <v>7898697540632</v>
      </c>
      <c r="D1020">
        <v>6.29</v>
      </c>
      <c r="E1020">
        <v>4.2</v>
      </c>
      <c r="F1020" s="3">
        <v>0.3014</v>
      </c>
      <c r="G1020">
        <v>3.8125</v>
      </c>
      <c r="H1020">
        <v>1.9670000000000001</v>
      </c>
    </row>
    <row r="1021" spans="1:8" x14ac:dyDescent="0.25">
      <c r="A1021" t="s">
        <v>1027</v>
      </c>
      <c r="B1021">
        <v>67180</v>
      </c>
      <c r="C1021">
        <v>7702025130467</v>
      </c>
      <c r="D1021">
        <v>5.99</v>
      </c>
      <c r="E1021">
        <v>3.97</v>
      </c>
      <c r="F1021" s="3">
        <v>0.26600000000000001</v>
      </c>
      <c r="G1021">
        <v>3.8426</v>
      </c>
      <c r="H1021">
        <v>9.3330000000000002</v>
      </c>
    </row>
    <row r="1022" spans="1:8" x14ac:dyDescent="0.25">
      <c r="A1022" t="s">
        <v>1028</v>
      </c>
      <c r="B1022">
        <v>67181</v>
      </c>
      <c r="C1022">
        <v>7702025117017</v>
      </c>
      <c r="D1022">
        <v>6.9</v>
      </c>
      <c r="E1022">
        <v>4.42</v>
      </c>
      <c r="F1022" s="3">
        <v>0.29139999999999999</v>
      </c>
      <c r="G1022">
        <v>4.2514000000000003</v>
      </c>
      <c r="H1022">
        <v>7.1669999999999998</v>
      </c>
    </row>
    <row r="1023" spans="1:8" x14ac:dyDescent="0.25">
      <c r="A1023" t="s">
        <v>1029</v>
      </c>
      <c r="B1023">
        <v>65160</v>
      </c>
      <c r="C1023">
        <v>7702025189250</v>
      </c>
      <c r="D1023">
        <v>14.09</v>
      </c>
      <c r="E1023">
        <v>10.32</v>
      </c>
      <c r="F1023" s="3">
        <v>0.24059999999999998</v>
      </c>
      <c r="G1023">
        <v>9.3984000000000005</v>
      </c>
      <c r="H1023">
        <v>0.433</v>
      </c>
    </row>
    <row r="1024" spans="1:8" x14ac:dyDescent="0.25">
      <c r="A1024" t="s">
        <v>1030</v>
      </c>
      <c r="B1024">
        <v>65159</v>
      </c>
      <c r="C1024">
        <v>7702025125746</v>
      </c>
      <c r="D1024">
        <v>13.9</v>
      </c>
      <c r="E1024">
        <v>10.44</v>
      </c>
      <c r="F1024" s="3">
        <v>0.2039</v>
      </c>
      <c r="G1024">
        <v>9.7803000000000004</v>
      </c>
      <c r="H1024">
        <v>2</v>
      </c>
    </row>
    <row r="1025" spans="1:8" x14ac:dyDescent="0.25">
      <c r="A1025" t="s">
        <v>1031</v>
      </c>
      <c r="B1025">
        <v>67182</v>
      </c>
      <c r="C1025">
        <v>7702025145591</v>
      </c>
      <c r="D1025">
        <v>5.49</v>
      </c>
      <c r="E1025">
        <v>3.75</v>
      </c>
      <c r="F1025" s="3">
        <v>0.251</v>
      </c>
      <c r="G1025">
        <v>3.6042000000000001</v>
      </c>
      <c r="H1025">
        <v>9.1669999999999998</v>
      </c>
    </row>
    <row r="1026" spans="1:8" x14ac:dyDescent="0.25">
      <c r="A1026" t="s">
        <v>1032</v>
      </c>
      <c r="B1026">
        <v>54954</v>
      </c>
      <c r="C1026">
        <v>7896011102573</v>
      </c>
      <c r="D1026">
        <v>7.9</v>
      </c>
      <c r="E1026">
        <v>5.25</v>
      </c>
      <c r="F1026" s="3">
        <v>0.28079999999999999</v>
      </c>
      <c r="G1026">
        <v>4.3979999999999997</v>
      </c>
      <c r="H1026">
        <v>1.5</v>
      </c>
    </row>
    <row r="1027" spans="1:8" x14ac:dyDescent="0.25">
      <c r="A1027" t="s">
        <v>1033</v>
      </c>
      <c r="B1027">
        <v>48252</v>
      </c>
      <c r="C1027">
        <v>7896496917501</v>
      </c>
      <c r="D1027">
        <v>10.9</v>
      </c>
      <c r="E1027">
        <v>7.08</v>
      </c>
      <c r="F1027" s="3">
        <v>0.31679999999999997</v>
      </c>
      <c r="G1027">
        <v>6.4390000000000001</v>
      </c>
      <c r="H1027">
        <v>1.3</v>
      </c>
    </row>
    <row r="1028" spans="1:8" x14ac:dyDescent="0.25">
      <c r="A1028" t="s">
        <v>1034</v>
      </c>
      <c r="B1028">
        <v>68012</v>
      </c>
      <c r="C1028">
        <v>7891962075235</v>
      </c>
      <c r="D1028">
        <v>2.99</v>
      </c>
      <c r="E1028">
        <v>2.13</v>
      </c>
      <c r="F1028" s="3">
        <v>0.23860000000000001</v>
      </c>
      <c r="G1028">
        <v>1.7907</v>
      </c>
      <c r="H1028">
        <v>19.399999999999999</v>
      </c>
    </row>
    <row r="1029" spans="1:8" x14ac:dyDescent="0.25">
      <c r="A1029" t="s">
        <v>1035</v>
      </c>
      <c r="B1029">
        <v>68011</v>
      </c>
      <c r="C1029">
        <v>7891962075228</v>
      </c>
      <c r="D1029">
        <v>2.99</v>
      </c>
      <c r="E1029">
        <v>2.11</v>
      </c>
      <c r="F1029" s="3">
        <v>0.23989999999999997</v>
      </c>
      <c r="G1029">
        <v>1.7867999999999999</v>
      </c>
      <c r="H1029">
        <v>32.799999999999997</v>
      </c>
    </row>
    <row r="1030" spans="1:8" x14ac:dyDescent="0.25">
      <c r="A1030" t="s">
        <v>1036</v>
      </c>
      <c r="B1030">
        <v>31908</v>
      </c>
      <c r="C1030">
        <v>7896213006310</v>
      </c>
      <c r="D1030">
        <v>6.9</v>
      </c>
      <c r="E1030">
        <v>4.9800000000000004</v>
      </c>
      <c r="F1030" s="3">
        <v>0.23329999999999998</v>
      </c>
      <c r="G1030">
        <v>4.1688000000000001</v>
      </c>
      <c r="H1030">
        <v>1.248</v>
      </c>
    </row>
    <row r="1031" spans="1:8" x14ac:dyDescent="0.25">
      <c r="A1031" t="s">
        <v>1037</v>
      </c>
      <c r="B1031">
        <v>31907</v>
      </c>
      <c r="C1031">
        <v>7896213006327</v>
      </c>
      <c r="D1031">
        <v>6.9</v>
      </c>
      <c r="E1031">
        <v>5.12</v>
      </c>
      <c r="F1031" s="3">
        <v>0.22870000000000001</v>
      </c>
      <c r="G1031">
        <v>4.2007000000000003</v>
      </c>
      <c r="H1031">
        <v>4.1669999999999998</v>
      </c>
    </row>
    <row r="1032" spans="1:8" x14ac:dyDescent="0.25">
      <c r="A1032" t="s">
        <v>1038</v>
      </c>
      <c r="B1032">
        <v>38730</v>
      </c>
      <c r="C1032">
        <v>8008698003503</v>
      </c>
      <c r="D1032">
        <v>45.9</v>
      </c>
      <c r="E1032">
        <v>27.22</v>
      </c>
      <c r="F1032" s="3">
        <v>0.29609999999999997</v>
      </c>
      <c r="G1032">
        <v>19.8019</v>
      </c>
      <c r="H1032">
        <v>0.76700000000000002</v>
      </c>
    </row>
    <row r="1033" spans="1:8" x14ac:dyDescent="0.25">
      <c r="A1033" t="s">
        <v>1039</v>
      </c>
      <c r="B1033">
        <v>58768</v>
      </c>
      <c r="C1033">
        <v>5601008100119</v>
      </c>
      <c r="D1033">
        <v>6.9</v>
      </c>
      <c r="E1033">
        <v>4.51</v>
      </c>
      <c r="F1033" s="3">
        <v>0.31469999999999998</v>
      </c>
      <c r="G1033">
        <v>4.09</v>
      </c>
      <c r="H1033">
        <v>0.86699999999999999</v>
      </c>
    </row>
    <row r="1034" spans="1:8" x14ac:dyDescent="0.25">
      <c r="A1034" t="s">
        <v>1040</v>
      </c>
      <c r="B1034">
        <v>31901</v>
      </c>
      <c r="C1034">
        <v>7896213006235</v>
      </c>
      <c r="D1034">
        <v>6.9</v>
      </c>
      <c r="E1034">
        <v>4.57</v>
      </c>
      <c r="F1034" s="3">
        <v>0.28289999999999998</v>
      </c>
      <c r="G1034">
        <v>3.8264</v>
      </c>
      <c r="H1034">
        <v>16.933</v>
      </c>
    </row>
    <row r="1035" spans="1:8" x14ac:dyDescent="0.25">
      <c r="A1035" t="s">
        <v>1041</v>
      </c>
      <c r="B1035">
        <v>67259</v>
      </c>
      <c r="C1035">
        <v>7896213006631</v>
      </c>
      <c r="D1035">
        <v>7.49</v>
      </c>
      <c r="E1035">
        <v>4.82</v>
      </c>
      <c r="F1035" s="3">
        <v>0.2989</v>
      </c>
      <c r="G1035">
        <v>4.0342000000000002</v>
      </c>
      <c r="H1035">
        <v>1.5329999999999999</v>
      </c>
    </row>
    <row r="1036" spans="1:8" x14ac:dyDescent="0.25">
      <c r="A1036" t="s">
        <v>1042</v>
      </c>
      <c r="B1036">
        <v>48401</v>
      </c>
      <c r="C1036">
        <v>7896043001431</v>
      </c>
      <c r="D1036">
        <v>21.9</v>
      </c>
      <c r="E1036">
        <v>14.83</v>
      </c>
      <c r="F1036" s="3">
        <v>0.29299999999999998</v>
      </c>
      <c r="G1036">
        <v>13.4575</v>
      </c>
      <c r="H1036">
        <v>0.1</v>
      </c>
    </row>
    <row r="1037" spans="1:8" x14ac:dyDescent="0.25">
      <c r="A1037" t="s">
        <v>1043</v>
      </c>
      <c r="B1037">
        <v>48400</v>
      </c>
      <c r="C1037">
        <v>7896043001400</v>
      </c>
      <c r="D1037">
        <v>21.9</v>
      </c>
      <c r="E1037">
        <v>14.81</v>
      </c>
      <c r="F1037" s="3">
        <v>0.29449999999999998</v>
      </c>
      <c r="G1037">
        <v>13.4237</v>
      </c>
      <c r="H1037">
        <v>3.3000000000000002E-2</v>
      </c>
    </row>
    <row r="1038" spans="1:8" x14ac:dyDescent="0.25">
      <c r="A1038" t="s">
        <v>1044</v>
      </c>
      <c r="B1038">
        <v>8943</v>
      </c>
      <c r="C1038">
        <v>7896196061481</v>
      </c>
      <c r="D1038">
        <v>19.899999999999999</v>
      </c>
      <c r="E1038">
        <v>13.58</v>
      </c>
      <c r="F1038" s="3">
        <v>0.28839999999999999</v>
      </c>
      <c r="G1038">
        <v>12.32</v>
      </c>
      <c r="H1038">
        <v>0.26700000000000002</v>
      </c>
    </row>
    <row r="1039" spans="1:8" x14ac:dyDescent="0.25">
      <c r="A1039" t="s">
        <v>1045</v>
      </c>
      <c r="B1039">
        <v>67648</v>
      </c>
      <c r="C1039">
        <v>7896196061474</v>
      </c>
      <c r="D1039">
        <v>19.899999999999999</v>
      </c>
      <c r="E1039">
        <v>13.58</v>
      </c>
      <c r="F1039" s="3">
        <v>0.28839999999999999</v>
      </c>
      <c r="G1039">
        <v>12.32</v>
      </c>
      <c r="H1039">
        <v>0.23300000000000001</v>
      </c>
    </row>
    <row r="1040" spans="1:8" x14ac:dyDescent="0.25">
      <c r="A1040" t="s">
        <v>1046</v>
      </c>
      <c r="B1040">
        <v>58174</v>
      </c>
      <c r="C1040">
        <v>7702025119479</v>
      </c>
      <c r="D1040">
        <v>7.32</v>
      </c>
      <c r="E1040">
        <v>8.23</v>
      </c>
      <c r="F1040" s="3">
        <v>-0.1188</v>
      </c>
      <c r="G1040">
        <v>7.5153999999999996</v>
      </c>
      <c r="H1040">
        <v>0.93600000000000005</v>
      </c>
    </row>
    <row r="1041" spans="1:8" x14ac:dyDescent="0.25">
      <c r="A1041" t="s">
        <v>1047</v>
      </c>
      <c r="B1041">
        <v>65442</v>
      </c>
      <c r="C1041">
        <v>7896256066166</v>
      </c>
      <c r="D1041">
        <v>11.9</v>
      </c>
      <c r="E1041">
        <v>7.56</v>
      </c>
      <c r="F1041" s="3">
        <v>0.32369999999999999</v>
      </c>
      <c r="G1041">
        <v>6.9471999999999996</v>
      </c>
      <c r="H1041">
        <v>0.63300000000000001</v>
      </c>
    </row>
    <row r="1042" spans="1:8" x14ac:dyDescent="0.25">
      <c r="A1042" t="s">
        <v>1048</v>
      </c>
      <c r="B1042">
        <v>4375</v>
      </c>
      <c r="C1042">
        <v>7892840267940</v>
      </c>
      <c r="D1042">
        <v>4.49</v>
      </c>
      <c r="E1042">
        <v>3.17</v>
      </c>
      <c r="F1042" s="3">
        <v>0.2888</v>
      </c>
      <c r="G1042">
        <v>2.7776999999999998</v>
      </c>
      <c r="H1042">
        <v>15.032999999999999</v>
      </c>
    </row>
    <row r="1043" spans="1:8" x14ac:dyDescent="0.25">
      <c r="A1043" t="s">
        <v>1049</v>
      </c>
      <c r="B1043">
        <v>41583</v>
      </c>
      <c r="C1043">
        <v>7702025123513</v>
      </c>
      <c r="D1043">
        <v>13.8</v>
      </c>
      <c r="E1043">
        <v>9.51</v>
      </c>
      <c r="F1043" s="3">
        <v>0.26219999999999999</v>
      </c>
      <c r="G1043">
        <v>8.9048999999999996</v>
      </c>
      <c r="H1043">
        <v>6.4329999999999998</v>
      </c>
    </row>
    <row r="1044" spans="1:8" x14ac:dyDescent="0.25">
      <c r="A1044" t="s">
        <v>1050</v>
      </c>
      <c r="B1044">
        <v>50678</v>
      </c>
      <c r="C1044">
        <v>7702025132782</v>
      </c>
      <c r="D1044">
        <v>15.99</v>
      </c>
      <c r="E1044">
        <v>11.79</v>
      </c>
      <c r="F1044" s="3">
        <v>0.22010000000000002</v>
      </c>
      <c r="G1044">
        <v>10.9915</v>
      </c>
      <c r="H1044">
        <v>11.333</v>
      </c>
    </row>
    <row r="1045" spans="1:8" x14ac:dyDescent="0.25">
      <c r="A1045" t="s">
        <v>1051</v>
      </c>
      <c r="B1045">
        <v>66482</v>
      </c>
      <c r="C1045">
        <v>5900352015118</v>
      </c>
      <c r="D1045">
        <v>26.9</v>
      </c>
      <c r="E1045">
        <v>18.079999999999998</v>
      </c>
      <c r="F1045" s="3">
        <v>0.29760000000000003</v>
      </c>
      <c r="G1045">
        <v>16.407599999999999</v>
      </c>
      <c r="H1045">
        <v>0.66700000000000004</v>
      </c>
    </row>
    <row r="1046" spans="1:8" x14ac:dyDescent="0.25">
      <c r="A1046" t="s">
        <v>1052</v>
      </c>
      <c r="B1046">
        <v>9236</v>
      </c>
      <c r="C1046">
        <v>8410376037883</v>
      </c>
      <c r="D1046">
        <v>21.9</v>
      </c>
      <c r="E1046">
        <v>16.690000000000001</v>
      </c>
      <c r="F1046" s="3">
        <v>0.19699999999999998</v>
      </c>
      <c r="G1046">
        <v>15.5594</v>
      </c>
      <c r="H1046">
        <v>0.46700000000000003</v>
      </c>
    </row>
    <row r="1047" spans="1:8" x14ac:dyDescent="0.25">
      <c r="A1047" t="s">
        <v>1053</v>
      </c>
      <c r="B1047">
        <v>23712</v>
      </c>
      <c r="C1047">
        <v>8410376017342</v>
      </c>
      <c r="D1047">
        <v>29.9</v>
      </c>
      <c r="E1047">
        <v>22.24</v>
      </c>
      <c r="F1047" s="3">
        <v>0.24460000000000001</v>
      </c>
      <c r="G1047">
        <v>19.819400000000002</v>
      </c>
      <c r="H1047">
        <v>6.7000000000000004E-2</v>
      </c>
    </row>
    <row r="1048" spans="1:8" x14ac:dyDescent="0.25">
      <c r="A1048" t="s">
        <v>1054</v>
      </c>
      <c r="B1048">
        <v>23711</v>
      </c>
      <c r="C1048">
        <v>8410376036169</v>
      </c>
      <c r="D1048">
        <v>34.9</v>
      </c>
      <c r="E1048">
        <v>24.67</v>
      </c>
      <c r="F1048" s="3">
        <v>0.2132</v>
      </c>
      <c r="G1048">
        <v>17.95</v>
      </c>
      <c r="H1048">
        <v>0.2</v>
      </c>
    </row>
    <row r="1049" spans="1:8" x14ac:dyDescent="0.25">
      <c r="A1049" t="s">
        <v>1055</v>
      </c>
      <c r="B1049">
        <v>4399</v>
      </c>
      <c r="C1049">
        <v>7793450000852</v>
      </c>
      <c r="D1049">
        <v>10.9</v>
      </c>
      <c r="E1049">
        <v>6.86</v>
      </c>
      <c r="F1049" s="3">
        <v>0.3276</v>
      </c>
      <c r="G1049">
        <v>6.3209</v>
      </c>
      <c r="H1049">
        <v>3.133</v>
      </c>
    </row>
    <row r="1050" spans="1:8" x14ac:dyDescent="0.25">
      <c r="A1050" t="s">
        <v>1056</v>
      </c>
      <c r="B1050">
        <v>4400</v>
      </c>
      <c r="C1050">
        <v>7793450000869</v>
      </c>
      <c r="D1050">
        <v>10.9</v>
      </c>
      <c r="E1050">
        <v>7.04</v>
      </c>
      <c r="F1050" s="3">
        <v>0.32130000000000003</v>
      </c>
      <c r="G1050">
        <v>6.3891999999999998</v>
      </c>
      <c r="H1050">
        <v>4.9329999999999998</v>
      </c>
    </row>
    <row r="1051" spans="1:8" x14ac:dyDescent="0.25">
      <c r="A1051" t="s">
        <v>1057</v>
      </c>
      <c r="B1051">
        <v>4401</v>
      </c>
      <c r="C1051">
        <v>7793450000845</v>
      </c>
      <c r="D1051">
        <v>10.9</v>
      </c>
      <c r="E1051">
        <v>7.04</v>
      </c>
      <c r="F1051" s="3">
        <v>0.32140000000000002</v>
      </c>
      <c r="G1051">
        <v>6.3887999999999998</v>
      </c>
      <c r="H1051">
        <v>1.9670000000000001</v>
      </c>
    </row>
    <row r="1052" spans="1:8" x14ac:dyDescent="0.25">
      <c r="A1052" t="s">
        <v>1058</v>
      </c>
      <c r="B1052">
        <v>62252</v>
      </c>
      <c r="C1052">
        <v>7896283007415</v>
      </c>
      <c r="D1052">
        <v>5.49</v>
      </c>
      <c r="E1052">
        <v>3.48</v>
      </c>
      <c r="F1052" s="3">
        <v>0.33039999999999997</v>
      </c>
      <c r="G1052">
        <v>3.1684999999999999</v>
      </c>
      <c r="H1052">
        <v>3.3</v>
      </c>
    </row>
    <row r="1053" spans="1:8" x14ac:dyDescent="0.25">
      <c r="A1053" t="s">
        <v>1059</v>
      </c>
      <c r="B1053">
        <v>62251</v>
      </c>
      <c r="C1053">
        <v>7896283007392</v>
      </c>
      <c r="D1053">
        <v>5.49</v>
      </c>
      <c r="E1053">
        <v>3.42</v>
      </c>
      <c r="F1053" s="3">
        <v>0.34020000000000006</v>
      </c>
      <c r="G1053">
        <v>3.1145999999999998</v>
      </c>
      <c r="H1053">
        <v>2.5329999999999999</v>
      </c>
    </row>
    <row r="1054" spans="1:8" x14ac:dyDescent="0.25">
      <c r="A1054" t="s">
        <v>1060</v>
      </c>
      <c r="B1054">
        <v>62253</v>
      </c>
      <c r="C1054">
        <v>7896283007408</v>
      </c>
      <c r="D1054">
        <v>5.49</v>
      </c>
      <c r="E1054">
        <v>3.48</v>
      </c>
      <c r="F1054" s="3">
        <v>0.34560000000000002</v>
      </c>
      <c r="G1054">
        <v>3.0847000000000002</v>
      </c>
      <c r="H1054">
        <v>1.633</v>
      </c>
    </row>
    <row r="1055" spans="1:8" x14ac:dyDescent="0.25">
      <c r="A1055" t="s">
        <v>1061</v>
      </c>
      <c r="B1055">
        <v>56243</v>
      </c>
      <c r="C1055">
        <v>7896001282209</v>
      </c>
      <c r="D1055">
        <v>0</v>
      </c>
      <c r="E1055">
        <v>4.6500000000000004</v>
      </c>
      <c r="F1055" s="3">
        <v>0</v>
      </c>
      <c r="G1055">
        <v>4.2469999999999999</v>
      </c>
      <c r="H1055">
        <v>0.33300000000000002</v>
      </c>
    </row>
    <row r="1056" spans="1:8" x14ac:dyDescent="0.25">
      <c r="A1056" t="s">
        <v>1062</v>
      </c>
      <c r="B1056">
        <v>56245</v>
      </c>
      <c r="C1056">
        <v>7896001282216</v>
      </c>
      <c r="D1056">
        <v>0</v>
      </c>
      <c r="E1056">
        <v>4.72</v>
      </c>
      <c r="F1056" s="3">
        <v>0</v>
      </c>
      <c r="G1056">
        <v>4.2873999999999999</v>
      </c>
      <c r="H1056">
        <v>1.8280000000000001</v>
      </c>
    </row>
    <row r="1057" spans="1:8" x14ac:dyDescent="0.25">
      <c r="A1057" t="s">
        <v>1063</v>
      </c>
      <c r="B1057">
        <v>14251</v>
      </c>
      <c r="C1057">
        <v>8852008300000</v>
      </c>
      <c r="D1057">
        <v>19.899999999999999</v>
      </c>
      <c r="E1057">
        <v>10.8</v>
      </c>
      <c r="F1057" s="3">
        <v>0.41499999999999998</v>
      </c>
      <c r="G1057">
        <v>9.8010000000000002</v>
      </c>
      <c r="H1057">
        <v>1.5</v>
      </c>
    </row>
    <row r="1058" spans="1:8" x14ac:dyDescent="0.25">
      <c r="A1058" t="s">
        <v>1064</v>
      </c>
      <c r="B1058">
        <v>32014</v>
      </c>
      <c r="C1058">
        <v>8852008300031</v>
      </c>
      <c r="D1058">
        <v>19.899999999999999</v>
      </c>
      <c r="E1058">
        <v>10.8</v>
      </c>
      <c r="F1058" s="3">
        <v>0.41499999999999998</v>
      </c>
      <c r="G1058">
        <v>9.8010000000000002</v>
      </c>
      <c r="H1058">
        <v>0.63300000000000001</v>
      </c>
    </row>
    <row r="1059" spans="1:8" x14ac:dyDescent="0.25">
      <c r="A1059" t="s">
        <v>1065</v>
      </c>
      <c r="B1059">
        <v>69330</v>
      </c>
      <c r="C1059">
        <v>5060886820258</v>
      </c>
      <c r="D1059">
        <v>19.899999999999999</v>
      </c>
      <c r="E1059">
        <v>12.08</v>
      </c>
      <c r="F1059" s="3">
        <v>0.28610000000000002</v>
      </c>
      <c r="G1059">
        <v>8.7845999999999993</v>
      </c>
      <c r="H1059">
        <v>0.33300000000000002</v>
      </c>
    </row>
    <row r="1060" spans="1:8" x14ac:dyDescent="0.25">
      <c r="A1060" t="s">
        <v>1066</v>
      </c>
      <c r="B1060">
        <v>69328</v>
      </c>
      <c r="C1060">
        <v>5060886820272</v>
      </c>
      <c r="D1060">
        <v>19.899999999999999</v>
      </c>
      <c r="E1060">
        <v>12.08</v>
      </c>
      <c r="F1060" s="3">
        <v>0.28610000000000002</v>
      </c>
      <c r="G1060">
        <v>8.7845999999999993</v>
      </c>
      <c r="H1060">
        <v>0.2</v>
      </c>
    </row>
    <row r="1061" spans="1:8" x14ac:dyDescent="0.25">
      <c r="A1061" t="s">
        <v>1067</v>
      </c>
      <c r="B1061">
        <v>69329</v>
      </c>
      <c r="C1061">
        <v>5060886820265</v>
      </c>
      <c r="D1061">
        <v>19.899999999999999</v>
      </c>
      <c r="E1061">
        <v>12.08</v>
      </c>
      <c r="F1061" s="3">
        <v>0.28610000000000002</v>
      </c>
      <c r="G1061">
        <v>8.7845999999999993</v>
      </c>
      <c r="H1061">
        <v>0.46700000000000003</v>
      </c>
    </row>
    <row r="1062" spans="1:8" x14ac:dyDescent="0.25">
      <c r="A1062" t="s">
        <v>1068</v>
      </c>
      <c r="B1062">
        <v>64449</v>
      </c>
      <c r="C1062">
        <v>7896292002784</v>
      </c>
      <c r="D1062">
        <v>11.9</v>
      </c>
      <c r="E1062">
        <v>7.15</v>
      </c>
      <c r="F1062" s="3">
        <v>0.36229999999999996</v>
      </c>
      <c r="G1062">
        <v>6.4881000000000002</v>
      </c>
      <c r="H1062">
        <v>1.3</v>
      </c>
    </row>
    <row r="1063" spans="1:8" x14ac:dyDescent="0.25">
      <c r="A1063" t="s">
        <v>1069</v>
      </c>
      <c r="B1063">
        <v>65437</v>
      </c>
      <c r="C1063">
        <v>7896256066241</v>
      </c>
      <c r="D1063">
        <v>9.99</v>
      </c>
      <c r="E1063">
        <v>5.9</v>
      </c>
      <c r="F1063" s="3">
        <v>0.29770000000000002</v>
      </c>
      <c r="G1063">
        <v>4.2941000000000003</v>
      </c>
      <c r="H1063">
        <v>1.833</v>
      </c>
    </row>
    <row r="1064" spans="1:8" x14ac:dyDescent="0.25">
      <c r="A1064" t="s">
        <v>1070</v>
      </c>
      <c r="B1064">
        <v>31915</v>
      </c>
      <c r="C1064">
        <v>7896213006396</v>
      </c>
      <c r="D1064">
        <v>6.9</v>
      </c>
      <c r="E1064">
        <v>4.59</v>
      </c>
      <c r="F1064" s="3">
        <v>0.28249999999999997</v>
      </c>
      <c r="G1064">
        <v>3.8294999999999999</v>
      </c>
      <c r="H1064">
        <v>13.833</v>
      </c>
    </row>
    <row r="1065" spans="1:8" x14ac:dyDescent="0.25">
      <c r="A1065" t="s">
        <v>1071</v>
      </c>
      <c r="B1065">
        <v>31916</v>
      </c>
      <c r="C1065">
        <v>7896213006402</v>
      </c>
      <c r="D1065">
        <v>6.9</v>
      </c>
      <c r="E1065">
        <v>4.4400000000000004</v>
      </c>
      <c r="F1065" s="3">
        <v>0.29760000000000003</v>
      </c>
      <c r="G1065">
        <v>3.7250000000000001</v>
      </c>
      <c r="H1065">
        <v>4.5670000000000002</v>
      </c>
    </row>
    <row r="1066" spans="1:8" x14ac:dyDescent="0.25">
      <c r="A1066" t="s">
        <v>1072</v>
      </c>
      <c r="B1066">
        <v>31918</v>
      </c>
      <c r="C1066">
        <v>7896213006426</v>
      </c>
      <c r="D1066">
        <v>6.9</v>
      </c>
      <c r="E1066">
        <v>4.54</v>
      </c>
      <c r="F1066" s="3">
        <v>0.28620000000000001</v>
      </c>
      <c r="G1066">
        <v>3.8037999999999998</v>
      </c>
      <c r="H1066">
        <v>12.867000000000001</v>
      </c>
    </row>
    <row r="1067" spans="1:8" x14ac:dyDescent="0.25">
      <c r="A1067" t="s">
        <v>1073</v>
      </c>
      <c r="B1067">
        <v>38734</v>
      </c>
      <c r="C1067">
        <v>8008698010402</v>
      </c>
      <c r="D1067">
        <v>26.9</v>
      </c>
      <c r="E1067">
        <v>15.77</v>
      </c>
      <c r="F1067" s="3">
        <v>0.30109999999999998</v>
      </c>
      <c r="G1067">
        <v>11.471399999999999</v>
      </c>
      <c r="H1067">
        <v>0.2</v>
      </c>
    </row>
    <row r="1068" spans="1:8" x14ac:dyDescent="0.25">
      <c r="A1068" t="s">
        <v>1074</v>
      </c>
      <c r="B1068">
        <v>31914</v>
      </c>
      <c r="C1068">
        <v>7896213006389</v>
      </c>
      <c r="D1068">
        <v>6.9</v>
      </c>
      <c r="E1068">
        <v>4.43</v>
      </c>
      <c r="F1068" s="3">
        <v>0.30180000000000001</v>
      </c>
      <c r="G1068">
        <v>3.6960999999999999</v>
      </c>
      <c r="H1068">
        <v>3.5</v>
      </c>
    </row>
    <row r="1069" spans="1:8" x14ac:dyDescent="0.25">
      <c r="A1069" t="s">
        <v>1075</v>
      </c>
      <c r="B1069">
        <v>31911</v>
      </c>
      <c r="C1069">
        <v>7896213006358</v>
      </c>
      <c r="D1069">
        <v>6.9</v>
      </c>
      <c r="E1069">
        <v>4.5</v>
      </c>
      <c r="F1069" s="3">
        <v>0.28960000000000002</v>
      </c>
      <c r="G1069">
        <v>3.7808000000000002</v>
      </c>
      <c r="H1069">
        <v>5.2</v>
      </c>
    </row>
    <row r="1070" spans="1:8" x14ac:dyDescent="0.25">
      <c r="A1070" t="s">
        <v>1076</v>
      </c>
      <c r="B1070">
        <v>64003</v>
      </c>
      <c r="C1070">
        <v>7896003738568</v>
      </c>
      <c r="D1070">
        <v>7.49</v>
      </c>
      <c r="E1070">
        <v>4.7699999999999996</v>
      </c>
      <c r="F1070" s="3">
        <v>0.30349999999999999</v>
      </c>
      <c r="G1070">
        <v>3.9992999999999999</v>
      </c>
      <c r="H1070">
        <v>3.0329999999999999</v>
      </c>
    </row>
    <row r="1071" spans="1:8" x14ac:dyDescent="0.25">
      <c r="A1071" t="s">
        <v>1077</v>
      </c>
      <c r="B1071">
        <v>63996</v>
      </c>
      <c r="C1071">
        <v>7896003739305</v>
      </c>
      <c r="D1071">
        <v>2.29</v>
      </c>
      <c r="E1071">
        <v>1.49</v>
      </c>
      <c r="F1071" s="3">
        <v>0.31670000000000004</v>
      </c>
      <c r="G1071">
        <v>1.353</v>
      </c>
      <c r="H1071">
        <v>0.66700000000000004</v>
      </c>
    </row>
    <row r="1072" spans="1:8" x14ac:dyDescent="0.25">
      <c r="A1072" t="s">
        <v>1078</v>
      </c>
      <c r="B1072">
        <v>63994</v>
      </c>
      <c r="C1072">
        <v>7896003739350</v>
      </c>
      <c r="D1072">
        <v>2.29</v>
      </c>
      <c r="E1072">
        <v>1.49</v>
      </c>
      <c r="F1072" s="3">
        <v>0.31659999999999999</v>
      </c>
      <c r="G1072">
        <v>1.3531</v>
      </c>
      <c r="H1072">
        <v>2.5</v>
      </c>
    </row>
    <row r="1073" spans="1:8" x14ac:dyDescent="0.25">
      <c r="A1073" t="s">
        <v>1079</v>
      </c>
      <c r="B1073">
        <v>4159</v>
      </c>
      <c r="C1073">
        <v>7896003738636</v>
      </c>
      <c r="D1073">
        <v>7.49</v>
      </c>
      <c r="E1073">
        <v>4.5599999999999996</v>
      </c>
      <c r="F1073" s="3">
        <v>0.32740000000000002</v>
      </c>
      <c r="G1073">
        <v>3.8208000000000002</v>
      </c>
      <c r="H1073">
        <v>8.3330000000000002</v>
      </c>
    </row>
    <row r="1074" spans="1:8" x14ac:dyDescent="0.25">
      <c r="A1074" t="s">
        <v>1080</v>
      </c>
      <c r="B1074">
        <v>4164</v>
      </c>
      <c r="C1074">
        <v>7896003738940</v>
      </c>
      <c r="D1074">
        <v>9.49</v>
      </c>
      <c r="E1074">
        <v>6.34</v>
      </c>
      <c r="F1074" s="3">
        <v>0.29980000000000001</v>
      </c>
      <c r="G1074">
        <v>5.7671999999999999</v>
      </c>
      <c r="H1074">
        <v>5.4</v>
      </c>
    </row>
    <row r="1075" spans="1:8" x14ac:dyDescent="0.25">
      <c r="A1075" t="s">
        <v>1081</v>
      </c>
      <c r="B1075">
        <v>4170</v>
      </c>
      <c r="C1075">
        <v>7896003738919</v>
      </c>
      <c r="D1075">
        <v>9.49</v>
      </c>
      <c r="E1075">
        <v>6.32</v>
      </c>
      <c r="F1075" s="3">
        <v>0.30309999999999998</v>
      </c>
      <c r="G1075">
        <v>5.7359999999999998</v>
      </c>
      <c r="H1075">
        <v>2.633</v>
      </c>
    </row>
    <row r="1076" spans="1:8" x14ac:dyDescent="0.25">
      <c r="A1076" t="s">
        <v>1082</v>
      </c>
      <c r="B1076">
        <v>4173</v>
      </c>
      <c r="C1076">
        <v>7896003738926</v>
      </c>
      <c r="D1076">
        <v>8.57</v>
      </c>
      <c r="E1076">
        <v>6.34</v>
      </c>
      <c r="F1076" s="3">
        <v>0.23699999999999999</v>
      </c>
      <c r="G1076">
        <v>5.7468000000000004</v>
      </c>
      <c r="H1076">
        <v>4.2329999999999997</v>
      </c>
    </row>
    <row r="1077" spans="1:8" x14ac:dyDescent="0.25">
      <c r="A1077" t="s">
        <v>1083</v>
      </c>
      <c r="B1077">
        <v>4189</v>
      </c>
      <c r="C1077">
        <v>7896003738605</v>
      </c>
      <c r="D1077">
        <v>7.49</v>
      </c>
      <c r="E1077">
        <v>4.55</v>
      </c>
      <c r="F1077" s="3">
        <v>0.32850000000000001</v>
      </c>
      <c r="G1077">
        <v>3.8123</v>
      </c>
      <c r="H1077">
        <v>10.532999999999999</v>
      </c>
    </row>
    <row r="1078" spans="1:8" x14ac:dyDescent="0.25">
      <c r="A1078" t="s">
        <v>1084</v>
      </c>
      <c r="B1078">
        <v>58161</v>
      </c>
      <c r="C1078">
        <v>7896003738667</v>
      </c>
      <c r="D1078">
        <v>7.49</v>
      </c>
      <c r="E1078">
        <v>5</v>
      </c>
      <c r="F1078" s="3">
        <v>0.27829999999999999</v>
      </c>
      <c r="G1078">
        <v>4.1886000000000001</v>
      </c>
      <c r="H1078">
        <v>5.867</v>
      </c>
    </row>
    <row r="1079" spans="1:8" x14ac:dyDescent="0.25">
      <c r="A1079" t="s">
        <v>1085</v>
      </c>
      <c r="B1079">
        <v>4042</v>
      </c>
      <c r="C1079">
        <v>7896003738582</v>
      </c>
      <c r="D1079">
        <v>7.49</v>
      </c>
      <c r="E1079">
        <v>4.7699999999999996</v>
      </c>
      <c r="F1079" s="3">
        <v>0.30399999999999999</v>
      </c>
      <c r="G1079">
        <v>3.9956999999999998</v>
      </c>
      <c r="H1079">
        <v>10.333</v>
      </c>
    </row>
    <row r="1080" spans="1:8" x14ac:dyDescent="0.25">
      <c r="A1080" t="s">
        <v>1086</v>
      </c>
      <c r="B1080">
        <v>4044</v>
      </c>
      <c r="C1080">
        <v>7896003738520</v>
      </c>
      <c r="D1080">
        <v>7.49</v>
      </c>
      <c r="E1080">
        <v>4.76</v>
      </c>
      <c r="F1080" s="3">
        <v>0.30420000000000003</v>
      </c>
      <c r="G1080">
        <v>3.9946000000000002</v>
      </c>
      <c r="H1080">
        <v>33</v>
      </c>
    </row>
    <row r="1081" spans="1:8" x14ac:dyDescent="0.25">
      <c r="A1081" t="s">
        <v>1087</v>
      </c>
      <c r="B1081">
        <v>4046</v>
      </c>
      <c r="C1081">
        <v>7896003738551</v>
      </c>
      <c r="D1081">
        <v>7.49</v>
      </c>
      <c r="E1081">
        <v>4.76</v>
      </c>
      <c r="F1081" s="3">
        <v>0.30459999999999998</v>
      </c>
      <c r="G1081">
        <v>3.9912000000000001</v>
      </c>
      <c r="H1081">
        <v>4.4000000000000004</v>
      </c>
    </row>
    <row r="1082" spans="1:8" x14ac:dyDescent="0.25">
      <c r="A1082" t="s">
        <v>1088</v>
      </c>
      <c r="B1082">
        <v>4049</v>
      </c>
      <c r="C1082">
        <v>7896003738575</v>
      </c>
      <c r="D1082">
        <v>7.49</v>
      </c>
      <c r="E1082">
        <v>4.7699999999999996</v>
      </c>
      <c r="F1082" s="3">
        <v>0.30409999999999998</v>
      </c>
      <c r="G1082">
        <v>3.9952999999999999</v>
      </c>
      <c r="H1082">
        <v>3.7669999999999999</v>
      </c>
    </row>
    <row r="1083" spans="1:8" x14ac:dyDescent="0.25">
      <c r="A1083" t="s">
        <v>1089</v>
      </c>
      <c r="B1083">
        <v>64001</v>
      </c>
      <c r="C1083">
        <v>7896003739312</v>
      </c>
      <c r="D1083">
        <v>2.29</v>
      </c>
      <c r="E1083">
        <v>1.57</v>
      </c>
      <c r="F1083" s="3">
        <v>0.28710000000000002</v>
      </c>
      <c r="G1083">
        <v>1.4207000000000001</v>
      </c>
      <c r="H1083">
        <v>6.1669999999999998</v>
      </c>
    </row>
    <row r="1084" spans="1:8" x14ac:dyDescent="0.25">
      <c r="A1084" t="s">
        <v>1090</v>
      </c>
      <c r="B1084">
        <v>63998</v>
      </c>
      <c r="C1084">
        <v>7896003739329</v>
      </c>
      <c r="D1084">
        <v>2.25</v>
      </c>
      <c r="E1084">
        <v>1.56</v>
      </c>
      <c r="F1084" s="3">
        <v>0.27600000000000002</v>
      </c>
      <c r="G1084">
        <v>1.4198</v>
      </c>
      <c r="H1084">
        <v>4.633</v>
      </c>
    </row>
    <row r="1085" spans="1:8" x14ac:dyDescent="0.25">
      <c r="A1085" t="s">
        <v>1091</v>
      </c>
      <c r="B1085">
        <v>68837</v>
      </c>
      <c r="C1085">
        <v>7896003739657</v>
      </c>
      <c r="D1085">
        <v>4.9000000000000004</v>
      </c>
      <c r="E1085">
        <v>3.15</v>
      </c>
      <c r="F1085" s="3">
        <v>0.32429999999999998</v>
      </c>
      <c r="G1085">
        <v>2.8574999999999999</v>
      </c>
      <c r="H1085">
        <v>5.6669999999999998</v>
      </c>
    </row>
    <row r="1086" spans="1:8" x14ac:dyDescent="0.25">
      <c r="A1086" t="s">
        <v>1092</v>
      </c>
      <c r="B1086">
        <v>68836</v>
      </c>
      <c r="C1086">
        <v>7896003739817</v>
      </c>
      <c r="D1086">
        <v>4.8099999999999996</v>
      </c>
      <c r="E1086">
        <v>3.15</v>
      </c>
      <c r="F1086" s="3">
        <v>0.31329999999999997</v>
      </c>
      <c r="G1086">
        <v>2.8574999999999999</v>
      </c>
      <c r="H1086">
        <v>5.4329999999999998</v>
      </c>
    </row>
    <row r="1087" spans="1:8" x14ac:dyDescent="0.25">
      <c r="A1087" t="s">
        <v>1093</v>
      </c>
      <c r="B1087">
        <v>4072</v>
      </c>
      <c r="C1087">
        <v>7896003737400</v>
      </c>
      <c r="D1087">
        <v>4.29</v>
      </c>
      <c r="E1087">
        <v>3.02</v>
      </c>
      <c r="F1087" s="3">
        <v>0.26789999999999997</v>
      </c>
      <c r="G1087">
        <v>2.7440000000000002</v>
      </c>
      <c r="H1087">
        <v>10.199999999999999</v>
      </c>
    </row>
    <row r="1088" spans="1:8" x14ac:dyDescent="0.25">
      <c r="A1088" t="s">
        <v>1094</v>
      </c>
      <c r="B1088">
        <v>4077</v>
      </c>
      <c r="C1088">
        <v>7896003737394</v>
      </c>
      <c r="D1088">
        <v>4.29</v>
      </c>
      <c r="E1088">
        <v>3.04</v>
      </c>
      <c r="F1088" s="3">
        <v>0.26419999999999999</v>
      </c>
      <c r="G1088">
        <v>2.7599</v>
      </c>
      <c r="H1088">
        <v>27.1</v>
      </c>
    </row>
    <row r="1089" spans="1:8" x14ac:dyDescent="0.25">
      <c r="A1089" t="s">
        <v>1095</v>
      </c>
      <c r="B1089">
        <v>65118</v>
      </c>
      <c r="C1089">
        <v>4902777231259</v>
      </c>
      <c r="D1089">
        <v>19.899999999999999</v>
      </c>
      <c r="E1089">
        <v>13.5</v>
      </c>
      <c r="F1089" s="3">
        <v>0.29189999999999999</v>
      </c>
      <c r="G1089">
        <v>12.250999999999999</v>
      </c>
      <c r="H1089">
        <v>0.63300000000000001</v>
      </c>
    </row>
    <row r="1090" spans="1:8" x14ac:dyDescent="0.25">
      <c r="A1090" t="s">
        <v>1096</v>
      </c>
      <c r="B1090">
        <v>65117</v>
      </c>
      <c r="C1090">
        <v>8888077101101</v>
      </c>
      <c r="D1090">
        <v>19.899999999999999</v>
      </c>
      <c r="E1090">
        <v>13.5</v>
      </c>
      <c r="F1090" s="3">
        <v>0.29189999999999999</v>
      </c>
      <c r="G1090">
        <v>12.250999999999999</v>
      </c>
      <c r="H1090">
        <v>0.7</v>
      </c>
    </row>
    <row r="1091" spans="1:8" x14ac:dyDescent="0.25">
      <c r="A1091" t="s">
        <v>1097</v>
      </c>
      <c r="B1091">
        <v>55103</v>
      </c>
      <c r="C1091">
        <v>7622210406354</v>
      </c>
      <c r="D1091">
        <v>18.899999999999999</v>
      </c>
      <c r="E1091">
        <v>14.84</v>
      </c>
      <c r="F1091" s="3">
        <v>0.1938</v>
      </c>
      <c r="G1091">
        <v>13.488899999999999</v>
      </c>
      <c r="H1091">
        <v>5.0670000000000002</v>
      </c>
    </row>
    <row r="1092" spans="1:8" x14ac:dyDescent="0.25">
      <c r="A1092" t="s">
        <v>1098</v>
      </c>
      <c r="B1092">
        <v>55102</v>
      </c>
      <c r="C1092">
        <v>7622300864057</v>
      </c>
      <c r="D1092">
        <v>18.899999999999999</v>
      </c>
      <c r="E1092">
        <v>14.79</v>
      </c>
      <c r="F1092" s="3">
        <v>0.20800000000000002</v>
      </c>
      <c r="G1092">
        <v>13.2197</v>
      </c>
      <c r="H1092">
        <v>11.233000000000001</v>
      </c>
    </row>
    <row r="1093" spans="1:8" x14ac:dyDescent="0.25">
      <c r="A1093" t="s">
        <v>1099</v>
      </c>
      <c r="B1093">
        <v>58576</v>
      </c>
      <c r="C1093">
        <v>7622210717696</v>
      </c>
      <c r="D1093">
        <v>29.9</v>
      </c>
      <c r="E1093">
        <v>22.53</v>
      </c>
      <c r="F1093" s="3">
        <v>0.22370000000000001</v>
      </c>
      <c r="G1093">
        <v>20.446100000000001</v>
      </c>
      <c r="H1093">
        <v>3.2</v>
      </c>
    </row>
    <row r="1094" spans="1:8" x14ac:dyDescent="0.25">
      <c r="A1094" t="s">
        <v>1100</v>
      </c>
      <c r="B1094">
        <v>24514</v>
      </c>
      <c r="C1094">
        <v>7891000089255</v>
      </c>
      <c r="D1094">
        <v>4.9000000000000004</v>
      </c>
      <c r="E1094">
        <v>3.37</v>
      </c>
      <c r="F1094" s="3">
        <v>0.30370000000000003</v>
      </c>
      <c r="G1094">
        <v>2.9588999999999999</v>
      </c>
      <c r="H1094">
        <v>5.9329999999999998</v>
      </c>
    </row>
    <row r="1095" spans="1:8" x14ac:dyDescent="0.25">
      <c r="A1095" t="s">
        <v>1101</v>
      </c>
      <c r="B1095">
        <v>66484</v>
      </c>
      <c r="C1095">
        <v>7891000383063</v>
      </c>
      <c r="D1095">
        <v>4.9000000000000004</v>
      </c>
      <c r="E1095">
        <v>2.66</v>
      </c>
      <c r="F1095" s="3">
        <v>0.41470000000000001</v>
      </c>
      <c r="G1095">
        <v>2.4148999999999998</v>
      </c>
      <c r="H1095">
        <v>1.833</v>
      </c>
    </row>
    <row r="1096" spans="1:8" x14ac:dyDescent="0.25">
      <c r="A1096" t="s">
        <v>1102</v>
      </c>
      <c r="B1096">
        <v>64466</v>
      </c>
      <c r="C1096">
        <v>7891000369203</v>
      </c>
      <c r="D1096">
        <v>4.9000000000000004</v>
      </c>
      <c r="E1096">
        <v>2.58</v>
      </c>
      <c r="F1096" s="3">
        <v>0.42899999999999999</v>
      </c>
      <c r="G1096">
        <v>2.3443999999999998</v>
      </c>
      <c r="H1096">
        <v>1.9</v>
      </c>
    </row>
    <row r="1097" spans="1:8" x14ac:dyDescent="0.25">
      <c r="A1097" t="s">
        <v>1103</v>
      </c>
      <c r="B1097">
        <v>64465</v>
      </c>
      <c r="C1097">
        <v>7891000369159</v>
      </c>
      <c r="D1097">
        <v>4.9000000000000004</v>
      </c>
      <c r="E1097">
        <v>2.73</v>
      </c>
      <c r="F1097" s="3">
        <v>0.41009999999999996</v>
      </c>
      <c r="G1097">
        <v>2.4371</v>
      </c>
      <c r="H1097">
        <v>3.0670000000000002</v>
      </c>
    </row>
    <row r="1098" spans="1:8" x14ac:dyDescent="0.25">
      <c r="A1098" t="s">
        <v>1104</v>
      </c>
      <c r="B1098">
        <v>64550</v>
      </c>
      <c r="C1098">
        <v>7891000320242</v>
      </c>
      <c r="D1098">
        <v>4.9000000000000004</v>
      </c>
      <c r="E1098">
        <v>2.62</v>
      </c>
      <c r="F1098" s="3">
        <v>0.4214</v>
      </c>
      <c r="G1098">
        <v>2.3816999999999999</v>
      </c>
      <c r="H1098">
        <v>0.36699999999999999</v>
      </c>
    </row>
    <row r="1099" spans="1:8" x14ac:dyDescent="0.25">
      <c r="A1099" t="s">
        <v>1105</v>
      </c>
      <c r="B1099">
        <v>64552</v>
      </c>
      <c r="C1099">
        <v>7891000320280</v>
      </c>
      <c r="D1099">
        <v>4.9000000000000004</v>
      </c>
      <c r="E1099">
        <v>2.59</v>
      </c>
      <c r="F1099" s="3">
        <v>0.42869999999999997</v>
      </c>
      <c r="G1099">
        <v>2.3460000000000001</v>
      </c>
      <c r="H1099">
        <v>1.5329999999999999</v>
      </c>
    </row>
    <row r="1100" spans="1:8" x14ac:dyDescent="0.25">
      <c r="A1100" t="s">
        <v>1106</v>
      </c>
      <c r="B1100">
        <v>67800</v>
      </c>
      <c r="C1100">
        <v>7891000352038</v>
      </c>
      <c r="D1100">
        <v>7.9</v>
      </c>
      <c r="E1100">
        <v>6.14</v>
      </c>
      <c r="F1100" s="3">
        <v>0.20600000000000002</v>
      </c>
      <c r="G1100">
        <v>5.5418000000000003</v>
      </c>
      <c r="H1100">
        <v>2.2330000000000001</v>
      </c>
    </row>
    <row r="1101" spans="1:8" x14ac:dyDescent="0.25">
      <c r="A1101" t="s">
        <v>1107</v>
      </c>
      <c r="B1101">
        <v>56880</v>
      </c>
      <c r="C1101">
        <v>7891000290026</v>
      </c>
      <c r="D1101">
        <v>7.9</v>
      </c>
      <c r="E1101">
        <v>6.31</v>
      </c>
      <c r="F1101" s="3">
        <v>0.18280000000000002</v>
      </c>
      <c r="G1101">
        <v>5.7253999999999996</v>
      </c>
      <c r="H1101">
        <v>2.6669999999999998</v>
      </c>
    </row>
    <row r="1102" spans="1:8" x14ac:dyDescent="0.25">
      <c r="A1102" t="s">
        <v>1108</v>
      </c>
      <c r="B1102">
        <v>62081</v>
      </c>
      <c r="C1102">
        <v>7891000376768</v>
      </c>
      <c r="D1102">
        <v>3.49</v>
      </c>
      <c r="E1102">
        <v>2.11</v>
      </c>
      <c r="F1102" s="3">
        <v>0.36499999999999999</v>
      </c>
      <c r="G1102">
        <v>1.8933</v>
      </c>
      <c r="H1102">
        <v>19.033000000000001</v>
      </c>
    </row>
    <row r="1103" spans="1:8" x14ac:dyDescent="0.25">
      <c r="A1103" t="s">
        <v>1109</v>
      </c>
      <c r="B1103">
        <v>64476</v>
      </c>
      <c r="C1103">
        <v>7891000377130</v>
      </c>
      <c r="D1103">
        <v>3.49</v>
      </c>
      <c r="E1103">
        <v>2.1</v>
      </c>
      <c r="F1103" s="3">
        <v>0.37719999999999998</v>
      </c>
      <c r="G1103">
        <v>1.8508</v>
      </c>
      <c r="H1103">
        <v>8.1</v>
      </c>
    </row>
    <row r="1104" spans="1:8" x14ac:dyDescent="0.25">
      <c r="A1104" t="s">
        <v>1110</v>
      </c>
      <c r="B1104">
        <v>62528</v>
      </c>
      <c r="C1104">
        <v>7891000377055</v>
      </c>
      <c r="D1104">
        <v>3.49</v>
      </c>
      <c r="E1104">
        <v>1.89</v>
      </c>
      <c r="F1104" s="3">
        <v>0.41700000000000004</v>
      </c>
      <c r="G1104">
        <v>1.7118</v>
      </c>
      <c r="H1104">
        <v>3.4</v>
      </c>
    </row>
    <row r="1105" spans="1:8" x14ac:dyDescent="0.25">
      <c r="A1105" t="s">
        <v>1111</v>
      </c>
      <c r="B1105">
        <v>62082</v>
      </c>
      <c r="C1105">
        <v>7891000376805</v>
      </c>
      <c r="D1105">
        <v>3.49</v>
      </c>
      <c r="E1105">
        <v>2.0299999999999998</v>
      </c>
      <c r="F1105" s="3">
        <v>0.38919999999999999</v>
      </c>
      <c r="G1105">
        <v>1.8089999999999999</v>
      </c>
      <c r="H1105">
        <v>6.5</v>
      </c>
    </row>
    <row r="1106" spans="1:8" x14ac:dyDescent="0.25">
      <c r="A1106" t="s">
        <v>1112</v>
      </c>
      <c r="B1106">
        <v>55585</v>
      </c>
      <c r="C1106">
        <v>7891000357972</v>
      </c>
      <c r="D1106">
        <v>2.4900000000000002</v>
      </c>
      <c r="E1106">
        <v>1.56</v>
      </c>
      <c r="F1106" s="3">
        <v>0.33740000000000003</v>
      </c>
      <c r="G1106">
        <v>1.4195</v>
      </c>
      <c r="H1106">
        <v>11.167</v>
      </c>
    </row>
    <row r="1107" spans="1:8" x14ac:dyDescent="0.25">
      <c r="A1107" t="s">
        <v>1113</v>
      </c>
      <c r="B1107">
        <v>67796</v>
      </c>
      <c r="C1107">
        <v>7891000394557</v>
      </c>
      <c r="D1107">
        <v>2.4900000000000002</v>
      </c>
      <c r="E1107">
        <v>1.55</v>
      </c>
      <c r="F1107" s="3">
        <v>0.3357</v>
      </c>
      <c r="G1107">
        <v>1.4238999999999999</v>
      </c>
      <c r="H1107">
        <v>1.4</v>
      </c>
    </row>
    <row r="1108" spans="1:8" x14ac:dyDescent="0.25">
      <c r="A1108" t="s">
        <v>1114</v>
      </c>
      <c r="B1108">
        <v>4511</v>
      </c>
      <c r="C1108">
        <v>7891000089279</v>
      </c>
      <c r="D1108">
        <v>4.9000000000000004</v>
      </c>
      <c r="E1108">
        <v>3.63</v>
      </c>
      <c r="F1108" s="3">
        <v>0.23269999999999999</v>
      </c>
      <c r="G1108">
        <v>3.3067000000000002</v>
      </c>
      <c r="H1108">
        <v>3.1669999999999998</v>
      </c>
    </row>
    <row r="1109" spans="1:8" x14ac:dyDescent="0.25">
      <c r="A1109" t="s">
        <v>1115</v>
      </c>
      <c r="B1109">
        <v>55589</v>
      </c>
      <c r="C1109">
        <v>7891000289716</v>
      </c>
      <c r="D1109">
        <v>4.59</v>
      </c>
      <c r="E1109">
        <v>2.82</v>
      </c>
      <c r="F1109" s="3">
        <v>0.3508</v>
      </c>
      <c r="G1109">
        <v>2.5552000000000001</v>
      </c>
      <c r="H1109">
        <v>10.8</v>
      </c>
    </row>
    <row r="1110" spans="1:8" x14ac:dyDescent="0.25">
      <c r="A1110" t="s">
        <v>1116</v>
      </c>
      <c r="B1110">
        <v>55590</v>
      </c>
      <c r="C1110">
        <v>7891000289754</v>
      </c>
      <c r="D1110">
        <v>4.59</v>
      </c>
      <c r="E1110">
        <v>2.79</v>
      </c>
      <c r="F1110" s="3">
        <v>0.33079999999999998</v>
      </c>
      <c r="G1110">
        <v>2.3256999999999999</v>
      </c>
      <c r="H1110">
        <v>9</v>
      </c>
    </row>
    <row r="1111" spans="1:8" x14ac:dyDescent="0.25">
      <c r="A1111" t="s">
        <v>1117</v>
      </c>
      <c r="B1111">
        <v>38045</v>
      </c>
      <c r="C1111">
        <v>7891000304839</v>
      </c>
      <c r="D1111">
        <v>4.79</v>
      </c>
      <c r="E1111">
        <v>2.81</v>
      </c>
      <c r="F1111" s="3">
        <v>0.34740000000000004</v>
      </c>
      <c r="G1111">
        <v>2.3475000000000001</v>
      </c>
      <c r="H1111">
        <v>6.367</v>
      </c>
    </row>
    <row r="1112" spans="1:8" x14ac:dyDescent="0.25">
      <c r="A1112" t="s">
        <v>1118</v>
      </c>
      <c r="B1112">
        <v>6364</v>
      </c>
      <c r="C1112">
        <v>7891000304556</v>
      </c>
      <c r="D1112">
        <v>4.79</v>
      </c>
      <c r="E1112">
        <v>2.83</v>
      </c>
      <c r="F1112" s="3">
        <v>0.3705</v>
      </c>
      <c r="G1112">
        <v>2.5720999999999998</v>
      </c>
      <c r="H1112">
        <v>12</v>
      </c>
    </row>
    <row r="1113" spans="1:8" x14ac:dyDescent="0.25">
      <c r="A1113" t="s">
        <v>1119</v>
      </c>
      <c r="B1113">
        <v>6356</v>
      </c>
      <c r="C1113">
        <v>7891000304594</v>
      </c>
      <c r="D1113">
        <v>4.79</v>
      </c>
      <c r="E1113">
        <v>2.78</v>
      </c>
      <c r="F1113" s="3">
        <v>0.35170000000000001</v>
      </c>
      <c r="G1113">
        <v>2.3268</v>
      </c>
      <c r="H1113">
        <v>4.9329999999999998</v>
      </c>
    </row>
    <row r="1114" spans="1:8" x14ac:dyDescent="0.25">
      <c r="A1114" t="s">
        <v>1120</v>
      </c>
      <c r="B1114">
        <v>4481</v>
      </c>
      <c r="C1114">
        <v>7891000919507</v>
      </c>
      <c r="D1114">
        <v>4.79</v>
      </c>
      <c r="E1114">
        <v>2.81</v>
      </c>
      <c r="F1114" s="3">
        <v>0.34570000000000001</v>
      </c>
      <c r="G1114">
        <v>2.3555999999999999</v>
      </c>
      <c r="H1114">
        <v>4.2</v>
      </c>
    </row>
    <row r="1115" spans="1:8" x14ac:dyDescent="0.25">
      <c r="A1115" t="s">
        <v>1121</v>
      </c>
      <c r="B1115">
        <v>67798</v>
      </c>
      <c r="C1115">
        <v>7891000304754</v>
      </c>
      <c r="D1115">
        <v>4.29</v>
      </c>
      <c r="E1115">
        <v>2.77</v>
      </c>
      <c r="F1115" s="3">
        <v>0.29670000000000002</v>
      </c>
      <c r="G1115">
        <v>2.3199999999999998</v>
      </c>
      <c r="H1115">
        <v>3.367</v>
      </c>
    </row>
    <row r="1116" spans="1:8" x14ac:dyDescent="0.25">
      <c r="A1116" t="s">
        <v>1122</v>
      </c>
      <c r="B1116">
        <v>67797</v>
      </c>
      <c r="C1116">
        <v>7891000304716</v>
      </c>
      <c r="D1116">
        <v>4.29</v>
      </c>
      <c r="E1116">
        <v>2.78</v>
      </c>
      <c r="F1116" s="3">
        <v>0.29520000000000002</v>
      </c>
      <c r="G1116">
        <v>2.3264999999999998</v>
      </c>
      <c r="H1116">
        <v>4.3</v>
      </c>
    </row>
    <row r="1117" spans="1:8" x14ac:dyDescent="0.25">
      <c r="A1117" t="s">
        <v>1123</v>
      </c>
      <c r="B1117">
        <v>49277</v>
      </c>
      <c r="C1117">
        <v>7622210794765</v>
      </c>
      <c r="D1117">
        <v>11.9</v>
      </c>
      <c r="E1117">
        <v>7.98</v>
      </c>
      <c r="F1117" s="3">
        <v>0.2989</v>
      </c>
      <c r="G1117">
        <v>7.2419000000000002</v>
      </c>
      <c r="H1117">
        <v>1.6</v>
      </c>
    </row>
    <row r="1118" spans="1:8" x14ac:dyDescent="0.25">
      <c r="A1118" t="s">
        <v>1124</v>
      </c>
      <c r="B1118">
        <v>59828</v>
      </c>
      <c r="C1118">
        <v>7622210565938</v>
      </c>
      <c r="D1118">
        <v>11.9</v>
      </c>
      <c r="E1118">
        <v>7.98</v>
      </c>
      <c r="F1118" s="3">
        <v>0.2989</v>
      </c>
      <c r="G1118">
        <v>7.2419000000000002</v>
      </c>
      <c r="H1118">
        <v>2.2000000000000002</v>
      </c>
    </row>
    <row r="1119" spans="1:8" x14ac:dyDescent="0.25">
      <c r="A1119" t="s">
        <v>1125</v>
      </c>
      <c r="B1119">
        <v>32901</v>
      </c>
      <c r="C1119">
        <v>7622300873455</v>
      </c>
      <c r="D1119">
        <v>2.4900000000000002</v>
      </c>
      <c r="E1119">
        <v>1.34</v>
      </c>
      <c r="F1119" s="3">
        <v>0.42049999999999998</v>
      </c>
      <c r="G1119">
        <v>1.2126999999999999</v>
      </c>
      <c r="H1119">
        <v>5.0670000000000002</v>
      </c>
    </row>
    <row r="1120" spans="1:8" x14ac:dyDescent="0.25">
      <c r="A1120" t="s">
        <v>1126</v>
      </c>
      <c r="B1120">
        <v>32903</v>
      </c>
      <c r="C1120">
        <v>7622300873554</v>
      </c>
      <c r="D1120">
        <v>4.49</v>
      </c>
      <c r="E1120">
        <v>2.83</v>
      </c>
      <c r="F1120" s="3">
        <v>0.32409999999999994</v>
      </c>
      <c r="G1120">
        <v>2.6196999999999999</v>
      </c>
      <c r="H1120">
        <v>8.0670000000000002</v>
      </c>
    </row>
    <row r="1121" spans="1:8" x14ac:dyDescent="0.25">
      <c r="A1121" t="s">
        <v>1127</v>
      </c>
      <c r="B1121">
        <v>37651</v>
      </c>
      <c r="C1121">
        <v>7622300989408</v>
      </c>
      <c r="D1121">
        <v>4.49</v>
      </c>
      <c r="E1121">
        <v>2.89</v>
      </c>
      <c r="F1121" s="3">
        <v>0.32289999999999996</v>
      </c>
      <c r="G1121">
        <v>2.625</v>
      </c>
      <c r="H1121">
        <v>6.6669999999999998</v>
      </c>
    </row>
    <row r="1122" spans="1:8" x14ac:dyDescent="0.25">
      <c r="A1122" t="s">
        <v>1128</v>
      </c>
      <c r="B1122">
        <v>22026</v>
      </c>
      <c r="C1122">
        <v>7622300830151</v>
      </c>
      <c r="D1122">
        <v>4.49</v>
      </c>
      <c r="E1122">
        <v>2.4900000000000002</v>
      </c>
      <c r="F1122" s="3">
        <v>0.40409999999999996</v>
      </c>
      <c r="G1122">
        <v>2.2601</v>
      </c>
      <c r="H1122">
        <v>2.6669999999999998</v>
      </c>
    </row>
    <row r="1123" spans="1:8" x14ac:dyDescent="0.25">
      <c r="A1123" t="s">
        <v>1129</v>
      </c>
      <c r="B1123">
        <v>49278</v>
      </c>
      <c r="C1123">
        <v>7622210933454</v>
      </c>
      <c r="D1123">
        <v>3.49</v>
      </c>
      <c r="E1123">
        <v>2.0499999999999998</v>
      </c>
      <c r="F1123" s="3">
        <v>0.37390000000000001</v>
      </c>
      <c r="G1123">
        <v>1.8622000000000001</v>
      </c>
      <c r="H1123">
        <v>9.8000000000000007</v>
      </c>
    </row>
    <row r="1124" spans="1:8" x14ac:dyDescent="0.25">
      <c r="A1124" t="s">
        <v>1130</v>
      </c>
      <c r="B1124">
        <v>69308</v>
      </c>
      <c r="C1124">
        <v>6901668939234</v>
      </c>
      <c r="D1124">
        <v>22.9</v>
      </c>
      <c r="E1124">
        <v>15</v>
      </c>
      <c r="F1124" s="3">
        <v>0.31309999999999999</v>
      </c>
      <c r="G1124">
        <v>13.612500000000001</v>
      </c>
      <c r="H1124">
        <v>0.23300000000000001</v>
      </c>
    </row>
    <row r="1125" spans="1:8" x14ac:dyDescent="0.25">
      <c r="A1125" t="s">
        <v>1131</v>
      </c>
      <c r="B1125">
        <v>43489</v>
      </c>
      <c r="C1125">
        <v>7896496917709</v>
      </c>
      <c r="D1125">
        <v>8.99</v>
      </c>
      <c r="E1125">
        <v>5.92</v>
      </c>
      <c r="F1125" s="3">
        <v>0.316</v>
      </c>
      <c r="G1125">
        <v>5.3171999999999997</v>
      </c>
      <c r="H1125">
        <v>3.0670000000000002</v>
      </c>
    </row>
    <row r="1126" spans="1:8" x14ac:dyDescent="0.25">
      <c r="A1126" t="s">
        <v>1132</v>
      </c>
      <c r="B1126">
        <v>43490</v>
      </c>
      <c r="C1126">
        <v>7896496917716</v>
      </c>
      <c r="D1126">
        <v>8.99</v>
      </c>
      <c r="E1126">
        <v>6.09</v>
      </c>
      <c r="F1126" s="3">
        <v>0.29299999999999998</v>
      </c>
      <c r="G1126">
        <v>5.5244</v>
      </c>
      <c r="H1126">
        <v>3.2</v>
      </c>
    </row>
    <row r="1127" spans="1:8" x14ac:dyDescent="0.25">
      <c r="A1127" t="s">
        <v>1133</v>
      </c>
      <c r="B1127">
        <v>48258</v>
      </c>
      <c r="C1127">
        <v>7896496917846</v>
      </c>
      <c r="D1127">
        <v>8.99</v>
      </c>
      <c r="E1127">
        <v>5.79</v>
      </c>
      <c r="F1127" s="3">
        <v>0.32299999999999995</v>
      </c>
      <c r="G1127">
        <v>5.2549999999999999</v>
      </c>
      <c r="H1127">
        <v>4.3330000000000002</v>
      </c>
    </row>
    <row r="1128" spans="1:8" x14ac:dyDescent="0.25">
      <c r="A1128" t="s">
        <v>1134</v>
      </c>
      <c r="B1128">
        <v>61495</v>
      </c>
      <c r="C1128">
        <v>7891150084643</v>
      </c>
      <c r="D1128">
        <v>8.99</v>
      </c>
      <c r="E1128">
        <v>5.79</v>
      </c>
      <c r="F1128" s="3">
        <v>0.32299999999999995</v>
      </c>
      <c r="G1128">
        <v>5.2544000000000004</v>
      </c>
      <c r="H1128">
        <v>1.3</v>
      </c>
    </row>
    <row r="1129" spans="1:8" x14ac:dyDescent="0.25">
      <c r="A1129" t="s">
        <v>1135</v>
      </c>
      <c r="B1129">
        <v>48259</v>
      </c>
      <c r="C1129">
        <v>7896496917853</v>
      </c>
      <c r="D1129">
        <v>8.99</v>
      </c>
      <c r="E1129">
        <v>5.74</v>
      </c>
      <c r="F1129" s="3">
        <v>0.32469999999999999</v>
      </c>
      <c r="G1129">
        <v>5.2393999999999998</v>
      </c>
      <c r="H1129">
        <v>1.8</v>
      </c>
    </row>
    <row r="1130" spans="1:8" x14ac:dyDescent="0.25">
      <c r="A1130" t="s">
        <v>1136</v>
      </c>
      <c r="B1130">
        <v>61770</v>
      </c>
      <c r="C1130">
        <v>7891150081338</v>
      </c>
      <c r="D1130">
        <v>8.99</v>
      </c>
      <c r="E1130">
        <v>6.13</v>
      </c>
      <c r="F1130" s="3">
        <v>0.29249999999999998</v>
      </c>
      <c r="G1130">
        <v>5.5293000000000001</v>
      </c>
      <c r="H1130">
        <v>3.4329999999999998</v>
      </c>
    </row>
    <row r="1131" spans="1:8" x14ac:dyDescent="0.25">
      <c r="A1131" t="s">
        <v>1137</v>
      </c>
      <c r="B1131">
        <v>61771</v>
      </c>
      <c r="C1131">
        <v>7891150081345</v>
      </c>
      <c r="D1131">
        <v>8.99</v>
      </c>
      <c r="E1131">
        <v>6.29</v>
      </c>
      <c r="F1131" s="3">
        <v>0.27179999999999999</v>
      </c>
      <c r="G1131">
        <v>5.7152000000000003</v>
      </c>
      <c r="H1131">
        <v>1.7330000000000001</v>
      </c>
    </row>
    <row r="1132" spans="1:8" x14ac:dyDescent="0.25">
      <c r="A1132" t="s">
        <v>1138</v>
      </c>
      <c r="B1132">
        <v>64753</v>
      </c>
      <c r="C1132">
        <v>8801019310928</v>
      </c>
      <c r="D1132">
        <v>16.899999999999999</v>
      </c>
      <c r="E1132">
        <v>10</v>
      </c>
      <c r="F1132" s="3">
        <v>0.3705</v>
      </c>
      <c r="G1132">
        <v>9.0749999999999993</v>
      </c>
      <c r="H1132">
        <v>0.13300000000000001</v>
      </c>
    </row>
    <row r="1133" spans="1:8" x14ac:dyDescent="0.25">
      <c r="A1133" t="s">
        <v>1139</v>
      </c>
      <c r="B1133">
        <v>64754</v>
      </c>
      <c r="C1133">
        <v>8801019309946</v>
      </c>
      <c r="D1133">
        <v>16.899999999999999</v>
      </c>
      <c r="E1133">
        <v>10</v>
      </c>
      <c r="F1133" s="3">
        <v>0.3705</v>
      </c>
      <c r="G1133">
        <v>9.0749999999999993</v>
      </c>
      <c r="H1133">
        <v>0.5</v>
      </c>
    </row>
    <row r="1134" spans="1:8" x14ac:dyDescent="0.25">
      <c r="A1134" t="s">
        <v>1140</v>
      </c>
      <c r="B1134">
        <v>32013</v>
      </c>
      <c r="C1134">
        <v>8801019314001</v>
      </c>
      <c r="D1134">
        <v>16.899999999999999</v>
      </c>
      <c r="E1134">
        <v>10</v>
      </c>
      <c r="F1134" s="3">
        <v>0.3705</v>
      </c>
      <c r="G1134">
        <v>9.0749999999999993</v>
      </c>
      <c r="H1134">
        <v>0.16700000000000001</v>
      </c>
    </row>
    <row r="1135" spans="1:8" x14ac:dyDescent="0.25">
      <c r="A1135" t="s">
        <v>1141</v>
      </c>
      <c r="B1135">
        <v>4550</v>
      </c>
      <c r="C1135">
        <v>7891203021601</v>
      </c>
      <c r="D1135">
        <v>10.9</v>
      </c>
      <c r="E1135">
        <v>6.63</v>
      </c>
      <c r="F1135" s="3">
        <v>0.32799999999999996</v>
      </c>
      <c r="G1135">
        <v>5.5533000000000001</v>
      </c>
      <c r="H1135">
        <v>11.266999999999999</v>
      </c>
    </row>
    <row r="1136" spans="1:8" x14ac:dyDescent="0.25">
      <c r="A1136" t="s">
        <v>1142</v>
      </c>
      <c r="B1136">
        <v>4553</v>
      </c>
      <c r="C1136">
        <v>7891203021304</v>
      </c>
      <c r="D1136">
        <v>10.9</v>
      </c>
      <c r="E1136">
        <v>7.09</v>
      </c>
      <c r="F1136" s="3">
        <v>0.31690000000000002</v>
      </c>
      <c r="G1136">
        <v>6.4379</v>
      </c>
      <c r="H1136">
        <v>9.8330000000000002</v>
      </c>
    </row>
    <row r="1137" spans="1:8" x14ac:dyDescent="0.25">
      <c r="A1137" t="s">
        <v>1143</v>
      </c>
      <c r="B1137">
        <v>4558</v>
      </c>
      <c r="C1137">
        <v>7891203021908</v>
      </c>
      <c r="D1137">
        <v>9.9</v>
      </c>
      <c r="E1137">
        <v>5.95</v>
      </c>
      <c r="F1137" s="3">
        <v>0.33460000000000001</v>
      </c>
      <c r="G1137">
        <v>4.9790999999999999</v>
      </c>
      <c r="H1137">
        <v>9.1329999999999991</v>
      </c>
    </row>
    <row r="1138" spans="1:8" x14ac:dyDescent="0.25">
      <c r="A1138" t="s">
        <v>1144</v>
      </c>
      <c r="B1138">
        <v>11993</v>
      </c>
      <c r="C1138">
        <v>7891203022004</v>
      </c>
      <c r="D1138">
        <v>8.99</v>
      </c>
      <c r="E1138">
        <v>5.58</v>
      </c>
      <c r="F1138" s="3">
        <v>0.31739999999999996</v>
      </c>
      <c r="G1138">
        <v>4.6755000000000004</v>
      </c>
      <c r="H1138">
        <v>4.9329999999999998</v>
      </c>
    </row>
    <row r="1139" spans="1:8" x14ac:dyDescent="0.25">
      <c r="A1139" t="s">
        <v>1145</v>
      </c>
      <c r="B1139">
        <v>54955</v>
      </c>
      <c r="C1139">
        <v>7896011102597</v>
      </c>
      <c r="D1139">
        <v>7.9</v>
      </c>
      <c r="E1139">
        <v>5.07</v>
      </c>
      <c r="F1139" s="3">
        <v>0.29909999999999998</v>
      </c>
      <c r="G1139">
        <v>4.2535999999999996</v>
      </c>
      <c r="H1139">
        <v>1.833</v>
      </c>
    </row>
    <row r="1140" spans="1:8" x14ac:dyDescent="0.25">
      <c r="A1140" t="s">
        <v>1146</v>
      </c>
      <c r="B1140">
        <v>54956</v>
      </c>
      <c r="C1140">
        <v>7896011102580</v>
      </c>
      <c r="D1140">
        <v>5.59</v>
      </c>
      <c r="E1140">
        <v>4.97</v>
      </c>
      <c r="F1140" s="3">
        <v>9.35E-2</v>
      </c>
      <c r="G1140">
        <v>4.1590999999999996</v>
      </c>
      <c r="H1140">
        <v>2.8</v>
      </c>
    </row>
    <row r="1141" spans="1:8" x14ac:dyDescent="0.25">
      <c r="A1141" t="s">
        <v>1147</v>
      </c>
      <c r="B1141">
        <v>54957</v>
      </c>
      <c r="C1141">
        <v>7896011102542</v>
      </c>
      <c r="D1141">
        <v>7.9</v>
      </c>
      <c r="E1141">
        <v>5.04</v>
      </c>
      <c r="F1141" s="3">
        <v>0.30309999999999998</v>
      </c>
      <c r="G1141">
        <v>4.2218999999999998</v>
      </c>
      <c r="H1141">
        <v>2.133</v>
      </c>
    </row>
    <row r="1142" spans="1:8" x14ac:dyDescent="0.25">
      <c r="A1142" t="s">
        <v>1148</v>
      </c>
      <c r="B1142">
        <v>52020</v>
      </c>
      <c r="C1142">
        <v>7891000259405</v>
      </c>
      <c r="D1142">
        <v>3.59</v>
      </c>
      <c r="E1142">
        <v>2.48</v>
      </c>
      <c r="F1142" s="3">
        <v>0.26919999999999999</v>
      </c>
      <c r="G1142">
        <v>2.2913999999999999</v>
      </c>
      <c r="H1142">
        <v>7.6669999999999998</v>
      </c>
    </row>
    <row r="1143" spans="1:8" x14ac:dyDescent="0.25">
      <c r="A1143" t="s">
        <v>1149</v>
      </c>
      <c r="B1143">
        <v>52021</v>
      </c>
      <c r="C1143">
        <v>7891000259351</v>
      </c>
      <c r="D1143">
        <v>3.59</v>
      </c>
      <c r="E1143">
        <v>2.56</v>
      </c>
      <c r="F1143" s="3">
        <v>0.26250000000000001</v>
      </c>
      <c r="G1143">
        <v>2.3157000000000001</v>
      </c>
      <c r="H1143">
        <v>4.4669999999999996</v>
      </c>
    </row>
    <row r="1144" spans="1:8" x14ac:dyDescent="0.25">
      <c r="A1144" t="s">
        <v>1150</v>
      </c>
      <c r="B1144">
        <v>4513</v>
      </c>
      <c r="C1144">
        <v>7891000241356</v>
      </c>
      <c r="D1144">
        <v>3.52</v>
      </c>
      <c r="E1144">
        <v>2.38</v>
      </c>
      <c r="F1144" s="3">
        <v>0.30510000000000004</v>
      </c>
      <c r="G1144">
        <v>2.1230000000000002</v>
      </c>
      <c r="H1144">
        <v>63.433</v>
      </c>
    </row>
    <row r="1145" spans="1:8" x14ac:dyDescent="0.25">
      <c r="A1145" t="s">
        <v>1151</v>
      </c>
      <c r="B1145">
        <v>24513</v>
      </c>
      <c r="C1145">
        <v>7891000241370</v>
      </c>
      <c r="D1145">
        <v>3.59</v>
      </c>
      <c r="E1145">
        <v>2.6</v>
      </c>
      <c r="F1145" s="3">
        <v>0.25230000000000002</v>
      </c>
      <c r="G1145">
        <v>2.3523000000000001</v>
      </c>
      <c r="H1145">
        <v>6.4</v>
      </c>
    </row>
    <row r="1146" spans="1:8" x14ac:dyDescent="0.25">
      <c r="A1146" t="s">
        <v>1152</v>
      </c>
      <c r="B1146">
        <v>4528</v>
      </c>
      <c r="C1146">
        <v>7891000241295</v>
      </c>
      <c r="D1146">
        <v>3.59</v>
      </c>
      <c r="E1146">
        <v>2.57</v>
      </c>
      <c r="F1146" s="3">
        <v>0.25800000000000001</v>
      </c>
      <c r="G1146">
        <v>2.3319000000000001</v>
      </c>
      <c r="H1146">
        <v>13.167</v>
      </c>
    </row>
    <row r="1147" spans="1:8" x14ac:dyDescent="0.25">
      <c r="A1147" t="s">
        <v>1153</v>
      </c>
      <c r="B1147">
        <v>55593</v>
      </c>
      <c r="C1147">
        <v>7891000284049</v>
      </c>
      <c r="D1147">
        <v>4.99</v>
      </c>
      <c r="E1147">
        <v>3.29</v>
      </c>
      <c r="F1147" s="3">
        <v>0.3095</v>
      </c>
      <c r="G1147">
        <v>2.9842</v>
      </c>
      <c r="H1147">
        <v>0.7</v>
      </c>
    </row>
    <row r="1148" spans="1:8" x14ac:dyDescent="0.25">
      <c r="A1148" t="s">
        <v>1154</v>
      </c>
      <c r="B1148">
        <v>4525</v>
      </c>
      <c r="C1148">
        <v>7891000051436</v>
      </c>
      <c r="D1148">
        <v>3.79</v>
      </c>
      <c r="E1148">
        <v>2.52</v>
      </c>
      <c r="F1148" s="3">
        <v>0.28100000000000003</v>
      </c>
      <c r="G1148">
        <v>2.1092</v>
      </c>
      <c r="H1148">
        <v>16.533000000000001</v>
      </c>
    </row>
    <row r="1149" spans="1:8" x14ac:dyDescent="0.25">
      <c r="A1149" t="s">
        <v>1155</v>
      </c>
      <c r="B1149">
        <v>62516</v>
      </c>
      <c r="C1149">
        <v>7891000365267</v>
      </c>
      <c r="D1149">
        <v>3.79</v>
      </c>
      <c r="E1149">
        <v>2.5</v>
      </c>
      <c r="F1149" s="3">
        <v>0.28649999999999998</v>
      </c>
      <c r="G1149">
        <v>2.0882000000000001</v>
      </c>
      <c r="H1149">
        <v>9.1</v>
      </c>
    </row>
    <row r="1150" spans="1:8" x14ac:dyDescent="0.25">
      <c r="A1150" t="s">
        <v>1156</v>
      </c>
      <c r="B1150">
        <v>62517</v>
      </c>
      <c r="C1150">
        <v>7891000365335</v>
      </c>
      <c r="D1150">
        <v>4.4800000000000004</v>
      </c>
      <c r="E1150">
        <v>2.8</v>
      </c>
      <c r="F1150" s="3">
        <v>0.32159999999999994</v>
      </c>
      <c r="G1150">
        <v>2.3104</v>
      </c>
      <c r="H1150">
        <v>15.333</v>
      </c>
    </row>
    <row r="1151" spans="1:8" x14ac:dyDescent="0.25">
      <c r="A1151" t="s">
        <v>1157</v>
      </c>
      <c r="B1151">
        <v>67175</v>
      </c>
      <c r="C1151">
        <v>8008698012857</v>
      </c>
      <c r="D1151">
        <v>32.9</v>
      </c>
      <c r="E1151">
        <v>18.53</v>
      </c>
      <c r="F1151" s="3">
        <v>0.31280000000000002</v>
      </c>
      <c r="G1151">
        <v>13.644600000000001</v>
      </c>
      <c r="H1151">
        <v>0.2</v>
      </c>
    </row>
    <row r="1152" spans="1:8" x14ac:dyDescent="0.25">
      <c r="A1152" t="s">
        <v>1158</v>
      </c>
      <c r="B1152">
        <v>65606</v>
      </c>
      <c r="C1152">
        <v>7896024761460</v>
      </c>
      <c r="D1152">
        <v>4.99</v>
      </c>
      <c r="E1152">
        <v>3.24</v>
      </c>
      <c r="F1152" s="3">
        <v>0.2898</v>
      </c>
      <c r="G1152">
        <v>2.7332000000000001</v>
      </c>
      <c r="H1152">
        <v>19.766999999999999</v>
      </c>
    </row>
    <row r="1153" spans="1:8" x14ac:dyDescent="0.25">
      <c r="A1153" t="s">
        <v>1159</v>
      </c>
      <c r="B1153">
        <v>14822</v>
      </c>
      <c r="C1153">
        <v>7896024761446</v>
      </c>
      <c r="D1153">
        <v>4.9000000000000004</v>
      </c>
      <c r="E1153">
        <v>3.22</v>
      </c>
      <c r="F1153" s="3">
        <v>0.27610000000000001</v>
      </c>
      <c r="G1153">
        <v>2.7507999999999999</v>
      </c>
      <c r="H1153">
        <v>6.7329999999999997</v>
      </c>
    </row>
    <row r="1154" spans="1:8" x14ac:dyDescent="0.25">
      <c r="A1154" t="s">
        <v>1160</v>
      </c>
      <c r="B1154">
        <v>4125</v>
      </c>
      <c r="C1154">
        <v>7896024761439</v>
      </c>
      <c r="D1154">
        <v>4.9000000000000004</v>
      </c>
      <c r="E1154">
        <v>3.23</v>
      </c>
      <c r="F1154" s="3">
        <v>0.28850000000000003</v>
      </c>
      <c r="G1154">
        <v>2.69</v>
      </c>
      <c r="H1154">
        <v>23.4</v>
      </c>
    </row>
    <row r="1155" spans="1:8" x14ac:dyDescent="0.25">
      <c r="A1155" t="s">
        <v>1161</v>
      </c>
      <c r="B1155">
        <v>4157</v>
      </c>
      <c r="C1155">
        <v>7896024761651</v>
      </c>
      <c r="D1155">
        <v>5.29</v>
      </c>
      <c r="E1155">
        <v>3.46</v>
      </c>
      <c r="F1155" s="3">
        <v>0.29249999999999998</v>
      </c>
      <c r="G1155">
        <v>2.8828999999999998</v>
      </c>
      <c r="H1155">
        <v>19.533000000000001</v>
      </c>
    </row>
    <row r="1156" spans="1:8" x14ac:dyDescent="0.25">
      <c r="A1156" t="s">
        <v>1162</v>
      </c>
      <c r="B1156">
        <v>4117</v>
      </c>
      <c r="C1156">
        <v>7896024761736</v>
      </c>
      <c r="D1156">
        <v>5.49</v>
      </c>
      <c r="E1156">
        <v>4.25</v>
      </c>
      <c r="F1156" s="3">
        <v>0.1724</v>
      </c>
      <c r="G1156">
        <v>3.6515</v>
      </c>
      <c r="H1156">
        <v>5.7</v>
      </c>
    </row>
    <row r="1157" spans="1:8" x14ac:dyDescent="0.25">
      <c r="A1157" t="s">
        <v>1163</v>
      </c>
      <c r="B1157">
        <v>4124</v>
      </c>
      <c r="C1157">
        <v>7896024761682</v>
      </c>
      <c r="D1157">
        <v>5.49</v>
      </c>
      <c r="E1157">
        <v>3.8</v>
      </c>
      <c r="F1157" s="3">
        <v>0.26090000000000002</v>
      </c>
      <c r="G1157">
        <v>3.1656</v>
      </c>
      <c r="H1157">
        <v>16.832999999999998</v>
      </c>
    </row>
    <row r="1158" spans="1:8" x14ac:dyDescent="0.25">
      <c r="A1158" t="s">
        <v>1164</v>
      </c>
      <c r="B1158">
        <v>4560</v>
      </c>
      <c r="C1158">
        <v>7896024761729</v>
      </c>
      <c r="D1158">
        <v>6.29</v>
      </c>
      <c r="E1158">
        <v>4.03</v>
      </c>
      <c r="F1158" s="3">
        <v>0.29659999999999997</v>
      </c>
      <c r="G1158">
        <v>3.4020000000000001</v>
      </c>
      <c r="H1158">
        <v>24.3</v>
      </c>
    </row>
    <row r="1159" spans="1:8" x14ac:dyDescent="0.25">
      <c r="A1159" t="s">
        <v>1165</v>
      </c>
      <c r="B1159">
        <v>4122</v>
      </c>
      <c r="C1159">
        <v>7896024761712</v>
      </c>
      <c r="D1159">
        <v>6.29</v>
      </c>
      <c r="E1159">
        <v>3.99</v>
      </c>
      <c r="F1159" s="3">
        <v>0.30609999999999998</v>
      </c>
      <c r="G1159">
        <v>3.3422000000000001</v>
      </c>
      <c r="H1159">
        <v>1.667</v>
      </c>
    </row>
    <row r="1160" spans="1:8" x14ac:dyDescent="0.25">
      <c r="A1160" t="s">
        <v>1166</v>
      </c>
      <c r="B1160">
        <v>58162</v>
      </c>
      <c r="C1160">
        <v>7896024760289</v>
      </c>
      <c r="D1160">
        <v>5.29</v>
      </c>
      <c r="E1160">
        <v>3.3</v>
      </c>
      <c r="F1160" s="3">
        <v>0.3422</v>
      </c>
      <c r="G1160">
        <v>2.9902000000000002</v>
      </c>
      <c r="H1160">
        <v>1.667</v>
      </c>
    </row>
    <row r="1161" spans="1:8" x14ac:dyDescent="0.25">
      <c r="A1161" t="s">
        <v>1167</v>
      </c>
      <c r="B1161">
        <v>67257</v>
      </c>
      <c r="C1161">
        <v>7896024761347</v>
      </c>
      <c r="D1161">
        <v>2.99</v>
      </c>
      <c r="E1161">
        <v>2.31</v>
      </c>
      <c r="F1161" s="3">
        <v>0.19949999999999998</v>
      </c>
      <c r="G1161">
        <v>2.117</v>
      </c>
      <c r="H1161">
        <v>10.532999999999999</v>
      </c>
    </row>
    <row r="1162" spans="1:8" x14ac:dyDescent="0.25">
      <c r="A1162" t="s">
        <v>1168</v>
      </c>
      <c r="B1162">
        <v>67258</v>
      </c>
      <c r="C1162">
        <v>7896024761354</v>
      </c>
      <c r="D1162">
        <v>2.99</v>
      </c>
      <c r="E1162">
        <v>2.2000000000000002</v>
      </c>
      <c r="F1162" s="3">
        <v>0.23139999999999999</v>
      </c>
      <c r="G1162">
        <v>2.0217000000000001</v>
      </c>
      <c r="H1162">
        <v>7.8330000000000002</v>
      </c>
    </row>
    <row r="1163" spans="1:8" x14ac:dyDescent="0.25">
      <c r="A1163" t="s">
        <v>1169</v>
      </c>
      <c r="B1163">
        <v>67243</v>
      </c>
      <c r="C1163">
        <v>7896024761330</v>
      </c>
      <c r="D1163">
        <v>2.99</v>
      </c>
      <c r="E1163">
        <v>2.16</v>
      </c>
      <c r="F1163" s="3">
        <v>0.23569999999999999</v>
      </c>
      <c r="G1163">
        <v>2.0087999999999999</v>
      </c>
      <c r="H1163">
        <v>4.5670000000000002</v>
      </c>
    </row>
    <row r="1164" spans="1:8" x14ac:dyDescent="0.25">
      <c r="A1164" t="s">
        <v>1170</v>
      </c>
      <c r="B1164">
        <v>31867</v>
      </c>
      <c r="C1164">
        <v>7896024761309</v>
      </c>
      <c r="D1164">
        <v>2.99</v>
      </c>
      <c r="E1164">
        <v>2.16</v>
      </c>
      <c r="F1164" s="3">
        <v>0.24440000000000001</v>
      </c>
      <c r="G1164">
        <v>1.9825999999999999</v>
      </c>
      <c r="H1164">
        <v>10.1</v>
      </c>
    </row>
    <row r="1165" spans="1:8" x14ac:dyDescent="0.25">
      <c r="A1165" t="s">
        <v>1171</v>
      </c>
      <c r="B1165">
        <v>31866</v>
      </c>
      <c r="C1165">
        <v>7896024761316</v>
      </c>
      <c r="D1165">
        <v>2.99</v>
      </c>
      <c r="E1165">
        <v>2.12</v>
      </c>
      <c r="F1165" s="3">
        <v>0.26600000000000001</v>
      </c>
      <c r="G1165">
        <v>1.9179999999999999</v>
      </c>
      <c r="H1165">
        <v>16.5</v>
      </c>
    </row>
    <row r="1166" spans="1:8" x14ac:dyDescent="0.25">
      <c r="A1166" t="s">
        <v>1172</v>
      </c>
      <c r="B1166">
        <v>31865</v>
      </c>
      <c r="C1166">
        <v>7896024761293</v>
      </c>
      <c r="D1166">
        <v>2.99</v>
      </c>
      <c r="E1166">
        <v>2.19</v>
      </c>
      <c r="F1166" s="3">
        <v>0.24210000000000001</v>
      </c>
      <c r="G1166">
        <v>1.9896</v>
      </c>
      <c r="H1166">
        <v>8.5670000000000002</v>
      </c>
    </row>
    <row r="1167" spans="1:8" x14ac:dyDescent="0.25">
      <c r="A1167" t="s">
        <v>1173</v>
      </c>
      <c r="B1167">
        <v>4319</v>
      </c>
      <c r="C1167">
        <v>7898416780059</v>
      </c>
      <c r="D1167">
        <v>5.49</v>
      </c>
      <c r="E1167">
        <v>3.29</v>
      </c>
      <c r="F1167" s="3">
        <v>0.29189999999999999</v>
      </c>
      <c r="G1167">
        <v>2.3912</v>
      </c>
      <c r="H1167">
        <v>20.332999999999998</v>
      </c>
    </row>
    <row r="1168" spans="1:8" x14ac:dyDescent="0.25">
      <c r="A1168" t="s">
        <v>1174</v>
      </c>
      <c r="B1168">
        <v>4326</v>
      </c>
      <c r="C1168">
        <v>7898416780103</v>
      </c>
      <c r="D1168">
        <v>5.49</v>
      </c>
      <c r="E1168">
        <v>3.29</v>
      </c>
      <c r="F1168" s="3">
        <v>0.29100000000000004</v>
      </c>
      <c r="G1168">
        <v>2.3965999999999998</v>
      </c>
      <c r="H1168">
        <v>11.4</v>
      </c>
    </row>
    <row r="1169" spans="1:8" x14ac:dyDescent="0.25">
      <c r="A1169" t="s">
        <v>1175</v>
      </c>
      <c r="B1169">
        <v>4328</v>
      </c>
      <c r="C1169">
        <v>7898416780028</v>
      </c>
      <c r="D1169">
        <v>5.49</v>
      </c>
      <c r="E1169">
        <v>3.3</v>
      </c>
      <c r="F1169" s="3">
        <v>0.29059999999999997</v>
      </c>
      <c r="G1169">
        <v>2.3984000000000001</v>
      </c>
      <c r="H1169">
        <v>113.133</v>
      </c>
    </row>
    <row r="1170" spans="1:8" x14ac:dyDescent="0.25">
      <c r="A1170" t="s">
        <v>1176</v>
      </c>
      <c r="B1170">
        <v>4318</v>
      </c>
      <c r="C1170">
        <v>7898416780042</v>
      </c>
      <c r="D1170">
        <v>9.9</v>
      </c>
      <c r="E1170">
        <v>5.95</v>
      </c>
      <c r="F1170" s="3">
        <v>0.29049999999999998</v>
      </c>
      <c r="G1170">
        <v>4.3258000000000001</v>
      </c>
      <c r="H1170">
        <v>25.233000000000001</v>
      </c>
    </row>
    <row r="1171" spans="1:8" x14ac:dyDescent="0.25">
      <c r="A1171" t="s">
        <v>1177</v>
      </c>
      <c r="B1171">
        <v>4322</v>
      </c>
      <c r="C1171">
        <v>7898416780035</v>
      </c>
      <c r="D1171">
        <v>9.9</v>
      </c>
      <c r="E1171">
        <v>5.95</v>
      </c>
      <c r="F1171" s="3">
        <v>0.29010000000000002</v>
      </c>
      <c r="G1171">
        <v>4.3299000000000003</v>
      </c>
      <c r="H1171">
        <v>38.533000000000001</v>
      </c>
    </row>
    <row r="1172" spans="1:8" x14ac:dyDescent="0.25">
      <c r="A1172" t="s">
        <v>1178</v>
      </c>
      <c r="B1172">
        <v>67633</v>
      </c>
      <c r="C1172">
        <v>7896256042856</v>
      </c>
      <c r="D1172">
        <v>7.99</v>
      </c>
      <c r="E1172">
        <v>4.18</v>
      </c>
      <c r="F1172" s="3">
        <v>0.34520000000000001</v>
      </c>
      <c r="G1172">
        <v>3.0546000000000002</v>
      </c>
      <c r="H1172">
        <v>4.2</v>
      </c>
    </row>
    <row r="1173" spans="1:8" x14ac:dyDescent="0.25">
      <c r="A1173" t="s">
        <v>1179</v>
      </c>
      <c r="B1173">
        <v>67632</v>
      </c>
      <c r="C1173">
        <v>7896256042849</v>
      </c>
      <c r="D1173">
        <v>7.99</v>
      </c>
      <c r="E1173">
        <v>4.16</v>
      </c>
      <c r="F1173" s="3">
        <v>0.34869999999999995</v>
      </c>
      <c r="G1173">
        <v>3.0270000000000001</v>
      </c>
      <c r="H1173">
        <v>2.1669999999999998</v>
      </c>
    </row>
    <row r="1174" spans="1:8" x14ac:dyDescent="0.25">
      <c r="A1174" t="s">
        <v>1180</v>
      </c>
      <c r="B1174">
        <v>67631</v>
      </c>
      <c r="C1174">
        <v>7896256042832</v>
      </c>
      <c r="D1174">
        <v>7.99</v>
      </c>
      <c r="E1174">
        <v>4.16</v>
      </c>
      <c r="F1174" s="3">
        <v>0.34869999999999995</v>
      </c>
      <c r="G1174">
        <v>3.0270000000000001</v>
      </c>
      <c r="H1174">
        <v>5.1669999999999998</v>
      </c>
    </row>
    <row r="1175" spans="1:8" x14ac:dyDescent="0.25">
      <c r="A1175" t="s">
        <v>1181</v>
      </c>
      <c r="B1175">
        <v>65067</v>
      </c>
      <c r="C1175">
        <v>7897327900594</v>
      </c>
      <c r="D1175">
        <v>14.9</v>
      </c>
      <c r="E1175">
        <v>8.23</v>
      </c>
      <c r="F1175" s="3">
        <v>0.32549999999999996</v>
      </c>
      <c r="G1175">
        <v>5.99</v>
      </c>
      <c r="H1175">
        <v>6.7000000000000004E-2</v>
      </c>
    </row>
    <row r="1176" spans="1:8" x14ac:dyDescent="0.25">
      <c r="A1176" t="s">
        <v>1182</v>
      </c>
      <c r="B1176">
        <v>4531</v>
      </c>
      <c r="C1176">
        <v>7891000089231</v>
      </c>
      <c r="D1176">
        <v>4.99</v>
      </c>
      <c r="E1176">
        <v>3.65</v>
      </c>
      <c r="F1176" s="3">
        <v>0.24440000000000001</v>
      </c>
      <c r="G1176">
        <v>3.3090000000000002</v>
      </c>
      <c r="H1176">
        <v>8.1329999999999991</v>
      </c>
    </row>
    <row r="1177" spans="1:8" x14ac:dyDescent="0.25">
      <c r="A1177" t="s">
        <v>1183</v>
      </c>
      <c r="B1177">
        <v>44799</v>
      </c>
      <c r="C1177">
        <v>7896292000117</v>
      </c>
      <c r="D1177">
        <v>9.99</v>
      </c>
      <c r="E1177">
        <v>6.28</v>
      </c>
      <c r="F1177" s="3">
        <v>0.33700000000000002</v>
      </c>
      <c r="G1177">
        <v>5.6992000000000003</v>
      </c>
      <c r="H1177">
        <v>0.26700000000000002</v>
      </c>
    </row>
    <row r="1178" spans="1:8" x14ac:dyDescent="0.25">
      <c r="A1178" t="s">
        <v>1184</v>
      </c>
      <c r="B1178">
        <v>44594</v>
      </c>
      <c r="C1178">
        <v>7896292000100</v>
      </c>
      <c r="D1178">
        <v>9.99</v>
      </c>
      <c r="E1178">
        <v>6.28</v>
      </c>
      <c r="F1178" s="3">
        <v>0.33700000000000002</v>
      </c>
      <c r="G1178">
        <v>5.6993</v>
      </c>
      <c r="H1178">
        <v>0.7</v>
      </c>
    </row>
    <row r="1179" spans="1:8" x14ac:dyDescent="0.25">
      <c r="A1179" t="s">
        <v>1185</v>
      </c>
      <c r="B1179">
        <v>44595</v>
      </c>
      <c r="C1179">
        <v>7896292000124</v>
      </c>
      <c r="D1179">
        <v>9.99</v>
      </c>
      <c r="E1179">
        <v>6.28</v>
      </c>
      <c r="F1179" s="3">
        <v>0.33700000000000002</v>
      </c>
      <c r="G1179">
        <v>5.6992000000000003</v>
      </c>
      <c r="H1179">
        <v>0.6</v>
      </c>
    </row>
    <row r="1180" spans="1:8" x14ac:dyDescent="0.25">
      <c r="A1180" t="s">
        <v>1186</v>
      </c>
      <c r="B1180">
        <v>38740</v>
      </c>
      <c r="C1180">
        <v>8008698002070</v>
      </c>
      <c r="D1180">
        <v>19.899999999999999</v>
      </c>
      <c r="E1180">
        <v>7.62</v>
      </c>
      <c r="F1180" s="3">
        <v>0.56059999999999999</v>
      </c>
      <c r="G1180">
        <v>6.9038000000000004</v>
      </c>
      <c r="H1180">
        <v>0.63300000000000001</v>
      </c>
    </row>
    <row r="1181" spans="1:8" x14ac:dyDescent="0.25">
      <c r="A1181" t="s">
        <v>1187</v>
      </c>
      <c r="B1181">
        <v>38741</v>
      </c>
      <c r="C1181">
        <v>8008698002049</v>
      </c>
      <c r="D1181">
        <v>34.9</v>
      </c>
      <c r="E1181">
        <v>18.190000000000001</v>
      </c>
      <c r="F1181" s="3">
        <v>0.43930000000000002</v>
      </c>
      <c r="G1181">
        <v>16.339500000000001</v>
      </c>
      <c r="H1181">
        <v>0.26700000000000002</v>
      </c>
    </row>
    <row r="1182" spans="1:8" x14ac:dyDescent="0.25">
      <c r="A1182" t="s">
        <v>1188</v>
      </c>
      <c r="B1182">
        <v>51183</v>
      </c>
      <c r="C1182">
        <v>8008698020722</v>
      </c>
      <c r="D1182">
        <v>24.9</v>
      </c>
      <c r="E1182">
        <v>14.3</v>
      </c>
      <c r="F1182" s="3">
        <v>0.30480000000000002</v>
      </c>
      <c r="G1182">
        <v>10.525700000000001</v>
      </c>
      <c r="H1182">
        <v>0.7</v>
      </c>
    </row>
    <row r="1183" spans="1:8" x14ac:dyDescent="0.25">
      <c r="A1183" t="s">
        <v>1189</v>
      </c>
      <c r="B1183">
        <v>38731</v>
      </c>
      <c r="C1183">
        <v>8008698004548</v>
      </c>
      <c r="D1183">
        <v>29.9</v>
      </c>
      <c r="E1183">
        <v>21.26</v>
      </c>
      <c r="F1183" s="3">
        <v>0.26170000000000004</v>
      </c>
      <c r="G1183">
        <v>19.310600000000001</v>
      </c>
      <c r="H1183">
        <v>0.16700000000000001</v>
      </c>
    </row>
    <row r="1184" spans="1:8" x14ac:dyDescent="0.25">
      <c r="A1184" t="s">
        <v>1190</v>
      </c>
      <c r="B1184">
        <v>65512</v>
      </c>
      <c r="C1184">
        <v>8008698005231</v>
      </c>
      <c r="D1184">
        <v>34.9</v>
      </c>
      <c r="E1184">
        <v>23.53</v>
      </c>
      <c r="F1184" s="3">
        <v>0.29559999999999997</v>
      </c>
      <c r="G1184">
        <v>21.354800000000001</v>
      </c>
      <c r="H1184">
        <v>0.3</v>
      </c>
    </row>
    <row r="1185" spans="1:8" x14ac:dyDescent="0.25">
      <c r="A1185" t="s">
        <v>1191</v>
      </c>
      <c r="B1185">
        <v>4320</v>
      </c>
      <c r="C1185">
        <v>7891203020253</v>
      </c>
      <c r="D1185">
        <v>8.99</v>
      </c>
      <c r="E1185">
        <v>5.77</v>
      </c>
      <c r="F1185" s="3">
        <v>0.3251</v>
      </c>
      <c r="G1185">
        <v>5.2355</v>
      </c>
      <c r="H1185">
        <v>10.933</v>
      </c>
    </row>
    <row r="1186" spans="1:8" x14ac:dyDescent="0.25">
      <c r="A1186" t="s">
        <v>1192</v>
      </c>
      <c r="B1186">
        <v>4321</v>
      </c>
      <c r="C1186">
        <v>7891203021250</v>
      </c>
      <c r="D1186">
        <v>15.9</v>
      </c>
      <c r="E1186">
        <v>11.63</v>
      </c>
      <c r="F1186" s="3">
        <v>0.24379999999999999</v>
      </c>
      <c r="G1186">
        <v>10.552099999999999</v>
      </c>
      <c r="H1186">
        <v>10.933</v>
      </c>
    </row>
    <row r="1187" spans="1:8" x14ac:dyDescent="0.25">
      <c r="A1187" t="s">
        <v>1193</v>
      </c>
      <c r="B1187">
        <v>23705</v>
      </c>
      <c r="C1187">
        <v>7896564402014</v>
      </c>
      <c r="D1187">
        <v>11.9</v>
      </c>
      <c r="E1187">
        <v>7.97</v>
      </c>
      <c r="F1187" s="3">
        <v>0.29980000000000001</v>
      </c>
      <c r="G1187">
        <v>7.2316000000000003</v>
      </c>
      <c r="H1187">
        <v>2.6669999999999998</v>
      </c>
    </row>
    <row r="1188" spans="1:8" x14ac:dyDescent="0.25">
      <c r="A1188" t="s">
        <v>1194</v>
      </c>
      <c r="B1188">
        <v>35496</v>
      </c>
      <c r="C1188">
        <v>7891193030140</v>
      </c>
      <c r="D1188">
        <v>8.99</v>
      </c>
      <c r="E1188">
        <v>6.49</v>
      </c>
      <c r="F1188" s="3">
        <v>0.25280000000000002</v>
      </c>
      <c r="G1188">
        <v>5.8859000000000004</v>
      </c>
      <c r="H1188">
        <v>3.4</v>
      </c>
    </row>
    <row r="1189" spans="1:8" x14ac:dyDescent="0.25">
      <c r="A1189" t="s">
        <v>1195</v>
      </c>
      <c r="B1189">
        <v>47427</v>
      </c>
      <c r="C1189">
        <v>7896283006456</v>
      </c>
      <c r="D1189">
        <v>5.99</v>
      </c>
      <c r="E1189">
        <v>3.41</v>
      </c>
      <c r="F1189" s="3">
        <v>0.39360000000000001</v>
      </c>
      <c r="G1189">
        <v>3.0781999999999998</v>
      </c>
      <c r="H1189">
        <v>3.6669999999999998</v>
      </c>
    </row>
    <row r="1190" spans="1:8" x14ac:dyDescent="0.25">
      <c r="A1190" t="s">
        <v>1196</v>
      </c>
      <c r="B1190">
        <v>47426</v>
      </c>
      <c r="C1190">
        <v>7896283006494</v>
      </c>
      <c r="D1190">
        <v>5.99</v>
      </c>
      <c r="E1190">
        <v>3.56</v>
      </c>
      <c r="F1190" s="3">
        <v>0.37310000000000004</v>
      </c>
      <c r="G1190">
        <v>3.2012</v>
      </c>
      <c r="H1190">
        <v>3.3</v>
      </c>
    </row>
    <row r="1191" spans="1:8" x14ac:dyDescent="0.25">
      <c r="A1191" t="s">
        <v>1197</v>
      </c>
      <c r="B1191">
        <v>47428</v>
      </c>
      <c r="C1191">
        <v>7896283006524</v>
      </c>
      <c r="D1191">
        <v>5.99</v>
      </c>
      <c r="E1191">
        <v>3.41</v>
      </c>
      <c r="F1191" s="3">
        <v>0.3926</v>
      </c>
      <c r="G1191">
        <v>3.0844</v>
      </c>
      <c r="H1191">
        <v>3.5329999999999999</v>
      </c>
    </row>
    <row r="1192" spans="1:8" x14ac:dyDescent="0.25">
      <c r="A1192" t="s">
        <v>1198</v>
      </c>
      <c r="B1192">
        <v>64786</v>
      </c>
      <c r="C1192">
        <v>8809399460165</v>
      </c>
      <c r="D1192">
        <v>12.9</v>
      </c>
      <c r="E1192">
        <v>8</v>
      </c>
      <c r="F1192" s="3">
        <v>0.34470000000000001</v>
      </c>
      <c r="G1192">
        <v>7.26</v>
      </c>
      <c r="H1192">
        <v>0</v>
      </c>
    </row>
    <row r="1193" spans="1:8" x14ac:dyDescent="0.25">
      <c r="A1193" t="s">
        <v>1199</v>
      </c>
      <c r="B1193">
        <v>67982</v>
      </c>
      <c r="C1193">
        <v>3178530402988</v>
      </c>
      <c r="D1193">
        <v>26.9</v>
      </c>
      <c r="E1193">
        <v>17.899999999999999</v>
      </c>
      <c r="F1193" s="3">
        <v>0.30359999999999998</v>
      </c>
      <c r="G1193">
        <v>16.244199999999999</v>
      </c>
      <c r="H1193">
        <v>0.3</v>
      </c>
    </row>
    <row r="1194" spans="1:8" x14ac:dyDescent="0.25">
      <c r="A1194" t="s">
        <v>1200</v>
      </c>
      <c r="B1194">
        <v>67983</v>
      </c>
      <c r="C1194">
        <v>3178530402995</v>
      </c>
      <c r="D1194">
        <v>26.9</v>
      </c>
      <c r="E1194">
        <v>17.899999999999999</v>
      </c>
      <c r="F1194" s="3">
        <v>0.30359999999999998</v>
      </c>
      <c r="G1194">
        <v>16.244199999999999</v>
      </c>
      <c r="H1194">
        <v>0.433</v>
      </c>
    </row>
    <row r="1195" spans="1:8" x14ac:dyDescent="0.25">
      <c r="A1195" t="s">
        <v>1201</v>
      </c>
      <c r="B1195">
        <v>66710</v>
      </c>
      <c r="C1195">
        <v>7891000397961</v>
      </c>
      <c r="D1195">
        <v>5.79</v>
      </c>
      <c r="E1195">
        <v>3.63</v>
      </c>
      <c r="F1195" s="3">
        <v>0.31170000000000003</v>
      </c>
      <c r="G1195">
        <v>3.0442</v>
      </c>
      <c r="H1195">
        <v>13.7</v>
      </c>
    </row>
    <row r="1196" spans="1:8" x14ac:dyDescent="0.25">
      <c r="A1196" t="s">
        <v>1202</v>
      </c>
      <c r="B1196">
        <v>58222</v>
      </c>
      <c r="C1196">
        <v>7891000329498</v>
      </c>
      <c r="D1196">
        <v>3.99</v>
      </c>
      <c r="E1196">
        <v>2.72</v>
      </c>
      <c r="F1196" s="3">
        <v>0.2666</v>
      </c>
      <c r="G1196">
        <v>2.2778999999999998</v>
      </c>
      <c r="H1196">
        <v>19.5</v>
      </c>
    </row>
    <row r="1197" spans="1:8" x14ac:dyDescent="0.25">
      <c r="A1197" t="s">
        <v>1203</v>
      </c>
      <c r="B1197">
        <v>58219</v>
      </c>
      <c r="C1197">
        <v>7891000329450</v>
      </c>
      <c r="D1197">
        <v>3.99</v>
      </c>
      <c r="E1197">
        <v>2.75</v>
      </c>
      <c r="F1197" s="3">
        <v>0.26590000000000003</v>
      </c>
      <c r="G1197">
        <v>2.2806000000000002</v>
      </c>
      <c r="H1197">
        <v>17.233000000000001</v>
      </c>
    </row>
    <row r="1198" spans="1:8" x14ac:dyDescent="0.25">
      <c r="A1198" t="s">
        <v>1204</v>
      </c>
      <c r="B1198">
        <v>4144</v>
      </c>
      <c r="C1198">
        <v>7891168100069</v>
      </c>
      <c r="D1198">
        <v>4.1399999999999997</v>
      </c>
      <c r="E1198">
        <v>3.2</v>
      </c>
      <c r="F1198" s="3">
        <v>0.1928</v>
      </c>
      <c r="G1198">
        <v>2.6722000000000001</v>
      </c>
      <c r="H1198">
        <v>44.267000000000003</v>
      </c>
    </row>
    <row r="1199" spans="1:8" x14ac:dyDescent="0.25">
      <c r="A1199" t="s">
        <v>1205</v>
      </c>
      <c r="B1199">
        <v>3737</v>
      </c>
      <c r="C1199">
        <v>7891168100014</v>
      </c>
      <c r="D1199">
        <v>4.49</v>
      </c>
      <c r="E1199">
        <v>2.84</v>
      </c>
      <c r="F1199" s="3">
        <v>0.30769999999999997</v>
      </c>
      <c r="G1199">
        <v>2.3788</v>
      </c>
      <c r="H1199">
        <v>58.433</v>
      </c>
    </row>
    <row r="1200" spans="1:8" x14ac:dyDescent="0.25">
      <c r="A1200" t="s">
        <v>1206</v>
      </c>
      <c r="B1200">
        <v>22027</v>
      </c>
      <c r="C1200">
        <v>7622300741013</v>
      </c>
      <c r="D1200">
        <v>2.89</v>
      </c>
      <c r="E1200">
        <v>1.91</v>
      </c>
      <c r="F1200" s="3">
        <v>0.31059999999999999</v>
      </c>
      <c r="G1200">
        <v>1.7251000000000001</v>
      </c>
      <c r="H1200">
        <v>62.533000000000001</v>
      </c>
    </row>
    <row r="1201" spans="1:8" x14ac:dyDescent="0.25">
      <c r="A1201" t="s">
        <v>1207</v>
      </c>
      <c r="B1201">
        <v>22030</v>
      </c>
      <c r="C1201">
        <v>7622300741297</v>
      </c>
      <c r="D1201">
        <v>2.89</v>
      </c>
      <c r="E1201">
        <v>1.98</v>
      </c>
      <c r="F1201" s="3">
        <v>0.28449999999999998</v>
      </c>
      <c r="G1201">
        <v>1.8003</v>
      </c>
      <c r="H1201">
        <v>25.6</v>
      </c>
    </row>
    <row r="1202" spans="1:8" x14ac:dyDescent="0.25">
      <c r="A1202" t="s">
        <v>1208</v>
      </c>
      <c r="B1202">
        <v>22031</v>
      </c>
      <c r="C1202">
        <v>7622300741235</v>
      </c>
      <c r="D1202">
        <v>2.89</v>
      </c>
      <c r="E1202">
        <v>1.98</v>
      </c>
      <c r="F1202" s="3">
        <v>0.28460000000000002</v>
      </c>
      <c r="G1202">
        <v>1.8001</v>
      </c>
      <c r="H1202">
        <v>40.966999999999999</v>
      </c>
    </row>
    <row r="1203" spans="1:8" x14ac:dyDescent="0.25">
      <c r="A1203" t="s">
        <v>1209</v>
      </c>
      <c r="B1203">
        <v>22032</v>
      </c>
      <c r="C1203">
        <v>7622300741044</v>
      </c>
      <c r="D1203">
        <v>2.89</v>
      </c>
      <c r="E1203">
        <v>1.98</v>
      </c>
      <c r="F1203" s="3">
        <v>0.2848</v>
      </c>
      <c r="G1203">
        <v>1.7997000000000001</v>
      </c>
      <c r="H1203">
        <v>30.9</v>
      </c>
    </row>
    <row r="1204" spans="1:8" x14ac:dyDescent="0.25">
      <c r="A1204" t="s">
        <v>1210</v>
      </c>
      <c r="B1204">
        <v>62592</v>
      </c>
      <c r="C1204">
        <v>7622210573933</v>
      </c>
      <c r="D1204">
        <v>2.89</v>
      </c>
      <c r="E1204">
        <v>1.96</v>
      </c>
      <c r="F1204" s="3">
        <v>0.28320000000000001</v>
      </c>
      <c r="G1204">
        <v>1.8041</v>
      </c>
      <c r="H1204">
        <v>4.2</v>
      </c>
    </row>
    <row r="1205" spans="1:8" x14ac:dyDescent="0.25">
      <c r="A1205" t="s">
        <v>1211</v>
      </c>
      <c r="B1205">
        <v>62593</v>
      </c>
      <c r="C1205">
        <v>7622210573919</v>
      </c>
      <c r="D1205">
        <v>2.89</v>
      </c>
      <c r="E1205">
        <v>1.97</v>
      </c>
      <c r="F1205" s="3">
        <v>0.2853</v>
      </c>
      <c r="G1205">
        <v>1.7981</v>
      </c>
      <c r="H1205">
        <v>6.9329999999999998</v>
      </c>
    </row>
    <row r="1206" spans="1:8" x14ac:dyDescent="0.25">
      <c r="A1206" t="s">
        <v>1212</v>
      </c>
      <c r="B1206">
        <v>65436</v>
      </c>
      <c r="C1206">
        <v>7896256066234</v>
      </c>
      <c r="D1206">
        <v>11.9</v>
      </c>
      <c r="E1206">
        <v>7.79</v>
      </c>
      <c r="F1206" s="3">
        <v>0.31370000000000003</v>
      </c>
      <c r="G1206">
        <v>7.0667</v>
      </c>
      <c r="H1206">
        <v>0.16700000000000001</v>
      </c>
    </row>
    <row r="1207" spans="1:8" x14ac:dyDescent="0.25">
      <c r="A1207" t="s">
        <v>1213</v>
      </c>
      <c r="B1207">
        <v>67172</v>
      </c>
      <c r="C1207">
        <v>8008698040867</v>
      </c>
      <c r="D1207">
        <v>31.9</v>
      </c>
      <c r="E1207">
        <v>20.83</v>
      </c>
      <c r="F1207" s="3">
        <v>0.31590000000000001</v>
      </c>
      <c r="G1207">
        <v>18.870799999999999</v>
      </c>
      <c r="H1207">
        <v>0.16700000000000001</v>
      </c>
    </row>
    <row r="1208" spans="1:8" x14ac:dyDescent="0.25">
      <c r="A1208" t="s">
        <v>1214</v>
      </c>
      <c r="B1208">
        <v>58748</v>
      </c>
      <c r="C1208">
        <v>5601008201106</v>
      </c>
      <c r="D1208">
        <v>18.899999999999999</v>
      </c>
      <c r="E1208">
        <v>10.06</v>
      </c>
      <c r="F1208" s="3">
        <v>0.4244</v>
      </c>
      <c r="G1208">
        <v>9.1300000000000008</v>
      </c>
      <c r="H1208">
        <v>0</v>
      </c>
    </row>
    <row r="1209" spans="1:8" x14ac:dyDescent="0.25">
      <c r="A1209" t="s">
        <v>1215</v>
      </c>
      <c r="B1209">
        <v>58766</v>
      </c>
      <c r="C1209">
        <v>5601008200307</v>
      </c>
      <c r="D1209">
        <v>17.899999999999999</v>
      </c>
      <c r="E1209">
        <v>10.199999999999999</v>
      </c>
      <c r="F1209" s="3">
        <v>0.39039999999999997</v>
      </c>
      <c r="G1209">
        <v>9.2556999999999992</v>
      </c>
      <c r="H1209">
        <v>0.4</v>
      </c>
    </row>
    <row r="1210" spans="1:8" x14ac:dyDescent="0.25">
      <c r="A1210" t="s">
        <v>1216</v>
      </c>
      <c r="B1210">
        <v>58747</v>
      </c>
      <c r="C1210">
        <v>5601008200062</v>
      </c>
      <c r="D1210">
        <v>24.9</v>
      </c>
      <c r="E1210">
        <v>14.89</v>
      </c>
      <c r="F1210" s="3">
        <v>0.36460000000000004</v>
      </c>
      <c r="G1210">
        <v>13.5175</v>
      </c>
      <c r="H1210">
        <v>53.732999999999997</v>
      </c>
    </row>
    <row r="1211" spans="1:8" x14ac:dyDescent="0.25">
      <c r="A1211" t="s">
        <v>1217</v>
      </c>
      <c r="B1211">
        <v>62249</v>
      </c>
      <c r="C1211">
        <v>5601008701330</v>
      </c>
      <c r="D1211">
        <v>13.9</v>
      </c>
      <c r="E1211">
        <v>9.0399999999999991</v>
      </c>
      <c r="F1211" s="3">
        <v>0.31759999999999999</v>
      </c>
      <c r="G1211">
        <v>8.1999999999999993</v>
      </c>
      <c r="H1211">
        <v>2.9</v>
      </c>
    </row>
    <row r="1212" spans="1:8" x14ac:dyDescent="0.25">
      <c r="A1212" t="s">
        <v>1218</v>
      </c>
      <c r="B1212">
        <v>31906</v>
      </c>
      <c r="C1212">
        <v>7896213006341</v>
      </c>
      <c r="D1212">
        <v>6.49</v>
      </c>
      <c r="E1212">
        <v>4.55</v>
      </c>
      <c r="F1212" s="3">
        <v>0.24979999999999999</v>
      </c>
      <c r="G1212">
        <v>3.8138999999999998</v>
      </c>
      <c r="H1212">
        <v>1.6</v>
      </c>
    </row>
    <row r="1213" spans="1:8" x14ac:dyDescent="0.25">
      <c r="A1213" t="s">
        <v>1219</v>
      </c>
      <c r="B1213">
        <v>31904</v>
      </c>
      <c r="C1213">
        <v>7896213006242</v>
      </c>
      <c r="D1213">
        <v>6.49</v>
      </c>
      <c r="E1213">
        <v>4.6399999999999997</v>
      </c>
      <c r="F1213" s="3">
        <v>0.23879999999999998</v>
      </c>
      <c r="G1213">
        <v>3.8858000000000001</v>
      </c>
      <c r="H1213">
        <v>14.8</v>
      </c>
    </row>
    <row r="1214" spans="1:8" x14ac:dyDescent="0.25">
      <c r="A1214" t="s">
        <v>1220</v>
      </c>
      <c r="B1214">
        <v>67260</v>
      </c>
      <c r="C1214">
        <v>7896213005771</v>
      </c>
      <c r="D1214">
        <v>8.9</v>
      </c>
      <c r="E1214">
        <v>6.09</v>
      </c>
      <c r="F1214" s="3">
        <v>0.26469999999999999</v>
      </c>
      <c r="G1214">
        <v>5.0975000000000001</v>
      </c>
      <c r="H1214">
        <v>7.7709999999999999</v>
      </c>
    </row>
    <row r="1215" spans="1:8" x14ac:dyDescent="0.25">
      <c r="A1215" t="s">
        <v>1221</v>
      </c>
      <c r="B1215">
        <v>31913</v>
      </c>
      <c r="C1215">
        <v>7896213006372</v>
      </c>
      <c r="D1215">
        <v>6.49</v>
      </c>
      <c r="E1215">
        <v>4.51</v>
      </c>
      <c r="F1215" s="3">
        <v>0.27690000000000003</v>
      </c>
      <c r="G1215">
        <v>4.0926999999999998</v>
      </c>
      <c r="H1215">
        <v>3.7</v>
      </c>
    </row>
    <row r="1216" spans="1:8" x14ac:dyDescent="0.25">
      <c r="A1216" t="s">
        <v>1222</v>
      </c>
      <c r="B1216">
        <v>4247</v>
      </c>
      <c r="C1216">
        <v>7891962036991</v>
      </c>
      <c r="D1216">
        <v>4.9000000000000004</v>
      </c>
      <c r="E1216">
        <v>3.08</v>
      </c>
      <c r="F1216" s="3">
        <v>0.33770000000000006</v>
      </c>
      <c r="G1216">
        <v>2.7921999999999998</v>
      </c>
      <c r="H1216">
        <v>50.267000000000003</v>
      </c>
    </row>
    <row r="1217" spans="1:8" x14ac:dyDescent="0.25">
      <c r="A1217" t="s">
        <v>1223</v>
      </c>
      <c r="B1217">
        <v>4248</v>
      </c>
      <c r="C1217">
        <v>7891962036984</v>
      </c>
      <c r="D1217">
        <v>4.9000000000000004</v>
      </c>
      <c r="E1217">
        <v>3.08</v>
      </c>
      <c r="F1217" s="3">
        <v>0.33770000000000006</v>
      </c>
      <c r="G1217">
        <v>2.7921</v>
      </c>
      <c r="H1217">
        <v>75.266999999999996</v>
      </c>
    </row>
    <row r="1218" spans="1:8" x14ac:dyDescent="0.25">
      <c r="A1218" t="s">
        <v>1224</v>
      </c>
      <c r="B1218">
        <v>4254</v>
      </c>
      <c r="C1218">
        <v>7891962037004</v>
      </c>
      <c r="D1218">
        <v>4.9000000000000004</v>
      </c>
      <c r="E1218">
        <v>3.08</v>
      </c>
      <c r="F1218" s="3">
        <v>0.33770000000000006</v>
      </c>
      <c r="G1218">
        <v>2.7921999999999998</v>
      </c>
      <c r="H1218">
        <v>36.767000000000003</v>
      </c>
    </row>
    <row r="1219" spans="1:8" x14ac:dyDescent="0.25">
      <c r="A1219" t="s">
        <v>1225</v>
      </c>
      <c r="B1219">
        <v>65724</v>
      </c>
      <c r="C1219">
        <v>7891962071176</v>
      </c>
      <c r="D1219">
        <v>4.99</v>
      </c>
      <c r="E1219">
        <v>3.17</v>
      </c>
      <c r="F1219" s="3">
        <v>0.34049999999999997</v>
      </c>
      <c r="G1219">
        <v>2.8294999999999999</v>
      </c>
      <c r="H1219">
        <v>6.633</v>
      </c>
    </row>
    <row r="1220" spans="1:8" x14ac:dyDescent="0.25">
      <c r="A1220" t="s">
        <v>1226</v>
      </c>
      <c r="B1220">
        <v>65723</v>
      </c>
      <c r="C1220">
        <v>7891962071688</v>
      </c>
      <c r="D1220">
        <v>4.99</v>
      </c>
      <c r="E1220">
        <v>3.13</v>
      </c>
      <c r="F1220" s="3">
        <v>0.34210000000000002</v>
      </c>
      <c r="G1220">
        <v>2.8212999999999999</v>
      </c>
      <c r="H1220">
        <v>24.2</v>
      </c>
    </row>
    <row r="1221" spans="1:8" x14ac:dyDescent="0.25">
      <c r="A1221" t="s">
        <v>1227</v>
      </c>
      <c r="B1221">
        <v>68013</v>
      </c>
      <c r="C1221">
        <v>7891962075792</v>
      </c>
      <c r="D1221">
        <v>4.79</v>
      </c>
      <c r="E1221">
        <v>3.08</v>
      </c>
      <c r="F1221" s="3">
        <v>0.3246</v>
      </c>
      <c r="G1221">
        <v>2.7923</v>
      </c>
      <c r="H1221">
        <v>15</v>
      </c>
    </row>
    <row r="1222" spans="1:8" x14ac:dyDescent="0.25">
      <c r="A1222" t="s">
        <v>1228</v>
      </c>
      <c r="B1222">
        <v>4256</v>
      </c>
      <c r="C1222">
        <v>7891962037028</v>
      </c>
      <c r="D1222">
        <v>4.9000000000000004</v>
      </c>
      <c r="E1222">
        <v>3.08</v>
      </c>
      <c r="F1222" s="3">
        <v>0.33759999999999996</v>
      </c>
      <c r="G1222">
        <v>2.7927</v>
      </c>
      <c r="H1222">
        <v>33.732999999999997</v>
      </c>
    </row>
    <row r="1223" spans="1:8" x14ac:dyDescent="0.25">
      <c r="A1223" t="s">
        <v>1229</v>
      </c>
      <c r="B1223">
        <v>64483</v>
      </c>
      <c r="C1223">
        <v>7891000372586</v>
      </c>
      <c r="D1223">
        <v>4.49</v>
      </c>
      <c r="E1223">
        <v>2.93</v>
      </c>
      <c r="F1223" s="3">
        <v>0.31530000000000002</v>
      </c>
      <c r="G1223">
        <v>2.6589999999999998</v>
      </c>
      <c r="H1223">
        <v>1.4330000000000001</v>
      </c>
    </row>
    <row r="1224" spans="1:8" x14ac:dyDescent="0.25">
      <c r="A1224" t="s">
        <v>1230</v>
      </c>
      <c r="B1224">
        <v>64484</v>
      </c>
      <c r="C1224">
        <v>7891000373262</v>
      </c>
      <c r="D1224">
        <v>4.49</v>
      </c>
      <c r="E1224">
        <v>2.81</v>
      </c>
      <c r="F1224" s="3">
        <v>0.33200000000000002</v>
      </c>
      <c r="G1224">
        <v>2.5840999999999998</v>
      </c>
      <c r="H1224">
        <v>0.93300000000000005</v>
      </c>
    </row>
    <row r="1225" spans="1:8" x14ac:dyDescent="0.25">
      <c r="A1225" t="s">
        <v>1231</v>
      </c>
      <c r="B1225">
        <v>58218</v>
      </c>
      <c r="C1225">
        <v>7891000329207</v>
      </c>
      <c r="D1225">
        <v>4.49</v>
      </c>
      <c r="E1225">
        <v>2.93</v>
      </c>
      <c r="F1225" s="3">
        <v>0.3175</v>
      </c>
      <c r="G1225">
        <v>2.6490999999999998</v>
      </c>
      <c r="H1225">
        <v>3.9</v>
      </c>
    </row>
    <row r="1226" spans="1:8" x14ac:dyDescent="0.25">
      <c r="A1226" t="s">
        <v>1232</v>
      </c>
      <c r="B1226">
        <v>56560</v>
      </c>
      <c r="C1226">
        <v>7898024398424</v>
      </c>
      <c r="D1226">
        <v>4.99</v>
      </c>
      <c r="E1226">
        <v>3.36</v>
      </c>
      <c r="F1226" s="3">
        <v>0.29559999999999997</v>
      </c>
      <c r="G1226">
        <v>3.0533000000000001</v>
      </c>
      <c r="H1226">
        <v>54.466999999999999</v>
      </c>
    </row>
    <row r="1227" spans="1:8" x14ac:dyDescent="0.25">
      <c r="A1227" t="s">
        <v>1233</v>
      </c>
      <c r="B1227">
        <v>66530</v>
      </c>
      <c r="C1227">
        <v>8695504164000</v>
      </c>
      <c r="D1227">
        <v>11.9</v>
      </c>
      <c r="E1227">
        <v>8.02</v>
      </c>
      <c r="F1227" s="3">
        <v>0.29570000000000002</v>
      </c>
      <c r="G1227">
        <v>7.2808000000000002</v>
      </c>
      <c r="H1227">
        <v>0</v>
      </c>
    </row>
    <row r="1228" spans="1:8" x14ac:dyDescent="0.25">
      <c r="A1228" t="s">
        <v>1234</v>
      </c>
      <c r="B1228">
        <v>64427</v>
      </c>
      <c r="C1228">
        <v>7898024398752</v>
      </c>
      <c r="D1228">
        <v>4.99</v>
      </c>
      <c r="E1228">
        <v>3.36</v>
      </c>
      <c r="F1228" s="3">
        <v>0.2949</v>
      </c>
      <c r="G1228">
        <v>3.0571000000000002</v>
      </c>
      <c r="H1228">
        <v>16.367000000000001</v>
      </c>
    </row>
    <row r="1229" spans="1:8" x14ac:dyDescent="0.25">
      <c r="A1229" t="s">
        <v>1235</v>
      </c>
      <c r="B1229">
        <v>10563</v>
      </c>
      <c r="C1229">
        <v>8000380003723</v>
      </c>
      <c r="D1229">
        <v>29.9</v>
      </c>
      <c r="E1229">
        <v>26.69</v>
      </c>
      <c r="F1229" s="3">
        <v>9.7599999999999992E-2</v>
      </c>
      <c r="G1229">
        <v>24.214600000000001</v>
      </c>
      <c r="H1229">
        <v>0.8</v>
      </c>
    </row>
    <row r="1230" spans="1:8" x14ac:dyDescent="0.25">
      <c r="A1230" t="s">
        <v>1236</v>
      </c>
      <c r="B1230">
        <v>47917</v>
      </c>
      <c r="C1230">
        <v>7896292002760</v>
      </c>
      <c r="D1230">
        <v>12.9</v>
      </c>
      <c r="E1230">
        <v>8.16</v>
      </c>
      <c r="F1230" s="3">
        <v>0.33350000000000002</v>
      </c>
      <c r="G1230">
        <v>7.4046000000000003</v>
      </c>
      <c r="H1230">
        <v>1.133</v>
      </c>
    </row>
    <row r="1231" spans="1:8" x14ac:dyDescent="0.25">
      <c r="A1231" t="s">
        <v>1237</v>
      </c>
      <c r="B1231">
        <v>44591</v>
      </c>
      <c r="C1231">
        <v>7896292002746</v>
      </c>
      <c r="D1231">
        <v>12.9</v>
      </c>
      <c r="E1231">
        <v>8.16</v>
      </c>
      <c r="F1231" s="3">
        <v>0.33350000000000002</v>
      </c>
      <c r="G1231">
        <v>7.4044999999999996</v>
      </c>
      <c r="H1231">
        <v>1.0329999999999999</v>
      </c>
    </row>
    <row r="1232" spans="1:8" x14ac:dyDescent="0.25">
      <c r="A1232" t="s">
        <v>1238</v>
      </c>
      <c r="B1232">
        <v>44798</v>
      </c>
      <c r="C1232">
        <v>7896292002739</v>
      </c>
      <c r="D1232">
        <v>12.9</v>
      </c>
      <c r="E1232">
        <v>8.16</v>
      </c>
      <c r="F1232" s="3">
        <v>0.33350000000000002</v>
      </c>
      <c r="G1232">
        <v>7.4047999999999998</v>
      </c>
      <c r="H1232">
        <v>1</v>
      </c>
    </row>
    <row r="1233" spans="1:8" x14ac:dyDescent="0.25">
      <c r="A1233" t="s">
        <v>1239</v>
      </c>
      <c r="B1233">
        <v>44592</v>
      </c>
      <c r="C1233">
        <v>7896292002708</v>
      </c>
      <c r="D1233">
        <v>12.9</v>
      </c>
      <c r="E1233">
        <v>8.16</v>
      </c>
      <c r="F1233" s="3">
        <v>0.33350000000000002</v>
      </c>
      <c r="G1233">
        <v>7.4048999999999996</v>
      </c>
      <c r="H1233">
        <v>0.83299999999999996</v>
      </c>
    </row>
    <row r="1234" spans="1:8" x14ac:dyDescent="0.25">
      <c r="A1234" t="s">
        <v>1240</v>
      </c>
      <c r="B1234">
        <v>4535</v>
      </c>
      <c r="C1234">
        <v>7891000077962</v>
      </c>
      <c r="D1234">
        <v>4.49</v>
      </c>
      <c r="E1234">
        <v>2.92</v>
      </c>
      <c r="F1234" s="3">
        <v>0.316</v>
      </c>
      <c r="G1234">
        <v>2.6556999999999999</v>
      </c>
      <c r="H1234">
        <v>2.8330000000000002</v>
      </c>
    </row>
    <row r="1235" spans="1:8" x14ac:dyDescent="0.25">
      <c r="A1235" t="s">
        <v>1241</v>
      </c>
      <c r="B1235">
        <v>62515</v>
      </c>
      <c r="C1235">
        <v>7891000364253</v>
      </c>
      <c r="D1235">
        <v>4.49</v>
      </c>
      <c r="E1235">
        <v>2.87</v>
      </c>
      <c r="F1235" s="3">
        <v>0.32319999999999999</v>
      </c>
      <c r="G1235">
        <v>2.6234999999999999</v>
      </c>
      <c r="H1235">
        <v>3.2</v>
      </c>
    </row>
    <row r="1236" spans="1:8" x14ac:dyDescent="0.25">
      <c r="A1236" t="s">
        <v>1242</v>
      </c>
      <c r="B1236">
        <v>4536</v>
      </c>
      <c r="C1236">
        <v>7891000081242</v>
      </c>
      <c r="D1236">
        <v>1.39</v>
      </c>
      <c r="E1236">
        <v>0.78</v>
      </c>
      <c r="F1236" s="3">
        <v>0.39729999999999999</v>
      </c>
      <c r="G1236">
        <v>0.70909999999999995</v>
      </c>
      <c r="H1236">
        <v>68.367000000000004</v>
      </c>
    </row>
    <row r="1237" spans="1:8" x14ac:dyDescent="0.25">
      <c r="A1237" t="s">
        <v>1243</v>
      </c>
      <c r="B1237">
        <v>4537</v>
      </c>
      <c r="C1237">
        <v>7891000081211</v>
      </c>
      <c r="D1237">
        <v>1.39</v>
      </c>
      <c r="E1237">
        <v>0.74</v>
      </c>
      <c r="F1237" s="3">
        <v>0.42330000000000001</v>
      </c>
      <c r="G1237">
        <v>0.67310000000000003</v>
      </c>
      <c r="H1237">
        <v>33</v>
      </c>
    </row>
    <row r="1238" spans="1:8" x14ac:dyDescent="0.25">
      <c r="A1238" t="s">
        <v>1244</v>
      </c>
      <c r="B1238">
        <v>4130</v>
      </c>
      <c r="C1238">
        <v>7896024760647</v>
      </c>
      <c r="D1238">
        <v>3.99</v>
      </c>
      <c r="E1238">
        <v>2.48</v>
      </c>
      <c r="F1238" s="3">
        <v>0.34299999999999997</v>
      </c>
      <c r="G1238">
        <v>2.2523</v>
      </c>
      <c r="H1238">
        <v>16.399999999999999</v>
      </c>
    </row>
    <row r="1239" spans="1:8" x14ac:dyDescent="0.25">
      <c r="A1239" t="s">
        <v>1245</v>
      </c>
      <c r="B1239">
        <v>4132</v>
      </c>
      <c r="C1239">
        <v>7896024760678</v>
      </c>
      <c r="D1239">
        <v>3.99</v>
      </c>
      <c r="E1239">
        <v>2.4300000000000002</v>
      </c>
      <c r="F1239" s="3">
        <v>0.3503</v>
      </c>
      <c r="G1239">
        <v>2.2233999999999998</v>
      </c>
      <c r="H1239">
        <v>17.466999999999999</v>
      </c>
    </row>
    <row r="1240" spans="1:8" x14ac:dyDescent="0.25">
      <c r="A1240" t="s">
        <v>1246</v>
      </c>
      <c r="B1240">
        <v>4133</v>
      </c>
      <c r="C1240">
        <v>7896024760654</v>
      </c>
      <c r="D1240">
        <v>3.99</v>
      </c>
      <c r="E1240">
        <v>2.4</v>
      </c>
      <c r="F1240" s="3">
        <v>0.35759999999999997</v>
      </c>
      <c r="G1240">
        <v>2.1941000000000002</v>
      </c>
      <c r="H1240">
        <v>6.7</v>
      </c>
    </row>
    <row r="1241" spans="1:8" x14ac:dyDescent="0.25">
      <c r="A1241" t="s">
        <v>1247</v>
      </c>
      <c r="B1241">
        <v>4538</v>
      </c>
      <c r="C1241">
        <v>7891000077931</v>
      </c>
      <c r="D1241">
        <v>4.49</v>
      </c>
      <c r="E1241">
        <v>2.91</v>
      </c>
      <c r="F1241" s="3">
        <v>0.32079999999999997</v>
      </c>
      <c r="G1241">
        <v>2.6341999999999999</v>
      </c>
      <c r="H1241">
        <v>4.8330000000000002</v>
      </c>
    </row>
    <row r="1242" spans="1:8" x14ac:dyDescent="0.25">
      <c r="A1242" t="s">
        <v>1248</v>
      </c>
      <c r="B1242">
        <v>38743</v>
      </c>
      <c r="C1242">
        <v>8008698054086</v>
      </c>
      <c r="D1242">
        <v>14.9</v>
      </c>
      <c r="E1242">
        <v>8.7100000000000009</v>
      </c>
      <c r="F1242" s="3">
        <v>0.37569999999999998</v>
      </c>
      <c r="G1242">
        <v>7.9234999999999998</v>
      </c>
      <c r="H1242">
        <v>0.6</v>
      </c>
    </row>
    <row r="1243" spans="1:8" x14ac:dyDescent="0.25">
      <c r="A1243" t="s">
        <v>1249</v>
      </c>
      <c r="B1243">
        <v>67173</v>
      </c>
      <c r="C1243">
        <v>8008698010235</v>
      </c>
      <c r="D1243">
        <v>26.9</v>
      </c>
      <c r="E1243">
        <v>18.059999999999999</v>
      </c>
      <c r="F1243" s="3">
        <v>0.28550000000000003</v>
      </c>
      <c r="G1243">
        <v>16.732600000000001</v>
      </c>
      <c r="H1243">
        <v>0.16700000000000001</v>
      </c>
    </row>
    <row r="1244" spans="1:8" x14ac:dyDescent="0.25">
      <c r="A1244" t="s">
        <v>1250</v>
      </c>
      <c r="B1244">
        <v>67620</v>
      </c>
      <c r="C1244">
        <v>8000380154791</v>
      </c>
      <c r="D1244">
        <v>24.66</v>
      </c>
      <c r="E1244">
        <v>17.95</v>
      </c>
      <c r="F1244" s="3">
        <v>0.2457</v>
      </c>
      <c r="G1244">
        <v>16.322900000000001</v>
      </c>
      <c r="H1244">
        <v>6.7000000000000004E-2</v>
      </c>
    </row>
    <row r="1245" spans="1:8" x14ac:dyDescent="0.25">
      <c r="A1245" t="s">
        <v>1251</v>
      </c>
      <c r="B1245">
        <v>67621</v>
      </c>
      <c r="C1245">
        <v>8000380193202</v>
      </c>
      <c r="D1245">
        <v>22.11</v>
      </c>
      <c r="E1245">
        <v>17.27</v>
      </c>
      <c r="F1245" s="3">
        <v>0.1986</v>
      </c>
      <c r="G1245">
        <v>15.671799999999999</v>
      </c>
      <c r="H1245">
        <v>0.1</v>
      </c>
    </row>
    <row r="1246" spans="1:8" x14ac:dyDescent="0.25">
      <c r="A1246" t="s">
        <v>1252</v>
      </c>
      <c r="B1246">
        <v>68227</v>
      </c>
      <c r="C1246">
        <v>5601008701316</v>
      </c>
      <c r="D1246">
        <v>13.9</v>
      </c>
      <c r="E1246">
        <v>9.0399999999999991</v>
      </c>
      <c r="F1246" s="3">
        <v>0.31759999999999999</v>
      </c>
      <c r="G1246">
        <v>8.1999999999999993</v>
      </c>
      <c r="H1246">
        <v>2</v>
      </c>
    </row>
    <row r="1247" spans="1:8" x14ac:dyDescent="0.25">
      <c r="A1247" t="s">
        <v>1253</v>
      </c>
      <c r="B1247">
        <v>64619</v>
      </c>
      <c r="C1247">
        <v>7896063200579</v>
      </c>
      <c r="D1247">
        <v>9.9</v>
      </c>
      <c r="E1247">
        <v>6.81</v>
      </c>
      <c r="F1247" s="3">
        <v>0.2833</v>
      </c>
      <c r="G1247">
        <v>6.1798999999999999</v>
      </c>
      <c r="H1247">
        <v>0.3</v>
      </c>
    </row>
    <row r="1248" spans="1:8" x14ac:dyDescent="0.25">
      <c r="A1248" t="s">
        <v>1254</v>
      </c>
      <c r="B1248">
        <v>64620</v>
      </c>
      <c r="C1248">
        <v>7896063200562</v>
      </c>
      <c r="D1248">
        <v>9.9</v>
      </c>
      <c r="E1248">
        <v>6.81</v>
      </c>
      <c r="F1248" s="3">
        <v>0.28339999999999999</v>
      </c>
      <c r="G1248">
        <v>6.1787999999999998</v>
      </c>
      <c r="H1248">
        <v>0.2</v>
      </c>
    </row>
    <row r="1249" spans="1:8" x14ac:dyDescent="0.25">
      <c r="A1249" t="s">
        <v>1255</v>
      </c>
      <c r="B1249">
        <v>64622</v>
      </c>
      <c r="C1249">
        <v>7896063285873</v>
      </c>
      <c r="D1249">
        <v>9.9</v>
      </c>
      <c r="E1249">
        <v>6.81</v>
      </c>
      <c r="F1249" s="3">
        <v>0.28320000000000001</v>
      </c>
      <c r="G1249">
        <v>6.1805000000000003</v>
      </c>
      <c r="H1249">
        <v>0.23300000000000001</v>
      </c>
    </row>
    <row r="1250" spans="1:8" x14ac:dyDescent="0.25">
      <c r="A1250" t="s">
        <v>1256</v>
      </c>
      <c r="B1250">
        <v>3850</v>
      </c>
      <c r="C1250">
        <v>7891203021120</v>
      </c>
      <c r="D1250">
        <v>9.9</v>
      </c>
      <c r="E1250">
        <v>6.55</v>
      </c>
      <c r="F1250" s="3">
        <v>0.28339999999999999</v>
      </c>
      <c r="G1250">
        <v>5.4856999999999996</v>
      </c>
      <c r="H1250">
        <v>8.8000000000000007</v>
      </c>
    </row>
    <row r="1251" spans="1:8" x14ac:dyDescent="0.25">
      <c r="A1251" t="s">
        <v>1257</v>
      </c>
      <c r="B1251">
        <v>67622</v>
      </c>
      <c r="C1251">
        <v>5410126716016</v>
      </c>
      <c r="D1251">
        <v>28.9</v>
      </c>
      <c r="E1251">
        <v>21.13</v>
      </c>
      <c r="F1251" s="3">
        <v>0.24410000000000001</v>
      </c>
      <c r="G1251">
        <v>19.173400000000001</v>
      </c>
      <c r="H1251">
        <v>4.133</v>
      </c>
    </row>
    <row r="1252" spans="1:8" x14ac:dyDescent="0.25">
      <c r="A1252" t="s">
        <v>1258</v>
      </c>
      <c r="B1252">
        <v>61713</v>
      </c>
      <c r="C1252">
        <v>7896003739145</v>
      </c>
      <c r="D1252">
        <v>3.18</v>
      </c>
      <c r="E1252">
        <v>2.2999999999999998</v>
      </c>
      <c r="F1252" s="3">
        <v>0.23100000000000001</v>
      </c>
      <c r="G1252">
        <v>1.9280999999999999</v>
      </c>
      <c r="H1252">
        <v>5.1669999999999998</v>
      </c>
    </row>
    <row r="1253" spans="1:8" x14ac:dyDescent="0.25">
      <c r="A1253" t="s">
        <v>1259</v>
      </c>
      <c r="B1253">
        <v>61715</v>
      </c>
      <c r="C1253">
        <v>7896003739169</v>
      </c>
      <c r="D1253">
        <v>3.99</v>
      </c>
      <c r="E1253">
        <v>2.2999999999999998</v>
      </c>
      <c r="F1253" s="3">
        <v>0.3538</v>
      </c>
      <c r="G1253">
        <v>1.93</v>
      </c>
      <c r="H1253">
        <v>2.9</v>
      </c>
    </row>
    <row r="1254" spans="1:8" x14ac:dyDescent="0.25">
      <c r="A1254" t="s">
        <v>1260</v>
      </c>
      <c r="B1254">
        <v>61712</v>
      </c>
      <c r="C1254">
        <v>7896003739152</v>
      </c>
      <c r="D1254">
        <v>6.99</v>
      </c>
      <c r="E1254">
        <v>4.54</v>
      </c>
      <c r="F1254" s="3">
        <v>0.29339999999999999</v>
      </c>
      <c r="G1254">
        <v>3.8035999999999999</v>
      </c>
      <c r="H1254">
        <v>2.9670000000000001</v>
      </c>
    </row>
    <row r="1255" spans="1:8" x14ac:dyDescent="0.25">
      <c r="A1255" t="s">
        <v>1261</v>
      </c>
      <c r="B1255">
        <v>61714</v>
      </c>
      <c r="C1255">
        <v>7896003739176</v>
      </c>
      <c r="D1255">
        <v>6.99</v>
      </c>
      <c r="E1255">
        <v>4.9800000000000004</v>
      </c>
      <c r="F1255" s="3">
        <v>0.24100000000000002</v>
      </c>
      <c r="G1255">
        <v>4.1696</v>
      </c>
      <c r="H1255">
        <v>3.1</v>
      </c>
    </row>
    <row r="1256" spans="1:8" x14ac:dyDescent="0.25">
      <c r="A1256" t="s">
        <v>1262</v>
      </c>
      <c r="B1256">
        <v>7701</v>
      </c>
      <c r="C1256">
        <v>7898291730019</v>
      </c>
      <c r="D1256">
        <v>14.9</v>
      </c>
      <c r="E1256">
        <v>10.58</v>
      </c>
      <c r="F1256" s="3">
        <v>0.26329999999999998</v>
      </c>
      <c r="G1256">
        <v>9.5988000000000007</v>
      </c>
      <c r="H1256">
        <v>0.7</v>
      </c>
    </row>
    <row r="1257" spans="1:8" x14ac:dyDescent="0.25">
      <c r="A1257" t="s">
        <v>1263</v>
      </c>
      <c r="B1257">
        <v>66505</v>
      </c>
      <c r="C1257">
        <v>9002859082184</v>
      </c>
      <c r="D1257">
        <v>49.9</v>
      </c>
      <c r="E1257">
        <v>32</v>
      </c>
      <c r="F1257" s="3">
        <v>0.32549999999999996</v>
      </c>
      <c r="G1257">
        <v>29.04</v>
      </c>
      <c r="H1257">
        <v>0.16700000000000001</v>
      </c>
    </row>
    <row r="1258" spans="1:8" x14ac:dyDescent="0.25">
      <c r="A1258" t="s">
        <v>1264</v>
      </c>
      <c r="B1258">
        <v>62602</v>
      </c>
      <c r="C1258">
        <v>7898954933573</v>
      </c>
      <c r="D1258">
        <v>14.9</v>
      </c>
      <c r="E1258">
        <v>9.84</v>
      </c>
      <c r="F1258" s="3">
        <v>0.30930000000000002</v>
      </c>
      <c r="G1258">
        <v>8.9132999999999996</v>
      </c>
      <c r="H1258">
        <v>4.7329999999999997</v>
      </c>
    </row>
    <row r="1259" spans="1:8" x14ac:dyDescent="0.25">
      <c r="A1259" t="s">
        <v>1265</v>
      </c>
      <c r="B1259">
        <v>44709</v>
      </c>
      <c r="C1259">
        <v>7891035560859</v>
      </c>
      <c r="D1259">
        <v>24.9</v>
      </c>
      <c r="E1259">
        <v>15.78</v>
      </c>
      <c r="F1259" s="3">
        <v>0.33289999999999997</v>
      </c>
      <c r="G1259">
        <v>14.3081</v>
      </c>
      <c r="H1259">
        <v>0.8</v>
      </c>
    </row>
    <row r="1260" spans="1:8" x14ac:dyDescent="0.25">
      <c r="A1260" t="s">
        <v>1266</v>
      </c>
      <c r="B1260">
        <v>44708</v>
      </c>
      <c r="C1260">
        <v>7891035560842</v>
      </c>
      <c r="D1260">
        <v>24.9</v>
      </c>
      <c r="E1260">
        <v>15.76</v>
      </c>
      <c r="F1260" s="3">
        <v>0.3332</v>
      </c>
      <c r="G1260">
        <v>14.3009</v>
      </c>
      <c r="H1260">
        <v>0.86699999999999999</v>
      </c>
    </row>
    <row r="1261" spans="1:8" x14ac:dyDescent="0.25">
      <c r="A1261" t="s">
        <v>1267</v>
      </c>
      <c r="B1261">
        <v>58455</v>
      </c>
      <c r="C1261">
        <v>7891035000560</v>
      </c>
      <c r="D1261">
        <v>39.799999999999997</v>
      </c>
      <c r="E1261">
        <v>25.18</v>
      </c>
      <c r="F1261" s="3">
        <v>0.33350000000000002</v>
      </c>
      <c r="G1261">
        <v>22.846699999999998</v>
      </c>
      <c r="H1261">
        <v>1.1000000000000001</v>
      </c>
    </row>
    <row r="1262" spans="1:8" x14ac:dyDescent="0.25">
      <c r="A1262" t="s">
        <v>1268</v>
      </c>
      <c r="B1262">
        <v>68528</v>
      </c>
      <c r="C1262">
        <v>7891035003189</v>
      </c>
      <c r="D1262">
        <v>39.9</v>
      </c>
      <c r="E1262">
        <v>23.11</v>
      </c>
      <c r="F1262" s="3">
        <v>0.38179999999999997</v>
      </c>
      <c r="G1262">
        <v>20.975899999999999</v>
      </c>
      <c r="H1262">
        <v>4.0330000000000004</v>
      </c>
    </row>
    <row r="1263" spans="1:8" x14ac:dyDescent="0.25">
      <c r="A1263" t="s">
        <v>1269</v>
      </c>
      <c r="B1263">
        <v>57622</v>
      </c>
      <c r="C1263">
        <v>7891035142420</v>
      </c>
      <c r="D1263">
        <v>21.9</v>
      </c>
      <c r="E1263">
        <v>14.06</v>
      </c>
      <c r="F1263" s="3">
        <v>0.32490000000000002</v>
      </c>
      <c r="G1263">
        <v>12.759499999999999</v>
      </c>
      <c r="H1263">
        <v>2.367</v>
      </c>
    </row>
    <row r="1264" spans="1:8" x14ac:dyDescent="0.25">
      <c r="A1264" t="s">
        <v>1270</v>
      </c>
      <c r="B1264">
        <v>62713</v>
      </c>
      <c r="C1264">
        <v>7891035560781</v>
      </c>
      <c r="D1264">
        <v>21.75</v>
      </c>
      <c r="E1264">
        <v>15.75</v>
      </c>
      <c r="F1264" s="3">
        <v>0.25030000000000002</v>
      </c>
      <c r="G1264">
        <v>14.2942</v>
      </c>
      <c r="H1264">
        <v>0.8</v>
      </c>
    </row>
    <row r="1265" spans="1:8" x14ac:dyDescent="0.25">
      <c r="A1265" t="s">
        <v>1271</v>
      </c>
      <c r="B1265">
        <v>39983</v>
      </c>
      <c r="C1265">
        <v>7891035141348</v>
      </c>
      <c r="D1265">
        <v>32.85</v>
      </c>
      <c r="E1265">
        <v>20.94</v>
      </c>
      <c r="F1265" s="3">
        <v>0.32909999999999995</v>
      </c>
      <c r="G1265">
        <v>19.000800000000002</v>
      </c>
      <c r="H1265">
        <v>0.433</v>
      </c>
    </row>
    <row r="1266" spans="1:8" x14ac:dyDescent="0.25">
      <c r="A1266" t="s">
        <v>1272</v>
      </c>
      <c r="B1266">
        <v>7345</v>
      </c>
      <c r="C1266">
        <v>7897886700017</v>
      </c>
      <c r="D1266">
        <v>29.9</v>
      </c>
      <c r="E1266">
        <v>22.58</v>
      </c>
      <c r="F1266" s="3">
        <v>0.22070000000000001</v>
      </c>
      <c r="G1266">
        <v>20.535599999999999</v>
      </c>
      <c r="H1266">
        <v>0.96699999999999997</v>
      </c>
    </row>
    <row r="1267" spans="1:8" x14ac:dyDescent="0.25">
      <c r="A1267" t="s">
        <v>1273</v>
      </c>
      <c r="B1267">
        <v>65817</v>
      </c>
      <c r="C1267">
        <v>7898643940462</v>
      </c>
      <c r="D1267">
        <v>5.29</v>
      </c>
      <c r="E1267">
        <v>3.54</v>
      </c>
      <c r="F1267" s="3">
        <v>0.29969999999999997</v>
      </c>
      <c r="G1267">
        <v>3.2151000000000001</v>
      </c>
      <c r="H1267">
        <v>0.9</v>
      </c>
    </row>
    <row r="1268" spans="1:8" x14ac:dyDescent="0.25">
      <c r="A1268" t="s">
        <v>1274</v>
      </c>
      <c r="B1268">
        <v>65831</v>
      </c>
      <c r="C1268">
        <v>7898643940455</v>
      </c>
      <c r="D1268">
        <v>5.29</v>
      </c>
      <c r="E1268">
        <v>3.54</v>
      </c>
      <c r="F1268" s="3">
        <v>0.29969999999999997</v>
      </c>
      <c r="G1268">
        <v>3.2149999999999999</v>
      </c>
      <c r="H1268">
        <v>0.2</v>
      </c>
    </row>
    <row r="1269" spans="1:8" x14ac:dyDescent="0.25">
      <c r="A1269" t="s">
        <v>1275</v>
      </c>
      <c r="B1269">
        <v>65119</v>
      </c>
      <c r="C1269">
        <v>4711202220016</v>
      </c>
      <c r="D1269">
        <v>23.9</v>
      </c>
      <c r="E1269">
        <v>13</v>
      </c>
      <c r="F1269" s="3">
        <v>0.41389999999999999</v>
      </c>
      <c r="G1269">
        <v>11.797499999999999</v>
      </c>
      <c r="H1269">
        <v>0</v>
      </c>
    </row>
    <row r="1270" spans="1:8" x14ac:dyDescent="0.25">
      <c r="A1270" t="s">
        <v>1276</v>
      </c>
      <c r="B1270">
        <v>1464</v>
      </c>
      <c r="C1270">
        <v>7898115900413</v>
      </c>
      <c r="D1270">
        <v>4.99</v>
      </c>
      <c r="E1270">
        <v>3.16</v>
      </c>
      <c r="F1270" s="3">
        <v>0.33240000000000003</v>
      </c>
      <c r="G1270">
        <v>2.8696999999999999</v>
      </c>
      <c r="H1270">
        <v>2.0670000000000002</v>
      </c>
    </row>
    <row r="1271" spans="1:8" x14ac:dyDescent="0.25">
      <c r="A1271" t="s">
        <v>1277</v>
      </c>
      <c r="B1271">
        <v>1462</v>
      </c>
      <c r="C1271">
        <v>7898115900406</v>
      </c>
      <c r="D1271">
        <v>4.99</v>
      </c>
      <c r="E1271">
        <v>3.16</v>
      </c>
      <c r="F1271" s="3">
        <v>0.33240000000000003</v>
      </c>
      <c r="G1271">
        <v>2.8698000000000001</v>
      </c>
      <c r="H1271">
        <v>3.1669999999999998</v>
      </c>
    </row>
    <row r="1272" spans="1:8" x14ac:dyDescent="0.25">
      <c r="A1272" t="s">
        <v>1278</v>
      </c>
      <c r="B1272">
        <v>17624</v>
      </c>
      <c r="C1272">
        <v>8801117870416</v>
      </c>
      <c r="D1272">
        <v>24.9</v>
      </c>
      <c r="E1272">
        <v>14.2</v>
      </c>
      <c r="F1272" s="3">
        <v>0.39</v>
      </c>
      <c r="G1272">
        <v>12.886699999999999</v>
      </c>
      <c r="H1272">
        <v>0.1</v>
      </c>
    </row>
    <row r="1273" spans="1:8" x14ac:dyDescent="0.25">
      <c r="A1273" t="s">
        <v>1279</v>
      </c>
      <c r="B1273">
        <v>1468</v>
      </c>
      <c r="C1273">
        <v>7898115900178</v>
      </c>
      <c r="D1273">
        <v>4.99</v>
      </c>
      <c r="E1273">
        <v>3.16</v>
      </c>
      <c r="F1273" s="3">
        <v>0.33240000000000003</v>
      </c>
      <c r="G1273">
        <v>2.8696000000000002</v>
      </c>
      <c r="H1273">
        <v>4.9329999999999998</v>
      </c>
    </row>
    <row r="1274" spans="1:8" x14ac:dyDescent="0.25">
      <c r="A1274" t="s">
        <v>1280</v>
      </c>
      <c r="B1274">
        <v>1466</v>
      </c>
      <c r="C1274">
        <v>7898115900109</v>
      </c>
      <c r="D1274">
        <v>4.99</v>
      </c>
      <c r="E1274">
        <v>3.16</v>
      </c>
      <c r="F1274" s="3">
        <v>0.33240000000000003</v>
      </c>
      <c r="G1274">
        <v>2.8696999999999999</v>
      </c>
      <c r="H1274">
        <v>6.9</v>
      </c>
    </row>
    <row r="1275" spans="1:8" x14ac:dyDescent="0.25">
      <c r="A1275" t="s">
        <v>1281</v>
      </c>
      <c r="B1275">
        <v>1471</v>
      </c>
      <c r="C1275">
        <v>7898115901199</v>
      </c>
      <c r="D1275">
        <v>4.99</v>
      </c>
      <c r="E1275">
        <v>3.16</v>
      </c>
      <c r="F1275" s="3">
        <v>0.33240000000000003</v>
      </c>
      <c r="G1275">
        <v>2.8696999999999999</v>
      </c>
      <c r="H1275">
        <v>5.7</v>
      </c>
    </row>
    <row r="1276" spans="1:8" x14ac:dyDescent="0.25">
      <c r="A1276" t="s">
        <v>1282</v>
      </c>
      <c r="B1276">
        <v>1481</v>
      </c>
      <c r="C1276">
        <v>7898115900154</v>
      </c>
      <c r="D1276">
        <v>4.99</v>
      </c>
      <c r="E1276">
        <v>3.16</v>
      </c>
      <c r="F1276" s="3">
        <v>0.33240000000000003</v>
      </c>
      <c r="G1276">
        <v>2.8696999999999999</v>
      </c>
      <c r="H1276">
        <v>7.7670000000000003</v>
      </c>
    </row>
    <row r="1277" spans="1:8" x14ac:dyDescent="0.25">
      <c r="A1277" t="s">
        <v>1283</v>
      </c>
      <c r="B1277">
        <v>1485</v>
      </c>
      <c r="C1277">
        <v>7898115901182</v>
      </c>
      <c r="D1277">
        <v>4.99</v>
      </c>
      <c r="E1277">
        <v>3.16</v>
      </c>
      <c r="F1277" s="3">
        <v>0.33240000000000003</v>
      </c>
      <c r="G1277">
        <v>2.8696999999999999</v>
      </c>
      <c r="H1277">
        <v>4.0330000000000004</v>
      </c>
    </row>
    <row r="1278" spans="1:8" x14ac:dyDescent="0.25">
      <c r="A1278" t="s">
        <v>1284</v>
      </c>
      <c r="B1278">
        <v>1491</v>
      </c>
      <c r="C1278">
        <v>7898115901106</v>
      </c>
      <c r="D1278">
        <v>4.99</v>
      </c>
      <c r="E1278">
        <v>3.16</v>
      </c>
      <c r="F1278" s="3">
        <v>0.33240000000000003</v>
      </c>
      <c r="G1278">
        <v>2.8696999999999999</v>
      </c>
      <c r="H1278">
        <v>10.433</v>
      </c>
    </row>
    <row r="1279" spans="1:8" x14ac:dyDescent="0.25">
      <c r="A1279" t="s">
        <v>1285</v>
      </c>
      <c r="B1279">
        <v>61273</v>
      </c>
      <c r="C1279">
        <v>7898115901977</v>
      </c>
      <c r="D1279">
        <v>4.99</v>
      </c>
      <c r="E1279">
        <v>3.16</v>
      </c>
      <c r="F1279" s="3">
        <v>0.33240000000000003</v>
      </c>
      <c r="G1279">
        <v>2.8696999999999999</v>
      </c>
      <c r="H1279">
        <v>4.9329999999999998</v>
      </c>
    </row>
    <row r="1280" spans="1:8" x14ac:dyDescent="0.25">
      <c r="A1280" t="s">
        <v>1286</v>
      </c>
      <c r="B1280">
        <v>61274</v>
      </c>
      <c r="C1280">
        <v>7898115901960</v>
      </c>
      <c r="D1280">
        <v>4.99</v>
      </c>
      <c r="E1280">
        <v>3.16</v>
      </c>
      <c r="F1280" s="3">
        <v>0.33240000000000003</v>
      </c>
      <c r="G1280">
        <v>2.8696000000000002</v>
      </c>
      <c r="H1280">
        <v>7.0330000000000004</v>
      </c>
    </row>
    <row r="1281" spans="1:8" x14ac:dyDescent="0.25">
      <c r="A1281" t="s">
        <v>1287</v>
      </c>
      <c r="B1281">
        <v>41912</v>
      </c>
      <c r="C1281">
        <v>7898115901427</v>
      </c>
      <c r="D1281">
        <v>19.989999999999998</v>
      </c>
      <c r="E1281">
        <v>13.6</v>
      </c>
      <c r="F1281" s="3">
        <v>0.28989999999999999</v>
      </c>
      <c r="G1281">
        <v>12.3453</v>
      </c>
      <c r="H1281">
        <v>0.83299999999999996</v>
      </c>
    </row>
    <row r="1282" spans="1:8" x14ac:dyDescent="0.25">
      <c r="A1282" t="s">
        <v>1288</v>
      </c>
      <c r="B1282">
        <v>1474</v>
      </c>
      <c r="C1282">
        <v>7898115900062</v>
      </c>
      <c r="D1282">
        <v>19.989999999999998</v>
      </c>
      <c r="E1282">
        <v>13.6</v>
      </c>
      <c r="F1282" s="3">
        <v>0.29020000000000001</v>
      </c>
      <c r="G1282">
        <v>12.338800000000001</v>
      </c>
      <c r="H1282">
        <v>0.8</v>
      </c>
    </row>
    <row r="1283" spans="1:8" x14ac:dyDescent="0.25">
      <c r="A1283" t="s">
        <v>1289</v>
      </c>
      <c r="B1283">
        <v>1475</v>
      </c>
      <c r="C1283">
        <v>7898115900079</v>
      </c>
      <c r="D1283">
        <v>19.989999999999998</v>
      </c>
      <c r="E1283">
        <v>13.59</v>
      </c>
      <c r="F1283" s="3">
        <v>0.2903</v>
      </c>
      <c r="G1283">
        <v>12.3383</v>
      </c>
      <c r="H1283">
        <v>0.86699999999999999</v>
      </c>
    </row>
    <row r="1284" spans="1:8" x14ac:dyDescent="0.25">
      <c r="A1284" t="s">
        <v>1290</v>
      </c>
      <c r="B1284">
        <v>62256</v>
      </c>
      <c r="C1284">
        <v>7896283006357</v>
      </c>
      <c r="D1284">
        <v>26.9</v>
      </c>
      <c r="E1284">
        <v>17.86</v>
      </c>
      <c r="F1284" s="3">
        <v>0.30449999999999999</v>
      </c>
      <c r="G1284">
        <v>16.221499999999999</v>
      </c>
      <c r="H1284">
        <v>0.3</v>
      </c>
    </row>
    <row r="1285" spans="1:8" x14ac:dyDescent="0.25">
      <c r="A1285" t="s">
        <v>1291</v>
      </c>
      <c r="B1285">
        <v>62257</v>
      </c>
      <c r="C1285">
        <v>7896283006364</v>
      </c>
      <c r="D1285">
        <v>26.9</v>
      </c>
      <c r="E1285">
        <v>17.63</v>
      </c>
      <c r="F1285" s="3">
        <v>0.31269999999999998</v>
      </c>
      <c r="G1285">
        <v>15.999700000000001</v>
      </c>
      <c r="H1285">
        <v>0.3</v>
      </c>
    </row>
    <row r="1286" spans="1:8" x14ac:dyDescent="0.25">
      <c r="A1286" t="s">
        <v>1292</v>
      </c>
      <c r="B1286">
        <v>62603</v>
      </c>
      <c r="C1286">
        <v>7898954933542</v>
      </c>
      <c r="D1286">
        <v>20.9</v>
      </c>
      <c r="E1286">
        <v>14.12</v>
      </c>
      <c r="F1286" s="3">
        <v>0.2883</v>
      </c>
      <c r="G1286">
        <v>12.9415</v>
      </c>
      <c r="H1286">
        <v>0.76700000000000002</v>
      </c>
    </row>
    <row r="1287" spans="1:8" x14ac:dyDescent="0.25">
      <c r="A1287" t="s">
        <v>1293</v>
      </c>
      <c r="B1287">
        <v>62605</v>
      </c>
      <c r="C1287">
        <v>7898954933559</v>
      </c>
      <c r="D1287">
        <v>20.9</v>
      </c>
      <c r="E1287">
        <v>14.38</v>
      </c>
      <c r="F1287" s="3">
        <v>0.28039999999999998</v>
      </c>
      <c r="G1287">
        <v>13.1068</v>
      </c>
      <c r="H1287">
        <v>0.83299999999999996</v>
      </c>
    </row>
    <row r="1288" spans="1:8" x14ac:dyDescent="0.25">
      <c r="A1288" t="s">
        <v>1294</v>
      </c>
      <c r="B1288">
        <v>1476</v>
      </c>
      <c r="C1288">
        <v>7898115900055</v>
      </c>
      <c r="D1288">
        <v>19.989999999999998</v>
      </c>
      <c r="E1288">
        <v>13.27</v>
      </c>
      <c r="F1288" s="3">
        <v>0.30519999999999997</v>
      </c>
      <c r="G1288">
        <v>12.04</v>
      </c>
      <c r="H1288">
        <v>1.4670000000000001</v>
      </c>
    </row>
    <row r="1289" spans="1:8" x14ac:dyDescent="0.25">
      <c r="A1289" t="s">
        <v>1295</v>
      </c>
      <c r="B1289">
        <v>1478</v>
      </c>
      <c r="C1289">
        <v>7898115900017</v>
      </c>
      <c r="D1289">
        <v>19.989999999999998</v>
      </c>
      <c r="E1289">
        <v>13.27</v>
      </c>
      <c r="F1289" s="3">
        <v>0.30519999999999997</v>
      </c>
      <c r="G1289">
        <v>12.040100000000001</v>
      </c>
      <c r="H1289">
        <v>1.2</v>
      </c>
    </row>
    <row r="1290" spans="1:8" x14ac:dyDescent="0.25">
      <c r="A1290" t="s">
        <v>1296</v>
      </c>
      <c r="B1290">
        <v>1482</v>
      </c>
      <c r="C1290">
        <v>7898115900161</v>
      </c>
      <c r="D1290">
        <v>19.989999999999998</v>
      </c>
      <c r="E1290">
        <v>13.27</v>
      </c>
      <c r="F1290" s="3">
        <v>0.30519999999999997</v>
      </c>
      <c r="G1290">
        <v>12.040900000000001</v>
      </c>
      <c r="H1290">
        <v>0.66700000000000004</v>
      </c>
    </row>
    <row r="1291" spans="1:8" x14ac:dyDescent="0.25">
      <c r="A1291" t="s">
        <v>1297</v>
      </c>
      <c r="B1291">
        <v>1483</v>
      </c>
      <c r="C1291">
        <v>7898115900024</v>
      </c>
      <c r="D1291">
        <v>19.989999999999998</v>
      </c>
      <c r="E1291">
        <v>13.27</v>
      </c>
      <c r="F1291" s="3">
        <v>0.30510000000000004</v>
      </c>
      <c r="G1291">
        <v>12.0426</v>
      </c>
      <c r="H1291">
        <v>2.367</v>
      </c>
    </row>
    <row r="1292" spans="1:8" x14ac:dyDescent="0.25">
      <c r="A1292" t="s">
        <v>1298</v>
      </c>
      <c r="B1292">
        <v>1487</v>
      </c>
      <c r="C1292">
        <v>7898115900031</v>
      </c>
      <c r="D1292">
        <v>19.989999999999998</v>
      </c>
      <c r="E1292">
        <v>13.27</v>
      </c>
      <c r="F1292" s="3">
        <v>0.30519999999999997</v>
      </c>
      <c r="G1292">
        <v>12.039199999999999</v>
      </c>
      <c r="H1292">
        <v>2.2669999999999999</v>
      </c>
    </row>
    <row r="1293" spans="1:8" x14ac:dyDescent="0.25">
      <c r="A1293" t="s">
        <v>1299</v>
      </c>
      <c r="B1293">
        <v>56517</v>
      </c>
      <c r="C1293">
        <v>56517</v>
      </c>
      <c r="D1293">
        <v>52.9</v>
      </c>
      <c r="E1293">
        <v>47.88</v>
      </c>
      <c r="F1293" s="3">
        <v>6.8699999999999997E-2</v>
      </c>
      <c r="G1293">
        <v>34.848999999999997</v>
      </c>
      <c r="H1293">
        <v>1.4670000000000001</v>
      </c>
    </row>
    <row r="1294" spans="1:8" x14ac:dyDescent="0.25">
      <c r="A1294" t="s">
        <v>1300</v>
      </c>
      <c r="B1294">
        <v>46545</v>
      </c>
      <c r="C1294">
        <v>7861002900117</v>
      </c>
      <c r="D1294">
        <v>25.9</v>
      </c>
      <c r="E1294">
        <v>19.64</v>
      </c>
      <c r="F1294" s="3">
        <v>0.2145</v>
      </c>
      <c r="G1294">
        <v>17.947500000000002</v>
      </c>
      <c r="H1294">
        <v>39.466999999999999</v>
      </c>
    </row>
    <row r="1295" spans="1:8" x14ac:dyDescent="0.25">
      <c r="A1295" t="s">
        <v>1301</v>
      </c>
      <c r="B1295">
        <v>46547</v>
      </c>
      <c r="C1295">
        <v>7898024396994</v>
      </c>
      <c r="D1295">
        <v>44.9</v>
      </c>
      <c r="E1295">
        <v>31.3</v>
      </c>
      <c r="F1295" s="3">
        <v>0.27200000000000002</v>
      </c>
      <c r="G1295">
        <v>28.534300000000002</v>
      </c>
      <c r="H1295">
        <v>10.933</v>
      </c>
    </row>
    <row r="1296" spans="1:8" x14ac:dyDescent="0.25">
      <c r="A1296" t="s">
        <v>1302</v>
      </c>
      <c r="B1296">
        <v>3899</v>
      </c>
      <c r="C1296">
        <v>78909434</v>
      </c>
      <c r="D1296">
        <v>10.9</v>
      </c>
      <c r="E1296">
        <v>6.68</v>
      </c>
      <c r="F1296" s="3">
        <v>0.35119999999999996</v>
      </c>
      <c r="G1296">
        <v>6.0636000000000001</v>
      </c>
      <c r="H1296">
        <v>20.399999999999999</v>
      </c>
    </row>
    <row r="1297" spans="1:8" x14ac:dyDescent="0.25">
      <c r="A1297" t="s">
        <v>1303</v>
      </c>
      <c r="B1297">
        <v>56839</v>
      </c>
      <c r="C1297">
        <v>7898024397861</v>
      </c>
      <c r="D1297">
        <v>14.9</v>
      </c>
      <c r="E1297">
        <v>10.26</v>
      </c>
      <c r="F1297" s="3">
        <v>0.28199999999999997</v>
      </c>
      <c r="G1297">
        <v>9.3201999999999998</v>
      </c>
      <c r="H1297">
        <v>7.9</v>
      </c>
    </row>
    <row r="1298" spans="1:8" x14ac:dyDescent="0.25">
      <c r="A1298" t="s">
        <v>1304</v>
      </c>
      <c r="B1298">
        <v>46546</v>
      </c>
      <c r="C1298">
        <v>7898024397151</v>
      </c>
      <c r="D1298">
        <v>32.9</v>
      </c>
      <c r="E1298">
        <v>21.43</v>
      </c>
      <c r="F1298" s="3">
        <v>0.31230000000000002</v>
      </c>
      <c r="G1298">
        <v>19.582100000000001</v>
      </c>
      <c r="H1298">
        <v>3.3</v>
      </c>
    </row>
    <row r="1299" spans="1:8" x14ac:dyDescent="0.25">
      <c r="A1299" t="s">
        <v>1305</v>
      </c>
      <c r="B1299">
        <v>3897</v>
      </c>
      <c r="C1299">
        <v>8000500009673</v>
      </c>
      <c r="D1299">
        <v>69.900000000000006</v>
      </c>
      <c r="E1299">
        <v>57.6</v>
      </c>
      <c r="F1299" s="3">
        <v>0.15970000000000001</v>
      </c>
      <c r="G1299">
        <v>52.274700000000003</v>
      </c>
      <c r="H1299">
        <v>2.0329999999999999</v>
      </c>
    </row>
    <row r="1300" spans="1:8" x14ac:dyDescent="0.25">
      <c r="A1300" t="s">
        <v>1306</v>
      </c>
      <c r="B1300">
        <v>66527</v>
      </c>
      <c r="C1300">
        <v>8695504165069</v>
      </c>
      <c r="D1300">
        <v>39.9</v>
      </c>
      <c r="E1300">
        <v>32.56</v>
      </c>
      <c r="F1300" s="3">
        <v>0.1704</v>
      </c>
      <c r="G1300">
        <v>29.411799999999999</v>
      </c>
      <c r="H1300">
        <v>1.4670000000000001</v>
      </c>
    </row>
    <row r="1301" spans="1:8" x14ac:dyDescent="0.25">
      <c r="A1301" t="s">
        <v>1307</v>
      </c>
      <c r="B1301">
        <v>17731</v>
      </c>
      <c r="C1301">
        <v>78930223</v>
      </c>
      <c r="D1301">
        <v>3.49</v>
      </c>
      <c r="E1301">
        <v>1.94</v>
      </c>
      <c r="F1301" s="3">
        <v>0.40509999999999996</v>
      </c>
      <c r="G1301">
        <v>1.7534000000000001</v>
      </c>
      <c r="H1301">
        <v>73.3</v>
      </c>
    </row>
    <row r="1302" spans="1:8" x14ac:dyDescent="0.25">
      <c r="A1302" t="s">
        <v>1308</v>
      </c>
      <c r="B1302">
        <v>3900</v>
      </c>
      <c r="C1302">
        <v>7891008225204</v>
      </c>
      <c r="D1302">
        <v>14.9</v>
      </c>
      <c r="E1302">
        <v>10.35</v>
      </c>
      <c r="F1302" s="3">
        <v>0.26340000000000002</v>
      </c>
      <c r="G1302">
        <v>9.5968</v>
      </c>
      <c r="H1302">
        <v>88.066999999999993</v>
      </c>
    </row>
    <row r="1303" spans="1:8" x14ac:dyDescent="0.25">
      <c r="A1303" t="s">
        <v>1309</v>
      </c>
      <c r="B1303">
        <v>38782</v>
      </c>
      <c r="C1303">
        <v>78939318</v>
      </c>
      <c r="D1303">
        <v>1.69</v>
      </c>
      <c r="E1303">
        <v>0.94</v>
      </c>
      <c r="F1303" s="3">
        <v>0.40460000000000002</v>
      </c>
      <c r="G1303">
        <v>0.85</v>
      </c>
      <c r="H1303">
        <v>151.333</v>
      </c>
    </row>
    <row r="1304" spans="1:8" x14ac:dyDescent="0.25">
      <c r="A1304" t="s">
        <v>1310</v>
      </c>
      <c r="B1304">
        <v>22095</v>
      </c>
      <c r="C1304">
        <v>7622300990541</v>
      </c>
      <c r="D1304">
        <v>14.99</v>
      </c>
      <c r="E1304">
        <v>10.95</v>
      </c>
      <c r="F1304" s="3">
        <v>0.24329999999999999</v>
      </c>
      <c r="G1304">
        <v>9.9558999999999997</v>
      </c>
      <c r="H1304">
        <v>35.366999999999997</v>
      </c>
    </row>
    <row r="1305" spans="1:8" x14ac:dyDescent="0.25">
      <c r="A1305" t="s">
        <v>1311</v>
      </c>
      <c r="B1305">
        <v>37182</v>
      </c>
      <c r="C1305">
        <v>7896019602105</v>
      </c>
      <c r="D1305">
        <v>0</v>
      </c>
      <c r="E1305">
        <v>46.97</v>
      </c>
      <c r="F1305" s="3">
        <v>0</v>
      </c>
      <c r="G1305">
        <v>42.112900000000003</v>
      </c>
      <c r="H1305">
        <v>0</v>
      </c>
    </row>
    <row r="1306" spans="1:8" x14ac:dyDescent="0.25">
      <c r="A1306" t="s">
        <v>1312</v>
      </c>
      <c r="B1306">
        <v>66501</v>
      </c>
      <c r="C1306">
        <v>9002859037863</v>
      </c>
      <c r="D1306">
        <v>29.9</v>
      </c>
      <c r="E1306">
        <v>20.48</v>
      </c>
      <c r="F1306" s="3">
        <v>0.28570000000000001</v>
      </c>
      <c r="G1306">
        <v>18.591000000000001</v>
      </c>
      <c r="H1306">
        <v>1.133</v>
      </c>
    </row>
    <row r="1307" spans="1:8" x14ac:dyDescent="0.25">
      <c r="A1307" t="s">
        <v>1313</v>
      </c>
      <c r="B1307">
        <v>66503</v>
      </c>
      <c r="C1307">
        <v>9002859037573</v>
      </c>
      <c r="D1307">
        <v>34.9</v>
      </c>
      <c r="E1307">
        <v>22</v>
      </c>
      <c r="F1307" s="3">
        <v>0.33539999999999998</v>
      </c>
      <c r="G1307">
        <v>19.965</v>
      </c>
      <c r="H1307">
        <v>0.93300000000000005</v>
      </c>
    </row>
    <row r="1308" spans="1:8" x14ac:dyDescent="0.25">
      <c r="A1308" t="s">
        <v>1314</v>
      </c>
      <c r="B1308">
        <v>66502</v>
      </c>
      <c r="C1308">
        <v>9002859063701</v>
      </c>
      <c r="D1308">
        <v>32.9</v>
      </c>
      <c r="E1308">
        <v>22.02</v>
      </c>
      <c r="F1308" s="3">
        <v>0.29960000000000003</v>
      </c>
      <c r="G1308">
        <v>20.000299999999999</v>
      </c>
      <c r="H1308">
        <v>2.2669999999999999</v>
      </c>
    </row>
    <row r="1309" spans="1:8" x14ac:dyDescent="0.25">
      <c r="A1309" t="s">
        <v>1315</v>
      </c>
      <c r="B1309">
        <v>3901</v>
      </c>
      <c r="C1309">
        <v>7891000325131</v>
      </c>
      <c r="D1309">
        <v>13.99</v>
      </c>
      <c r="E1309">
        <v>10.63</v>
      </c>
      <c r="F1309" s="3">
        <v>0.21289999999999998</v>
      </c>
      <c r="G1309">
        <v>9.7174999999999994</v>
      </c>
      <c r="H1309">
        <v>198.767</v>
      </c>
    </row>
    <row r="1310" spans="1:8" x14ac:dyDescent="0.25">
      <c r="A1310" t="s">
        <v>1316</v>
      </c>
      <c r="B1310">
        <v>65465</v>
      </c>
      <c r="C1310">
        <v>8000300388893</v>
      </c>
      <c r="D1310">
        <v>14.9</v>
      </c>
      <c r="E1310">
        <v>14.06</v>
      </c>
      <c r="F1310" s="3">
        <v>5.0999999999999997E-2</v>
      </c>
      <c r="G1310">
        <v>12.7614</v>
      </c>
      <c r="H1310">
        <v>0</v>
      </c>
    </row>
    <row r="1311" spans="1:8" x14ac:dyDescent="0.25">
      <c r="A1311" t="s">
        <v>1317</v>
      </c>
      <c r="B1311">
        <v>65466</v>
      </c>
      <c r="C1311">
        <v>8000300388855</v>
      </c>
      <c r="D1311">
        <v>19.899999999999999</v>
      </c>
      <c r="E1311">
        <v>14.6</v>
      </c>
      <c r="F1311" s="3">
        <v>0.24170000000000003</v>
      </c>
      <c r="G1311">
        <v>13.2494</v>
      </c>
      <c r="H1311">
        <v>3.3000000000000002E-2</v>
      </c>
    </row>
    <row r="1312" spans="1:8" x14ac:dyDescent="0.25">
      <c r="A1312" t="s">
        <v>1318</v>
      </c>
      <c r="B1312">
        <v>66709</v>
      </c>
      <c r="C1312">
        <v>7891000388792</v>
      </c>
      <c r="D1312">
        <v>18.899999999999999</v>
      </c>
      <c r="E1312">
        <v>14.09</v>
      </c>
      <c r="F1312" s="3">
        <v>0.23309999999999997</v>
      </c>
      <c r="G1312">
        <v>12.746</v>
      </c>
      <c r="H1312">
        <v>4.5330000000000004</v>
      </c>
    </row>
    <row r="1313" spans="1:8" x14ac:dyDescent="0.25">
      <c r="A1313" t="s">
        <v>1319</v>
      </c>
      <c r="B1313">
        <v>3902</v>
      </c>
      <c r="C1313">
        <v>8000500023976</v>
      </c>
      <c r="D1313">
        <v>34.9</v>
      </c>
      <c r="E1313">
        <v>24.36</v>
      </c>
      <c r="F1313" s="3">
        <v>0.27029999999999998</v>
      </c>
      <c r="G1313">
        <v>22.2393</v>
      </c>
      <c r="H1313">
        <v>3.1669999999999998</v>
      </c>
    </row>
    <row r="1314" spans="1:8" x14ac:dyDescent="0.25">
      <c r="A1314" t="s">
        <v>1320</v>
      </c>
      <c r="B1314">
        <v>12511</v>
      </c>
      <c r="C1314">
        <v>80052487</v>
      </c>
      <c r="D1314">
        <v>10.9</v>
      </c>
      <c r="E1314">
        <v>6.34</v>
      </c>
      <c r="F1314" s="3">
        <v>0.38090000000000002</v>
      </c>
      <c r="G1314">
        <v>5.7397999999999998</v>
      </c>
      <c r="H1314">
        <v>1.4</v>
      </c>
    </row>
    <row r="1315" spans="1:8" x14ac:dyDescent="0.25">
      <c r="A1315" t="s">
        <v>1321</v>
      </c>
      <c r="B1315">
        <v>56838</v>
      </c>
      <c r="C1315">
        <v>8000500232057</v>
      </c>
      <c r="D1315">
        <v>19.899999999999999</v>
      </c>
      <c r="E1315">
        <v>15.59</v>
      </c>
      <c r="F1315" s="3">
        <v>0.19719999999999999</v>
      </c>
      <c r="G1315">
        <v>14.134</v>
      </c>
      <c r="H1315">
        <v>12.1</v>
      </c>
    </row>
    <row r="1316" spans="1:8" x14ac:dyDescent="0.25">
      <c r="A1316" t="s">
        <v>1322</v>
      </c>
      <c r="B1316">
        <v>41983</v>
      </c>
      <c r="C1316">
        <v>78932708</v>
      </c>
      <c r="D1316">
        <v>1.29</v>
      </c>
      <c r="E1316">
        <v>0.83</v>
      </c>
      <c r="F1316" s="3">
        <v>0.3231</v>
      </c>
      <c r="G1316">
        <v>0.75390000000000001</v>
      </c>
      <c r="H1316">
        <v>84.4</v>
      </c>
    </row>
    <row r="1317" spans="1:8" x14ac:dyDescent="0.25">
      <c r="A1317" t="s">
        <v>1323</v>
      </c>
      <c r="B1317">
        <v>6371</v>
      </c>
      <c r="C1317">
        <v>7891008210040</v>
      </c>
      <c r="D1317">
        <v>0</v>
      </c>
      <c r="E1317">
        <v>43.72</v>
      </c>
      <c r="F1317" s="3">
        <v>0</v>
      </c>
      <c r="G1317">
        <v>39.677999999999997</v>
      </c>
      <c r="H1317">
        <v>0.16700000000000001</v>
      </c>
    </row>
    <row r="1318" spans="1:8" x14ac:dyDescent="0.25">
      <c r="A1318" t="s">
        <v>1324</v>
      </c>
      <c r="B1318">
        <v>22306</v>
      </c>
      <c r="C1318">
        <v>7896019602006</v>
      </c>
      <c r="D1318">
        <v>0</v>
      </c>
      <c r="E1318">
        <v>46.45</v>
      </c>
      <c r="F1318" s="3">
        <v>0</v>
      </c>
      <c r="G1318">
        <v>42.103299999999997</v>
      </c>
      <c r="H1318">
        <v>0</v>
      </c>
    </row>
    <row r="1319" spans="1:8" x14ac:dyDescent="0.25">
      <c r="A1319" t="s">
        <v>1325</v>
      </c>
      <c r="B1319">
        <v>22113</v>
      </c>
      <c r="C1319">
        <v>78939301</v>
      </c>
      <c r="D1319">
        <v>1.69</v>
      </c>
      <c r="E1319">
        <v>0.94</v>
      </c>
      <c r="F1319" s="3">
        <v>0.40350000000000003</v>
      </c>
      <c r="G1319">
        <v>0.8518</v>
      </c>
      <c r="H1319">
        <v>96.167000000000002</v>
      </c>
    </row>
    <row r="1320" spans="1:8" x14ac:dyDescent="0.25">
      <c r="A1320" t="s">
        <v>1326</v>
      </c>
      <c r="B1320">
        <v>27928</v>
      </c>
      <c r="C1320">
        <v>7891035010200</v>
      </c>
      <c r="D1320">
        <v>23.9</v>
      </c>
      <c r="E1320">
        <v>16.72</v>
      </c>
      <c r="F1320" s="3">
        <v>0.26090000000000002</v>
      </c>
      <c r="G1320">
        <v>15.4527</v>
      </c>
      <c r="H1320">
        <v>1.0669999999999999</v>
      </c>
    </row>
    <row r="1321" spans="1:8" x14ac:dyDescent="0.25">
      <c r="A1321" t="s">
        <v>1327</v>
      </c>
      <c r="B1321">
        <v>27930</v>
      </c>
      <c r="C1321">
        <v>7891035012501</v>
      </c>
      <c r="D1321">
        <v>25.9</v>
      </c>
      <c r="E1321">
        <v>17.57</v>
      </c>
      <c r="F1321" s="3">
        <v>0.28889999999999999</v>
      </c>
      <c r="G1321">
        <v>16.0215</v>
      </c>
      <c r="H1321">
        <v>0.7</v>
      </c>
    </row>
    <row r="1322" spans="1:8" x14ac:dyDescent="0.25">
      <c r="A1322" t="s">
        <v>1328</v>
      </c>
      <c r="B1322">
        <v>59278</v>
      </c>
      <c r="C1322">
        <v>7891035000065</v>
      </c>
      <c r="D1322">
        <v>15.1</v>
      </c>
      <c r="E1322">
        <v>10.74</v>
      </c>
      <c r="F1322" s="3">
        <v>0.26190000000000002</v>
      </c>
      <c r="G1322">
        <v>9.7481000000000009</v>
      </c>
      <c r="H1322">
        <v>0</v>
      </c>
    </row>
    <row r="1323" spans="1:8" x14ac:dyDescent="0.25">
      <c r="A1323" t="s">
        <v>1329</v>
      </c>
      <c r="B1323">
        <v>67909</v>
      </c>
      <c r="C1323">
        <v>7896659100061</v>
      </c>
      <c r="D1323">
        <v>12.9</v>
      </c>
      <c r="E1323">
        <v>8.24</v>
      </c>
      <c r="F1323" s="3">
        <v>0.26250000000000001</v>
      </c>
      <c r="G1323">
        <v>5.9981999999999998</v>
      </c>
      <c r="H1323">
        <v>0.53300000000000003</v>
      </c>
    </row>
    <row r="1324" spans="1:8" x14ac:dyDescent="0.25">
      <c r="A1324" t="s">
        <v>1330</v>
      </c>
      <c r="B1324">
        <v>67920</v>
      </c>
      <c r="C1324">
        <v>7896659100009</v>
      </c>
      <c r="D1324">
        <v>27.9</v>
      </c>
      <c r="E1324">
        <v>14.79</v>
      </c>
      <c r="F1324" s="3">
        <v>0.34189999999999998</v>
      </c>
      <c r="G1324">
        <v>10.757199999999999</v>
      </c>
      <c r="H1324">
        <v>0.2</v>
      </c>
    </row>
    <row r="1325" spans="1:8" x14ac:dyDescent="0.25">
      <c r="A1325" t="s">
        <v>1331</v>
      </c>
      <c r="B1325">
        <v>56264</v>
      </c>
      <c r="C1325">
        <v>7896863498831</v>
      </c>
      <c r="D1325">
        <v>36.9</v>
      </c>
      <c r="E1325">
        <v>21.51</v>
      </c>
      <c r="F1325" s="3">
        <v>0.3034</v>
      </c>
      <c r="G1325">
        <v>15.650700000000001</v>
      </c>
      <c r="H1325">
        <v>0.16700000000000001</v>
      </c>
    </row>
    <row r="1326" spans="1:8" x14ac:dyDescent="0.25">
      <c r="A1326" t="s">
        <v>1332</v>
      </c>
      <c r="B1326">
        <v>19560</v>
      </c>
      <c r="C1326">
        <v>7891035516009</v>
      </c>
      <c r="D1326">
        <v>11.9</v>
      </c>
      <c r="E1326">
        <v>7.09</v>
      </c>
      <c r="F1326" s="3">
        <v>0.29389999999999999</v>
      </c>
      <c r="G1326">
        <v>5.1604000000000001</v>
      </c>
      <c r="H1326">
        <v>0.433</v>
      </c>
    </row>
    <row r="1327" spans="1:8" x14ac:dyDescent="0.25">
      <c r="A1327" t="s">
        <v>1333</v>
      </c>
      <c r="B1327">
        <v>34770</v>
      </c>
      <c r="C1327">
        <v>7891035517006</v>
      </c>
      <c r="D1327">
        <v>23.9</v>
      </c>
      <c r="E1327">
        <v>13.74</v>
      </c>
      <c r="F1327" s="3">
        <v>0.30940000000000001</v>
      </c>
      <c r="G1327">
        <v>9.9937000000000005</v>
      </c>
      <c r="H1327">
        <v>6.7000000000000004E-2</v>
      </c>
    </row>
    <row r="1328" spans="1:8" x14ac:dyDescent="0.25">
      <c r="A1328" t="s">
        <v>1334</v>
      </c>
      <c r="B1328">
        <v>7349</v>
      </c>
      <c r="C1328">
        <v>7898968066250</v>
      </c>
      <c r="D1328">
        <v>16.899999999999999</v>
      </c>
      <c r="E1328">
        <v>8.4600000000000009</v>
      </c>
      <c r="F1328" s="3">
        <v>0.4531</v>
      </c>
      <c r="G1328">
        <v>7.68</v>
      </c>
      <c r="H1328">
        <v>0.53300000000000003</v>
      </c>
    </row>
    <row r="1329" spans="1:8" x14ac:dyDescent="0.25">
      <c r="A1329" t="s">
        <v>1335</v>
      </c>
      <c r="B1329">
        <v>54399</v>
      </c>
      <c r="C1329">
        <v>3800205875307</v>
      </c>
      <c r="D1329">
        <v>9.9</v>
      </c>
      <c r="E1329">
        <v>7.47</v>
      </c>
      <c r="F1329" s="3">
        <v>0.22699999999999998</v>
      </c>
      <c r="G1329">
        <v>6.7369000000000003</v>
      </c>
      <c r="H1329">
        <v>0.86699999999999999</v>
      </c>
    </row>
    <row r="1330" spans="1:8" x14ac:dyDescent="0.25">
      <c r="A1330" t="s">
        <v>1336</v>
      </c>
      <c r="B1330">
        <v>54400</v>
      </c>
      <c r="C1330">
        <v>3800205873358</v>
      </c>
      <c r="D1330">
        <v>9.9</v>
      </c>
      <c r="E1330">
        <v>7.14</v>
      </c>
      <c r="F1330" s="3">
        <v>0.25409999999999999</v>
      </c>
      <c r="G1330">
        <v>6.4682000000000004</v>
      </c>
      <c r="H1330">
        <v>1.133</v>
      </c>
    </row>
    <row r="1331" spans="1:8" x14ac:dyDescent="0.25">
      <c r="A1331" t="s">
        <v>1337</v>
      </c>
      <c r="B1331">
        <v>54398</v>
      </c>
      <c r="C1331">
        <v>3800205875109</v>
      </c>
      <c r="D1331">
        <v>9.9</v>
      </c>
      <c r="E1331">
        <v>7.06</v>
      </c>
      <c r="F1331" s="3">
        <v>0.2616</v>
      </c>
      <c r="G1331">
        <v>6.3944000000000001</v>
      </c>
      <c r="H1331">
        <v>1.2</v>
      </c>
    </row>
    <row r="1332" spans="1:8" x14ac:dyDescent="0.25">
      <c r="A1332" t="s">
        <v>1338</v>
      </c>
      <c r="B1332">
        <v>6462</v>
      </c>
      <c r="C1332">
        <v>7896196060965</v>
      </c>
      <c r="D1332">
        <v>29.9</v>
      </c>
      <c r="E1332">
        <v>19.899999999999999</v>
      </c>
      <c r="F1332" s="3">
        <v>0.30680000000000002</v>
      </c>
      <c r="G1332">
        <v>17.961099999999998</v>
      </c>
      <c r="H1332">
        <v>1.0669999999999999</v>
      </c>
    </row>
    <row r="1333" spans="1:8" x14ac:dyDescent="0.25">
      <c r="A1333" t="s">
        <v>1339</v>
      </c>
      <c r="B1333">
        <v>6460</v>
      </c>
      <c r="C1333">
        <v>7896196060996</v>
      </c>
      <c r="D1333">
        <v>29.9</v>
      </c>
      <c r="E1333">
        <v>20.07</v>
      </c>
      <c r="F1333" s="3">
        <v>0.28589999999999999</v>
      </c>
      <c r="G1333">
        <v>18.584599999999998</v>
      </c>
      <c r="H1333">
        <v>0.36699999999999999</v>
      </c>
    </row>
    <row r="1334" spans="1:8" x14ac:dyDescent="0.25">
      <c r="A1334" t="s">
        <v>1340</v>
      </c>
      <c r="B1334">
        <v>8936</v>
      </c>
      <c r="C1334">
        <v>7896196074832</v>
      </c>
      <c r="D1334">
        <v>18.899999999999999</v>
      </c>
      <c r="E1334">
        <v>13.71</v>
      </c>
      <c r="F1334" s="3">
        <v>0.23670000000000002</v>
      </c>
      <c r="G1334">
        <v>12.678900000000001</v>
      </c>
      <c r="H1334">
        <v>6.7000000000000004E-2</v>
      </c>
    </row>
    <row r="1335" spans="1:8" x14ac:dyDescent="0.25">
      <c r="A1335" t="s">
        <v>1341</v>
      </c>
      <c r="B1335">
        <v>8937</v>
      </c>
      <c r="C1335">
        <v>7896196061696</v>
      </c>
      <c r="D1335">
        <v>24.9</v>
      </c>
      <c r="E1335">
        <v>17.13</v>
      </c>
      <c r="F1335" s="3">
        <v>0.2833</v>
      </c>
      <c r="G1335">
        <v>15.5433</v>
      </c>
      <c r="H1335">
        <v>0.1</v>
      </c>
    </row>
    <row r="1336" spans="1:8" x14ac:dyDescent="0.25">
      <c r="A1336" t="s">
        <v>1342</v>
      </c>
      <c r="B1336">
        <v>8941</v>
      </c>
      <c r="C1336">
        <v>7896196061726</v>
      </c>
      <c r="D1336">
        <v>24.9</v>
      </c>
      <c r="E1336">
        <v>17.13</v>
      </c>
      <c r="F1336" s="3">
        <v>0.2833</v>
      </c>
      <c r="G1336">
        <v>15.5433</v>
      </c>
      <c r="H1336">
        <v>0.23300000000000001</v>
      </c>
    </row>
    <row r="1337" spans="1:8" x14ac:dyDescent="0.25">
      <c r="A1337" t="s">
        <v>1343</v>
      </c>
      <c r="B1337">
        <v>65284</v>
      </c>
      <c r="C1337">
        <v>7899516208375</v>
      </c>
      <c r="D1337">
        <v>17.899999999999999</v>
      </c>
      <c r="E1337">
        <v>11.26</v>
      </c>
      <c r="F1337" s="3">
        <v>0.27</v>
      </c>
      <c r="G1337">
        <v>8.1888000000000005</v>
      </c>
      <c r="H1337">
        <v>1.667</v>
      </c>
    </row>
    <row r="1338" spans="1:8" x14ac:dyDescent="0.25">
      <c r="A1338" t="s">
        <v>1344</v>
      </c>
      <c r="B1338">
        <v>30491</v>
      </c>
      <c r="C1338">
        <v>7891008042023</v>
      </c>
      <c r="D1338">
        <v>32.9</v>
      </c>
      <c r="E1338">
        <v>27.32</v>
      </c>
      <c r="F1338" s="3">
        <v>0.1234</v>
      </c>
      <c r="G1338">
        <v>19.874300000000002</v>
      </c>
      <c r="H1338">
        <v>1.667</v>
      </c>
    </row>
    <row r="1339" spans="1:8" x14ac:dyDescent="0.25">
      <c r="A1339" t="s">
        <v>1345</v>
      </c>
      <c r="B1339">
        <v>39448</v>
      </c>
      <c r="C1339">
        <v>7891000120095</v>
      </c>
      <c r="D1339">
        <v>32.9</v>
      </c>
      <c r="E1339">
        <v>27.04</v>
      </c>
      <c r="F1339" s="3">
        <v>0.1326</v>
      </c>
      <c r="G1339">
        <v>19.571400000000001</v>
      </c>
      <c r="H1339">
        <v>6.367</v>
      </c>
    </row>
    <row r="1340" spans="1:8" x14ac:dyDescent="0.25">
      <c r="A1340" t="s">
        <v>1346</v>
      </c>
      <c r="B1340">
        <v>64625</v>
      </c>
      <c r="C1340">
        <v>7896063281608</v>
      </c>
      <c r="D1340">
        <v>12.9</v>
      </c>
      <c r="E1340">
        <v>8.36</v>
      </c>
      <c r="F1340" s="3">
        <v>0.25420000000000004</v>
      </c>
      <c r="G1340">
        <v>6.1058000000000003</v>
      </c>
      <c r="H1340">
        <v>5.0330000000000004</v>
      </c>
    </row>
    <row r="1341" spans="1:8" x14ac:dyDescent="0.25">
      <c r="A1341" t="s">
        <v>1347</v>
      </c>
      <c r="B1341">
        <v>8327</v>
      </c>
      <c r="C1341">
        <v>7896005800577</v>
      </c>
      <c r="D1341">
        <v>24.9</v>
      </c>
      <c r="E1341">
        <v>20.170000000000002</v>
      </c>
      <c r="F1341" s="3">
        <v>0.14410000000000001</v>
      </c>
      <c r="G1341">
        <v>21.3125</v>
      </c>
      <c r="H1341">
        <v>5.8</v>
      </c>
    </row>
    <row r="1342" spans="1:8" x14ac:dyDescent="0.25">
      <c r="A1342" t="s">
        <v>1348</v>
      </c>
      <c r="B1342">
        <v>66677</v>
      </c>
      <c r="C1342">
        <v>7896045111244</v>
      </c>
      <c r="D1342">
        <v>26.99</v>
      </c>
      <c r="E1342">
        <v>19.420000000000002</v>
      </c>
      <c r="F1342" s="3">
        <v>0.2777</v>
      </c>
      <c r="G1342">
        <v>19.494900000000001</v>
      </c>
      <c r="H1342">
        <v>1.5</v>
      </c>
    </row>
    <row r="1343" spans="1:8" x14ac:dyDescent="0.25">
      <c r="A1343" t="s">
        <v>1349</v>
      </c>
      <c r="B1343">
        <v>57533</v>
      </c>
      <c r="C1343">
        <v>7896045101658</v>
      </c>
      <c r="D1343">
        <v>26.99</v>
      </c>
      <c r="E1343">
        <v>20.74</v>
      </c>
      <c r="F1343" s="3">
        <v>0.22640000000000002</v>
      </c>
      <c r="G1343">
        <v>20.880500000000001</v>
      </c>
      <c r="H1343">
        <v>17.533000000000001</v>
      </c>
    </row>
    <row r="1344" spans="1:8" x14ac:dyDescent="0.25">
      <c r="A1344" t="s">
        <v>1350</v>
      </c>
      <c r="B1344">
        <v>62240</v>
      </c>
      <c r="C1344">
        <v>7896045106851</v>
      </c>
      <c r="D1344">
        <v>26.99</v>
      </c>
      <c r="E1344">
        <v>20.059999999999999</v>
      </c>
      <c r="F1344" s="3">
        <v>0.23929999999999998</v>
      </c>
      <c r="G1344">
        <v>20.530799999999999</v>
      </c>
      <c r="H1344">
        <v>8.0670000000000002</v>
      </c>
    </row>
    <row r="1345" spans="1:8" x14ac:dyDescent="0.25">
      <c r="A1345" t="s">
        <v>1351</v>
      </c>
      <c r="B1345">
        <v>57534</v>
      </c>
      <c r="C1345">
        <v>7896045101641</v>
      </c>
      <c r="D1345">
        <v>26.99</v>
      </c>
      <c r="E1345">
        <v>20.89</v>
      </c>
      <c r="F1345" s="3">
        <v>0.22649999999999998</v>
      </c>
      <c r="G1345">
        <v>20.876999999999999</v>
      </c>
      <c r="H1345">
        <v>16.033000000000001</v>
      </c>
    </row>
    <row r="1346" spans="1:8" x14ac:dyDescent="0.25">
      <c r="A1346" t="s">
        <v>1352</v>
      </c>
      <c r="B1346">
        <v>57535</v>
      </c>
      <c r="C1346">
        <v>7896045101665</v>
      </c>
      <c r="D1346">
        <v>26.99</v>
      </c>
      <c r="E1346">
        <v>20.72</v>
      </c>
      <c r="F1346" s="3">
        <v>0.23</v>
      </c>
      <c r="G1346">
        <v>20.7821</v>
      </c>
      <c r="H1346">
        <v>16.067</v>
      </c>
    </row>
    <row r="1347" spans="1:8" x14ac:dyDescent="0.25">
      <c r="A1347" t="s">
        <v>1353</v>
      </c>
      <c r="B1347">
        <v>9152</v>
      </c>
      <c r="C1347">
        <v>7896005802588</v>
      </c>
      <c r="D1347">
        <v>26.99</v>
      </c>
      <c r="E1347">
        <v>17.14</v>
      </c>
      <c r="F1347" s="3">
        <v>0.34700000000000003</v>
      </c>
      <c r="G1347">
        <v>17.6233</v>
      </c>
      <c r="H1347">
        <v>0.9</v>
      </c>
    </row>
    <row r="1348" spans="1:8" x14ac:dyDescent="0.25">
      <c r="A1348" t="s">
        <v>1354</v>
      </c>
      <c r="B1348">
        <v>9246</v>
      </c>
      <c r="C1348">
        <v>7896005801529</v>
      </c>
      <c r="D1348">
        <v>33.9</v>
      </c>
      <c r="E1348">
        <v>24.82</v>
      </c>
      <c r="F1348" s="3">
        <v>0.2636</v>
      </c>
      <c r="G1348">
        <v>24.9651</v>
      </c>
      <c r="H1348">
        <v>28.933</v>
      </c>
    </row>
    <row r="1349" spans="1:8" x14ac:dyDescent="0.25">
      <c r="A1349" t="s">
        <v>1355</v>
      </c>
      <c r="B1349">
        <v>9245</v>
      </c>
      <c r="C1349">
        <v>7896005800010</v>
      </c>
      <c r="D1349">
        <v>33.9</v>
      </c>
      <c r="E1349">
        <v>24.04</v>
      </c>
      <c r="F1349" s="3">
        <v>0.29969999999999997</v>
      </c>
      <c r="G1349">
        <v>23.741700000000002</v>
      </c>
      <c r="H1349">
        <v>111.06699999999999</v>
      </c>
    </row>
    <row r="1350" spans="1:8" x14ac:dyDescent="0.25">
      <c r="A1350" t="s">
        <v>1356</v>
      </c>
      <c r="B1350">
        <v>8572</v>
      </c>
      <c r="C1350">
        <v>7896005800829</v>
      </c>
      <c r="D1350">
        <v>32.9</v>
      </c>
      <c r="E1350">
        <v>29.7</v>
      </c>
      <c r="F1350" s="3">
        <v>9.7299999999999998E-2</v>
      </c>
      <c r="G1350">
        <v>29.699000000000002</v>
      </c>
      <c r="H1350">
        <v>16.8</v>
      </c>
    </row>
    <row r="1351" spans="1:8" x14ac:dyDescent="0.25">
      <c r="A1351" t="s">
        <v>1357</v>
      </c>
      <c r="B1351">
        <v>8571</v>
      </c>
      <c r="C1351">
        <v>7896045102396</v>
      </c>
      <c r="D1351">
        <v>33.9</v>
      </c>
      <c r="E1351">
        <v>24.85</v>
      </c>
      <c r="F1351" s="3">
        <v>0.32340000000000002</v>
      </c>
      <c r="G1351">
        <v>22.935099999999998</v>
      </c>
      <c r="H1351">
        <v>68.233000000000004</v>
      </c>
    </row>
    <row r="1352" spans="1:8" x14ac:dyDescent="0.25">
      <c r="A1352" t="s">
        <v>1358</v>
      </c>
      <c r="B1352">
        <v>8631</v>
      </c>
      <c r="C1352">
        <v>7896045102440</v>
      </c>
      <c r="D1352">
        <v>33.9</v>
      </c>
      <c r="E1352">
        <v>25.33</v>
      </c>
      <c r="F1352" s="3">
        <v>0.26800000000000002</v>
      </c>
      <c r="G1352">
        <v>24.815300000000001</v>
      </c>
      <c r="H1352">
        <v>84.966999999999999</v>
      </c>
    </row>
    <row r="1353" spans="1:8" x14ac:dyDescent="0.25">
      <c r="A1353" t="s">
        <v>1359</v>
      </c>
      <c r="B1353">
        <v>9489</v>
      </c>
      <c r="C1353">
        <v>7896005804520</v>
      </c>
      <c r="D1353">
        <v>8.99</v>
      </c>
      <c r="E1353">
        <v>6.01</v>
      </c>
      <c r="F1353" s="3">
        <v>0.32679999999999998</v>
      </c>
      <c r="G1353">
        <v>6.0517000000000003</v>
      </c>
      <c r="H1353">
        <v>2.8</v>
      </c>
    </row>
    <row r="1354" spans="1:8" x14ac:dyDescent="0.25">
      <c r="A1354" t="s">
        <v>1360</v>
      </c>
      <c r="B1354">
        <v>8569</v>
      </c>
      <c r="C1354">
        <v>7896045111077</v>
      </c>
      <c r="D1354">
        <v>22.9</v>
      </c>
      <c r="E1354">
        <v>16.22</v>
      </c>
      <c r="F1354" s="3">
        <v>0.29149999999999998</v>
      </c>
      <c r="G1354">
        <v>16.2242</v>
      </c>
      <c r="H1354">
        <v>3.133</v>
      </c>
    </row>
    <row r="1355" spans="1:8" x14ac:dyDescent="0.25">
      <c r="A1355" t="s">
        <v>1361</v>
      </c>
      <c r="B1355">
        <v>62241</v>
      </c>
      <c r="C1355">
        <v>7896045106844</v>
      </c>
      <c r="D1355">
        <v>0</v>
      </c>
      <c r="E1355">
        <v>15.71</v>
      </c>
      <c r="F1355" s="3">
        <v>0</v>
      </c>
      <c r="G1355">
        <v>15.705</v>
      </c>
      <c r="H1355">
        <v>0.3</v>
      </c>
    </row>
    <row r="1356" spans="1:8" x14ac:dyDescent="0.25">
      <c r="A1356" t="s">
        <v>1362</v>
      </c>
      <c r="B1356">
        <v>62239</v>
      </c>
      <c r="C1356">
        <v>7896045109616</v>
      </c>
      <c r="D1356">
        <v>27.99</v>
      </c>
      <c r="E1356">
        <v>20.72</v>
      </c>
      <c r="F1356" s="3">
        <v>0.25090000000000001</v>
      </c>
      <c r="G1356">
        <v>20.9682</v>
      </c>
      <c r="H1356">
        <v>5.133</v>
      </c>
    </row>
    <row r="1357" spans="1:8" x14ac:dyDescent="0.25">
      <c r="A1357" t="s">
        <v>1363</v>
      </c>
      <c r="B1357">
        <v>62237</v>
      </c>
      <c r="C1357">
        <v>7896045109609</v>
      </c>
      <c r="D1357">
        <v>27.99</v>
      </c>
      <c r="E1357">
        <v>21.1</v>
      </c>
      <c r="F1357" s="3">
        <v>0.25530000000000003</v>
      </c>
      <c r="G1357">
        <v>20.844000000000001</v>
      </c>
      <c r="H1357">
        <v>7.367</v>
      </c>
    </row>
    <row r="1358" spans="1:8" x14ac:dyDescent="0.25">
      <c r="A1358" t="s">
        <v>1364</v>
      </c>
      <c r="B1358">
        <v>62238</v>
      </c>
      <c r="C1358">
        <v>7896045109623</v>
      </c>
      <c r="D1358">
        <v>27.99</v>
      </c>
      <c r="E1358">
        <v>21.27</v>
      </c>
      <c r="F1358" s="3">
        <v>0.24</v>
      </c>
      <c r="G1358">
        <v>21.271999999999998</v>
      </c>
      <c r="H1358">
        <v>2.4</v>
      </c>
    </row>
    <row r="1359" spans="1:8" x14ac:dyDescent="0.25">
      <c r="A1359" t="s">
        <v>1365</v>
      </c>
      <c r="B1359">
        <v>68986</v>
      </c>
      <c r="C1359">
        <v>7896045113613</v>
      </c>
      <c r="D1359">
        <v>37.9</v>
      </c>
      <c r="E1359">
        <v>26.48</v>
      </c>
      <c r="F1359" s="3">
        <v>0.27350000000000002</v>
      </c>
      <c r="G1359">
        <v>24.0288</v>
      </c>
      <c r="H1359">
        <v>1.1000000000000001</v>
      </c>
    </row>
    <row r="1360" spans="1:8" x14ac:dyDescent="0.25">
      <c r="A1360" t="s">
        <v>1366</v>
      </c>
      <c r="B1360">
        <v>68987</v>
      </c>
      <c r="C1360">
        <v>7896045113156</v>
      </c>
      <c r="D1360">
        <v>37.9</v>
      </c>
      <c r="E1360">
        <v>26.48</v>
      </c>
      <c r="F1360" s="3">
        <v>0.27350000000000002</v>
      </c>
      <c r="G1360">
        <v>24.0288</v>
      </c>
      <c r="H1360">
        <v>0.5</v>
      </c>
    </row>
    <row r="1361" spans="1:8" x14ac:dyDescent="0.25">
      <c r="A1361" t="s">
        <v>1367</v>
      </c>
      <c r="B1361">
        <v>68989</v>
      </c>
      <c r="C1361">
        <v>7896045113606</v>
      </c>
      <c r="D1361">
        <v>37.9</v>
      </c>
      <c r="E1361">
        <v>26.48</v>
      </c>
      <c r="F1361" s="3">
        <v>0.27350000000000002</v>
      </c>
      <c r="G1361">
        <v>24.0288</v>
      </c>
      <c r="H1361">
        <v>1.133</v>
      </c>
    </row>
    <row r="1362" spans="1:8" x14ac:dyDescent="0.25">
      <c r="A1362" t="s">
        <v>1368</v>
      </c>
      <c r="B1362">
        <v>68988</v>
      </c>
      <c r="C1362">
        <v>7896045113620</v>
      </c>
      <c r="D1362">
        <v>37.9</v>
      </c>
      <c r="E1362">
        <v>26.48</v>
      </c>
      <c r="F1362" s="3">
        <v>0.27350000000000002</v>
      </c>
      <c r="G1362">
        <v>24.0288</v>
      </c>
      <c r="H1362">
        <v>0.9</v>
      </c>
    </row>
    <row r="1363" spans="1:8" x14ac:dyDescent="0.25">
      <c r="A1363" t="s">
        <v>1369</v>
      </c>
      <c r="B1363">
        <v>61984</v>
      </c>
      <c r="C1363">
        <v>7898922711042</v>
      </c>
      <c r="D1363">
        <v>34.9</v>
      </c>
      <c r="E1363">
        <v>26.49</v>
      </c>
      <c r="F1363" s="3">
        <v>0.2409</v>
      </c>
      <c r="G1363">
        <v>26.493300000000001</v>
      </c>
      <c r="H1363">
        <v>1.2330000000000001</v>
      </c>
    </row>
    <row r="1364" spans="1:8" x14ac:dyDescent="0.25">
      <c r="A1364" t="s">
        <v>1370</v>
      </c>
      <c r="B1364">
        <v>61983</v>
      </c>
      <c r="C1364">
        <v>7898922711028</v>
      </c>
      <c r="D1364">
        <v>34.9</v>
      </c>
      <c r="E1364">
        <v>26.37</v>
      </c>
      <c r="F1364" s="3">
        <v>0.24440000000000001</v>
      </c>
      <c r="G1364">
        <v>26.371500000000001</v>
      </c>
      <c r="H1364">
        <v>0.56699999999999995</v>
      </c>
    </row>
    <row r="1365" spans="1:8" x14ac:dyDescent="0.25">
      <c r="A1365" t="s">
        <v>1371</v>
      </c>
      <c r="B1365">
        <v>61986</v>
      </c>
      <c r="C1365">
        <v>7898952174565</v>
      </c>
      <c r="D1365">
        <v>34.9</v>
      </c>
      <c r="E1365">
        <v>26.56</v>
      </c>
      <c r="F1365" s="3">
        <v>0.23910000000000001</v>
      </c>
      <c r="G1365">
        <v>26.556000000000001</v>
      </c>
      <c r="H1365">
        <v>2.5329999999999999</v>
      </c>
    </row>
    <row r="1366" spans="1:8" x14ac:dyDescent="0.25">
      <c r="A1366" t="s">
        <v>1372</v>
      </c>
      <c r="B1366">
        <v>61985</v>
      </c>
      <c r="C1366">
        <v>7898922711547</v>
      </c>
      <c r="D1366">
        <v>34.9</v>
      </c>
      <c r="E1366">
        <v>26.56</v>
      </c>
      <c r="F1366" s="3">
        <v>0.23910000000000001</v>
      </c>
      <c r="G1366">
        <v>26.556000000000001</v>
      </c>
      <c r="H1366">
        <v>1.0329999999999999</v>
      </c>
    </row>
    <row r="1367" spans="1:8" x14ac:dyDescent="0.25">
      <c r="A1367" t="s">
        <v>1373</v>
      </c>
      <c r="B1367">
        <v>4628</v>
      </c>
      <c r="C1367">
        <v>7891000006290</v>
      </c>
      <c r="D1367">
        <v>22.9</v>
      </c>
      <c r="E1367">
        <v>16.41</v>
      </c>
      <c r="F1367" s="3">
        <v>0.28320000000000001</v>
      </c>
      <c r="G1367">
        <v>16.414100000000001</v>
      </c>
      <c r="H1367">
        <v>0.26700000000000002</v>
      </c>
    </row>
    <row r="1368" spans="1:8" x14ac:dyDescent="0.25">
      <c r="A1368" t="s">
        <v>1374</v>
      </c>
      <c r="B1368">
        <v>42061</v>
      </c>
      <c r="C1368">
        <v>884394001917</v>
      </c>
      <c r="D1368">
        <v>10.9</v>
      </c>
      <c r="E1368">
        <v>6.5</v>
      </c>
      <c r="F1368" s="3">
        <v>0.40369999999999995</v>
      </c>
      <c r="G1368">
        <v>6.5</v>
      </c>
      <c r="H1368">
        <v>0.4</v>
      </c>
    </row>
    <row r="1369" spans="1:8" x14ac:dyDescent="0.25">
      <c r="A1369" t="s">
        <v>1375</v>
      </c>
      <c r="B1369">
        <v>48966</v>
      </c>
      <c r="C1369">
        <v>884394003249</v>
      </c>
      <c r="D1369">
        <v>10.9</v>
      </c>
      <c r="E1369">
        <v>6.5</v>
      </c>
      <c r="F1369" s="3">
        <v>0.40369999999999995</v>
      </c>
      <c r="G1369">
        <v>6.5</v>
      </c>
      <c r="H1369">
        <v>0.5</v>
      </c>
    </row>
    <row r="1370" spans="1:8" x14ac:dyDescent="0.25">
      <c r="A1370" t="s">
        <v>1376</v>
      </c>
      <c r="B1370">
        <v>42067</v>
      </c>
      <c r="C1370">
        <v>884394002907</v>
      </c>
      <c r="D1370">
        <v>10.9</v>
      </c>
      <c r="E1370">
        <v>6.5</v>
      </c>
      <c r="F1370" s="3">
        <v>0.40369999999999995</v>
      </c>
      <c r="G1370">
        <v>6.5</v>
      </c>
      <c r="H1370">
        <v>0.26700000000000002</v>
      </c>
    </row>
    <row r="1371" spans="1:8" x14ac:dyDescent="0.25">
      <c r="A1371" t="s">
        <v>1377</v>
      </c>
      <c r="B1371">
        <v>8321</v>
      </c>
      <c r="C1371">
        <v>7896089029475</v>
      </c>
      <c r="D1371">
        <v>44.9</v>
      </c>
      <c r="E1371">
        <v>36.270000000000003</v>
      </c>
      <c r="F1371" s="3">
        <v>0.15049999999999999</v>
      </c>
      <c r="G1371">
        <v>38.141199999999998</v>
      </c>
      <c r="H1371">
        <v>8.5329999999999995</v>
      </c>
    </row>
    <row r="1372" spans="1:8" x14ac:dyDescent="0.25">
      <c r="A1372" t="s">
        <v>1378</v>
      </c>
      <c r="B1372">
        <v>8323</v>
      </c>
      <c r="C1372">
        <v>7896089029482</v>
      </c>
      <c r="D1372">
        <v>44.9</v>
      </c>
      <c r="E1372">
        <v>36.39</v>
      </c>
      <c r="F1372" s="3">
        <v>0.16159999999999999</v>
      </c>
      <c r="G1372">
        <v>37.644300000000001</v>
      </c>
      <c r="H1372">
        <v>2.7669999999999999</v>
      </c>
    </row>
    <row r="1373" spans="1:8" x14ac:dyDescent="0.25">
      <c r="A1373" t="s">
        <v>1379</v>
      </c>
      <c r="B1373">
        <v>4591</v>
      </c>
      <c r="C1373">
        <v>7896089029468</v>
      </c>
      <c r="D1373">
        <v>44.9</v>
      </c>
      <c r="E1373">
        <v>37.28</v>
      </c>
      <c r="F1373" s="3">
        <v>0.16289999999999999</v>
      </c>
      <c r="G1373">
        <v>37.584499999999998</v>
      </c>
      <c r="H1373">
        <v>8.8000000000000007</v>
      </c>
    </row>
    <row r="1374" spans="1:8" x14ac:dyDescent="0.25">
      <c r="A1374" t="s">
        <v>1380</v>
      </c>
      <c r="B1374">
        <v>61982</v>
      </c>
      <c r="C1374">
        <v>7898922711097</v>
      </c>
      <c r="D1374">
        <v>34.9</v>
      </c>
      <c r="E1374">
        <v>25.66</v>
      </c>
      <c r="F1374" s="3">
        <v>0.26479999999999998</v>
      </c>
      <c r="G1374">
        <v>25.658999999999999</v>
      </c>
      <c r="H1374">
        <v>2.4329999999999998</v>
      </c>
    </row>
    <row r="1375" spans="1:8" x14ac:dyDescent="0.25">
      <c r="A1375" t="s">
        <v>1381</v>
      </c>
      <c r="B1375">
        <v>21363</v>
      </c>
      <c r="C1375">
        <v>7896089028973</v>
      </c>
      <c r="D1375">
        <v>139</v>
      </c>
      <c r="E1375">
        <v>93.29</v>
      </c>
      <c r="F1375" s="3">
        <v>0.2853</v>
      </c>
      <c r="G1375">
        <v>89.611699999999999</v>
      </c>
      <c r="H1375">
        <v>6.7000000000000004E-2</v>
      </c>
    </row>
    <row r="1376" spans="1:8" x14ac:dyDescent="0.25">
      <c r="A1376" t="s">
        <v>1382</v>
      </c>
      <c r="B1376">
        <v>67557</v>
      </c>
      <c r="C1376">
        <v>8003753900520</v>
      </c>
      <c r="D1376">
        <v>39.9</v>
      </c>
      <c r="E1376">
        <v>28.9</v>
      </c>
      <c r="F1376" s="3">
        <v>0.25629999999999997</v>
      </c>
      <c r="G1376">
        <v>26.88</v>
      </c>
      <c r="H1376">
        <v>0.16700000000000001</v>
      </c>
    </row>
    <row r="1377" spans="1:8" x14ac:dyDescent="0.25">
      <c r="A1377" t="s">
        <v>1383</v>
      </c>
      <c r="B1377">
        <v>67558</v>
      </c>
      <c r="C1377">
        <v>8003753214887</v>
      </c>
      <c r="D1377">
        <v>44.9</v>
      </c>
      <c r="E1377">
        <v>31.1</v>
      </c>
      <c r="F1377" s="3">
        <v>0.2858</v>
      </c>
      <c r="G1377">
        <v>28.9237</v>
      </c>
      <c r="H1377">
        <v>0.13300000000000001</v>
      </c>
    </row>
    <row r="1378" spans="1:8" x14ac:dyDescent="0.25">
      <c r="A1378" t="s">
        <v>1384</v>
      </c>
      <c r="B1378">
        <v>68053</v>
      </c>
      <c r="C1378">
        <v>7898912704146</v>
      </c>
      <c r="D1378">
        <v>32.9</v>
      </c>
      <c r="E1378">
        <v>17.899999999999999</v>
      </c>
      <c r="F1378" s="3">
        <v>0.42399999999999999</v>
      </c>
      <c r="G1378">
        <v>16.646699999999999</v>
      </c>
      <c r="H1378">
        <v>1</v>
      </c>
    </row>
    <row r="1379" spans="1:8" x14ac:dyDescent="0.25">
      <c r="A1379" t="s">
        <v>1385</v>
      </c>
      <c r="B1379">
        <v>68054</v>
      </c>
      <c r="C1379">
        <v>7898912704252</v>
      </c>
      <c r="D1379">
        <v>32.9</v>
      </c>
      <c r="E1379">
        <v>17.899999999999999</v>
      </c>
      <c r="F1379" s="3">
        <v>0.42399999999999999</v>
      </c>
      <c r="G1379">
        <v>16.646699999999999</v>
      </c>
      <c r="H1379">
        <v>0.7</v>
      </c>
    </row>
    <row r="1380" spans="1:8" x14ac:dyDescent="0.25">
      <c r="A1380" t="s">
        <v>1386</v>
      </c>
      <c r="B1380">
        <v>9493</v>
      </c>
      <c r="C1380">
        <v>7896089012101</v>
      </c>
      <c r="D1380">
        <v>119</v>
      </c>
      <c r="E1380">
        <v>101.31</v>
      </c>
      <c r="F1380" s="3">
        <v>0.1245</v>
      </c>
      <c r="G1380">
        <v>95.851500000000001</v>
      </c>
      <c r="H1380">
        <v>1.5329999999999999</v>
      </c>
    </row>
    <row r="1381" spans="1:8" x14ac:dyDescent="0.25">
      <c r="A1381" t="s">
        <v>1387</v>
      </c>
      <c r="B1381">
        <v>62780</v>
      </c>
      <c r="C1381">
        <v>7896089013917</v>
      </c>
      <c r="D1381">
        <v>79</v>
      </c>
      <c r="E1381">
        <v>62.34</v>
      </c>
      <c r="F1381" s="3">
        <v>0.19519999999999998</v>
      </c>
      <c r="G1381">
        <v>58.0486</v>
      </c>
      <c r="H1381">
        <v>1</v>
      </c>
    </row>
    <row r="1382" spans="1:8" x14ac:dyDescent="0.25">
      <c r="A1382" t="s">
        <v>1388</v>
      </c>
      <c r="B1382">
        <v>67695</v>
      </c>
      <c r="C1382">
        <v>733411088731</v>
      </c>
      <c r="D1382">
        <v>18.899999999999999</v>
      </c>
      <c r="E1382">
        <v>14.9</v>
      </c>
      <c r="F1382" s="3">
        <v>0.21350000000000002</v>
      </c>
      <c r="G1382">
        <v>14.8645</v>
      </c>
      <c r="H1382">
        <v>2.7</v>
      </c>
    </row>
    <row r="1383" spans="1:8" x14ac:dyDescent="0.25">
      <c r="A1383" t="s">
        <v>1389</v>
      </c>
      <c r="B1383">
        <v>67560</v>
      </c>
      <c r="C1383">
        <v>8003753917405</v>
      </c>
      <c r="D1383">
        <v>19.899999999999999</v>
      </c>
      <c r="E1383">
        <v>14.76</v>
      </c>
      <c r="F1383" s="3">
        <v>0.25819999999999999</v>
      </c>
      <c r="G1383">
        <v>14.7608</v>
      </c>
      <c r="H1383">
        <v>1.167</v>
      </c>
    </row>
    <row r="1384" spans="1:8" x14ac:dyDescent="0.25">
      <c r="A1384" t="s">
        <v>1390</v>
      </c>
      <c r="B1384">
        <v>67559</v>
      </c>
      <c r="C1384">
        <v>8003753917399</v>
      </c>
      <c r="D1384">
        <v>19.899999999999999</v>
      </c>
      <c r="E1384">
        <v>15.2</v>
      </c>
      <c r="F1384" s="3">
        <v>0.24249999999999999</v>
      </c>
      <c r="G1384">
        <v>15.074400000000001</v>
      </c>
      <c r="H1384">
        <v>0.7</v>
      </c>
    </row>
    <row r="1385" spans="1:8" x14ac:dyDescent="0.25">
      <c r="A1385" t="s">
        <v>1391</v>
      </c>
      <c r="B1385">
        <v>67564</v>
      </c>
      <c r="C1385">
        <v>8003753950921</v>
      </c>
      <c r="D1385">
        <v>42.9</v>
      </c>
      <c r="E1385">
        <v>31.63</v>
      </c>
      <c r="F1385" s="3">
        <v>0.26269999999999999</v>
      </c>
      <c r="G1385">
        <v>31.63</v>
      </c>
      <c r="H1385">
        <v>0</v>
      </c>
    </row>
    <row r="1386" spans="1:8" x14ac:dyDescent="0.25">
      <c r="A1386" t="s">
        <v>1392</v>
      </c>
      <c r="B1386">
        <v>67561</v>
      </c>
      <c r="C1386">
        <v>8003753939940</v>
      </c>
      <c r="D1386">
        <v>22.9</v>
      </c>
      <c r="E1386">
        <v>15.82</v>
      </c>
      <c r="F1386" s="3">
        <v>0.30940000000000001</v>
      </c>
      <c r="G1386">
        <v>15.815</v>
      </c>
      <c r="H1386">
        <v>0.1</v>
      </c>
    </row>
    <row r="1387" spans="1:8" x14ac:dyDescent="0.25">
      <c r="A1387" t="s">
        <v>1393</v>
      </c>
      <c r="B1387">
        <v>67563</v>
      </c>
      <c r="C1387">
        <v>8003753215006</v>
      </c>
      <c r="D1387">
        <v>49.9</v>
      </c>
      <c r="E1387">
        <v>33.18</v>
      </c>
      <c r="F1387" s="3">
        <v>0.33500000000000002</v>
      </c>
      <c r="G1387">
        <v>33.183500000000002</v>
      </c>
      <c r="H1387">
        <v>0.33300000000000002</v>
      </c>
    </row>
    <row r="1388" spans="1:8" x14ac:dyDescent="0.25">
      <c r="A1388" t="s">
        <v>1394</v>
      </c>
      <c r="B1388">
        <v>66469</v>
      </c>
      <c r="C1388">
        <v>7707280880287</v>
      </c>
      <c r="D1388">
        <v>44.9</v>
      </c>
      <c r="E1388">
        <v>31.56</v>
      </c>
      <c r="F1388" s="3">
        <v>0.29710000000000003</v>
      </c>
      <c r="G1388">
        <v>31.561699999999998</v>
      </c>
      <c r="H1388">
        <v>0.2</v>
      </c>
    </row>
    <row r="1389" spans="1:8" x14ac:dyDescent="0.25">
      <c r="A1389" t="s">
        <v>1395</v>
      </c>
      <c r="B1389">
        <v>48809</v>
      </c>
      <c r="C1389">
        <v>7896089060065</v>
      </c>
      <c r="D1389">
        <v>69.900000000000006</v>
      </c>
      <c r="E1389">
        <v>64.02</v>
      </c>
      <c r="F1389" s="3">
        <v>7.8200000000000006E-2</v>
      </c>
      <c r="G1389">
        <v>59.538800000000002</v>
      </c>
      <c r="H1389">
        <v>0.433</v>
      </c>
    </row>
    <row r="1390" spans="1:8" x14ac:dyDescent="0.25">
      <c r="A1390" t="s">
        <v>1396</v>
      </c>
      <c r="B1390">
        <v>67604</v>
      </c>
      <c r="C1390">
        <v>7896089060195</v>
      </c>
      <c r="D1390">
        <v>30.9</v>
      </c>
      <c r="E1390">
        <v>15.75</v>
      </c>
      <c r="F1390" s="3">
        <v>0.4904</v>
      </c>
      <c r="G1390">
        <v>15.747199999999999</v>
      </c>
      <c r="H1390">
        <v>0.7</v>
      </c>
    </row>
    <row r="1391" spans="1:8" x14ac:dyDescent="0.25">
      <c r="A1391" t="s">
        <v>1397</v>
      </c>
      <c r="B1391">
        <v>67607</v>
      </c>
      <c r="C1391">
        <v>7896089060171</v>
      </c>
      <c r="D1391">
        <v>34.9</v>
      </c>
      <c r="E1391">
        <v>20.23</v>
      </c>
      <c r="F1391" s="3">
        <v>0.42619999999999997</v>
      </c>
      <c r="G1391">
        <v>20.0242</v>
      </c>
      <c r="H1391">
        <v>0.8</v>
      </c>
    </row>
    <row r="1392" spans="1:8" x14ac:dyDescent="0.25">
      <c r="A1392" t="s">
        <v>1398</v>
      </c>
      <c r="B1392">
        <v>67608</v>
      </c>
      <c r="C1392">
        <v>7896089060164</v>
      </c>
      <c r="D1392">
        <v>34.9</v>
      </c>
      <c r="E1392">
        <v>20.12</v>
      </c>
      <c r="F1392" s="3">
        <v>0.42310000000000003</v>
      </c>
      <c r="G1392">
        <v>20.132999999999999</v>
      </c>
      <c r="H1392">
        <v>0.66700000000000004</v>
      </c>
    </row>
    <row r="1393" spans="1:8" x14ac:dyDescent="0.25">
      <c r="A1393" t="s">
        <v>1399</v>
      </c>
      <c r="B1393">
        <v>67609</v>
      </c>
      <c r="C1393">
        <v>7896089060188</v>
      </c>
      <c r="D1393">
        <v>34.9</v>
      </c>
      <c r="E1393">
        <v>22.99</v>
      </c>
      <c r="F1393" s="3">
        <v>0.32909999999999995</v>
      </c>
      <c r="G1393">
        <v>23.412700000000001</v>
      </c>
      <c r="H1393">
        <v>0.46700000000000003</v>
      </c>
    </row>
    <row r="1394" spans="1:8" x14ac:dyDescent="0.25">
      <c r="A1394" t="s">
        <v>1400</v>
      </c>
      <c r="B1394">
        <v>61660</v>
      </c>
      <c r="C1394">
        <v>7896089060140</v>
      </c>
      <c r="D1394">
        <v>30.9</v>
      </c>
      <c r="E1394">
        <v>21.74</v>
      </c>
      <c r="F1394" s="3">
        <v>0.27239999999999998</v>
      </c>
      <c r="G1394">
        <v>22.4834</v>
      </c>
      <c r="H1394">
        <v>1.2330000000000001</v>
      </c>
    </row>
    <row r="1395" spans="1:8" x14ac:dyDescent="0.25">
      <c r="A1395" t="s">
        <v>1401</v>
      </c>
      <c r="B1395">
        <v>61661</v>
      </c>
      <c r="C1395">
        <v>7896089060133</v>
      </c>
      <c r="D1395">
        <v>30.9</v>
      </c>
      <c r="E1395">
        <v>23.19</v>
      </c>
      <c r="F1395" s="3">
        <v>0.25129999999999997</v>
      </c>
      <c r="G1395">
        <v>23.135300000000001</v>
      </c>
      <c r="H1395">
        <v>0.56699999999999995</v>
      </c>
    </row>
    <row r="1396" spans="1:8" x14ac:dyDescent="0.25">
      <c r="A1396" t="s">
        <v>1402</v>
      </c>
      <c r="B1396">
        <v>61659</v>
      </c>
      <c r="C1396">
        <v>7896089060157</v>
      </c>
      <c r="D1396">
        <v>30.9</v>
      </c>
      <c r="E1396">
        <v>16.32</v>
      </c>
      <c r="F1396" s="3">
        <v>0.505</v>
      </c>
      <c r="G1396">
        <v>15.294700000000001</v>
      </c>
      <c r="H1396">
        <v>0.36699999999999999</v>
      </c>
    </row>
    <row r="1397" spans="1:8" x14ac:dyDescent="0.25">
      <c r="A1397" t="s">
        <v>1403</v>
      </c>
      <c r="B1397">
        <v>22356</v>
      </c>
      <c r="C1397">
        <v>7891021006309</v>
      </c>
      <c r="D1397">
        <v>29.9</v>
      </c>
      <c r="E1397">
        <v>21.66</v>
      </c>
      <c r="F1397" s="3">
        <v>0.12869999999999998</v>
      </c>
      <c r="G1397">
        <v>26.0519</v>
      </c>
      <c r="H1397">
        <v>4.0999999999999996</v>
      </c>
    </row>
    <row r="1398" spans="1:8" x14ac:dyDescent="0.25">
      <c r="A1398" t="s">
        <v>1404</v>
      </c>
      <c r="B1398">
        <v>22382</v>
      </c>
      <c r="C1398">
        <v>7891021005609</v>
      </c>
      <c r="D1398">
        <v>29.9</v>
      </c>
      <c r="E1398">
        <v>19.079999999999998</v>
      </c>
      <c r="F1398" s="3">
        <v>0.3085</v>
      </c>
      <c r="G1398">
        <v>20.676300000000001</v>
      </c>
      <c r="H1398">
        <v>1.3</v>
      </c>
    </row>
    <row r="1399" spans="1:8" x14ac:dyDescent="0.25">
      <c r="A1399" t="s">
        <v>1405</v>
      </c>
      <c r="B1399">
        <v>22383</v>
      </c>
      <c r="C1399">
        <v>7891021005562</v>
      </c>
      <c r="D1399">
        <v>29.9</v>
      </c>
      <c r="E1399">
        <v>20.93</v>
      </c>
      <c r="F1399" s="3">
        <v>0.27479999999999999</v>
      </c>
      <c r="G1399">
        <v>21.683299999999999</v>
      </c>
      <c r="H1399">
        <v>1.7669999999999999</v>
      </c>
    </row>
    <row r="1400" spans="1:8" x14ac:dyDescent="0.25">
      <c r="A1400" t="s">
        <v>1406</v>
      </c>
      <c r="B1400">
        <v>22384</v>
      </c>
      <c r="C1400">
        <v>7891021005586</v>
      </c>
      <c r="D1400">
        <v>29.9</v>
      </c>
      <c r="E1400">
        <v>23.16</v>
      </c>
      <c r="F1400" s="3">
        <v>0.21890000000000001</v>
      </c>
      <c r="G1400">
        <v>23.356300000000001</v>
      </c>
      <c r="H1400">
        <v>1.633</v>
      </c>
    </row>
    <row r="1401" spans="1:8" x14ac:dyDescent="0.25">
      <c r="A1401" t="s">
        <v>1407</v>
      </c>
      <c r="B1401">
        <v>69011</v>
      </c>
      <c r="C1401">
        <v>7896348301441</v>
      </c>
      <c r="D1401">
        <v>29.9</v>
      </c>
      <c r="E1401">
        <v>27.07</v>
      </c>
      <c r="F1401" s="3">
        <v>8.5800000000000001E-2</v>
      </c>
      <c r="G1401">
        <v>24.569299999999998</v>
      </c>
      <c r="H1401">
        <v>0.23300000000000001</v>
      </c>
    </row>
    <row r="1402" spans="1:8" x14ac:dyDescent="0.25">
      <c r="A1402" t="s">
        <v>1408</v>
      </c>
      <c r="B1402">
        <v>4602</v>
      </c>
      <c r="C1402">
        <v>7891021006071</v>
      </c>
      <c r="D1402">
        <v>14.99</v>
      </c>
      <c r="E1402">
        <v>11.19</v>
      </c>
      <c r="F1402" s="3">
        <v>0.25079999999999997</v>
      </c>
      <c r="G1402">
        <v>11.230399999999999</v>
      </c>
      <c r="H1402">
        <v>34.4</v>
      </c>
    </row>
    <row r="1403" spans="1:8" x14ac:dyDescent="0.25">
      <c r="A1403" t="s">
        <v>1409</v>
      </c>
      <c r="B1403">
        <v>25068</v>
      </c>
      <c r="C1403">
        <v>7891021006866</v>
      </c>
      <c r="D1403">
        <v>49.9</v>
      </c>
      <c r="E1403">
        <v>36.840000000000003</v>
      </c>
      <c r="F1403" s="3">
        <v>0.27610000000000001</v>
      </c>
      <c r="G1403">
        <v>36.1248</v>
      </c>
      <c r="H1403">
        <v>2.0670000000000002</v>
      </c>
    </row>
    <row r="1404" spans="1:8" x14ac:dyDescent="0.25">
      <c r="A1404" t="s">
        <v>1410</v>
      </c>
      <c r="B1404">
        <v>57367</v>
      </c>
      <c r="C1404">
        <v>7891021005067</v>
      </c>
      <c r="D1404">
        <v>32.99</v>
      </c>
      <c r="E1404">
        <v>19.84</v>
      </c>
      <c r="F1404" s="3">
        <v>0.4022</v>
      </c>
      <c r="G1404">
        <v>19.720199999999998</v>
      </c>
      <c r="H1404">
        <v>15.8</v>
      </c>
    </row>
    <row r="1405" spans="1:8" x14ac:dyDescent="0.25">
      <c r="A1405" t="s">
        <v>1411</v>
      </c>
      <c r="B1405">
        <v>35549</v>
      </c>
      <c r="C1405">
        <v>7891021005043</v>
      </c>
      <c r="D1405">
        <v>32.99</v>
      </c>
      <c r="E1405">
        <v>22.62</v>
      </c>
      <c r="F1405" s="3">
        <v>0.31280000000000002</v>
      </c>
      <c r="G1405">
        <v>22.6721</v>
      </c>
      <c r="H1405">
        <v>22.832999999999998</v>
      </c>
    </row>
    <row r="1406" spans="1:8" x14ac:dyDescent="0.25">
      <c r="A1406" t="s">
        <v>1412</v>
      </c>
      <c r="B1406">
        <v>4594</v>
      </c>
      <c r="C1406">
        <v>7891021006934</v>
      </c>
      <c r="D1406">
        <v>32.99</v>
      </c>
      <c r="E1406">
        <v>16.61</v>
      </c>
      <c r="F1406" s="3">
        <v>0.49659999999999999</v>
      </c>
      <c r="G1406">
        <v>16.6081</v>
      </c>
      <c r="H1406">
        <v>3.2669999999999999</v>
      </c>
    </row>
    <row r="1407" spans="1:8" x14ac:dyDescent="0.25">
      <c r="A1407" t="s">
        <v>1413</v>
      </c>
      <c r="B1407">
        <v>4603</v>
      </c>
      <c r="C1407">
        <v>7891021006125</v>
      </c>
      <c r="D1407">
        <v>32.99</v>
      </c>
      <c r="E1407">
        <v>22.23</v>
      </c>
      <c r="F1407" s="3">
        <v>0.3236</v>
      </c>
      <c r="G1407">
        <v>22.314</v>
      </c>
      <c r="H1407">
        <v>53.033000000000001</v>
      </c>
    </row>
    <row r="1408" spans="1:8" x14ac:dyDescent="0.25">
      <c r="A1408" t="s">
        <v>1414</v>
      </c>
      <c r="B1408">
        <v>14722</v>
      </c>
      <c r="C1408">
        <v>7891021005555</v>
      </c>
      <c r="D1408">
        <v>37.9</v>
      </c>
      <c r="E1408">
        <v>26.13</v>
      </c>
      <c r="F1408" s="3">
        <v>0.28820000000000001</v>
      </c>
      <c r="G1408">
        <v>26.9772</v>
      </c>
      <c r="H1408">
        <v>8.3000000000000007</v>
      </c>
    </row>
    <row r="1409" spans="1:8" x14ac:dyDescent="0.25">
      <c r="A1409" t="s">
        <v>1415</v>
      </c>
      <c r="B1409">
        <v>4598</v>
      </c>
      <c r="C1409">
        <v>7891021005517</v>
      </c>
      <c r="D1409">
        <v>35.9</v>
      </c>
      <c r="E1409">
        <v>22.99</v>
      </c>
      <c r="F1409" s="3">
        <v>0.35590000000000005</v>
      </c>
      <c r="G1409">
        <v>23.123999999999999</v>
      </c>
      <c r="H1409">
        <v>14.867000000000001</v>
      </c>
    </row>
    <row r="1410" spans="1:8" x14ac:dyDescent="0.25">
      <c r="A1410" t="s">
        <v>1416</v>
      </c>
      <c r="B1410">
        <v>66752</v>
      </c>
      <c r="C1410">
        <v>7896348300970</v>
      </c>
      <c r="D1410">
        <v>89.9</v>
      </c>
      <c r="E1410">
        <v>51.54</v>
      </c>
      <c r="F1410" s="3">
        <v>0.24329999999999999</v>
      </c>
      <c r="G1410">
        <v>61.731900000000003</v>
      </c>
      <c r="H1410">
        <v>0.76700000000000002</v>
      </c>
    </row>
    <row r="1411" spans="1:8" x14ac:dyDescent="0.25">
      <c r="A1411" t="s">
        <v>1417</v>
      </c>
      <c r="B1411">
        <v>62096</v>
      </c>
      <c r="C1411">
        <v>7891000518540</v>
      </c>
      <c r="D1411">
        <v>28.9</v>
      </c>
      <c r="E1411">
        <v>17.66</v>
      </c>
      <c r="F1411" s="3">
        <v>0.38780000000000003</v>
      </c>
      <c r="G1411">
        <v>17.692299999999999</v>
      </c>
      <c r="H1411">
        <v>0.8</v>
      </c>
    </row>
    <row r="1412" spans="1:8" x14ac:dyDescent="0.25">
      <c r="A1412" t="s">
        <v>1418</v>
      </c>
      <c r="B1412">
        <v>55408</v>
      </c>
      <c r="C1412">
        <v>7891000283790</v>
      </c>
      <c r="D1412">
        <v>28.9</v>
      </c>
      <c r="E1412">
        <v>19.84</v>
      </c>
      <c r="F1412" s="3">
        <v>0.3135</v>
      </c>
      <c r="G1412">
        <v>19.8386</v>
      </c>
      <c r="H1412">
        <v>0.13300000000000001</v>
      </c>
    </row>
    <row r="1413" spans="1:8" x14ac:dyDescent="0.25">
      <c r="A1413" t="s">
        <v>1419</v>
      </c>
      <c r="B1413">
        <v>55407</v>
      </c>
      <c r="C1413">
        <v>7891000283752</v>
      </c>
      <c r="D1413">
        <v>28.9</v>
      </c>
      <c r="E1413">
        <v>23.52</v>
      </c>
      <c r="F1413" s="3">
        <v>0.18410000000000001</v>
      </c>
      <c r="G1413">
        <v>23.579499999999999</v>
      </c>
      <c r="H1413">
        <v>0.76700000000000002</v>
      </c>
    </row>
    <row r="1414" spans="1:8" x14ac:dyDescent="0.25">
      <c r="A1414" t="s">
        <v>1420</v>
      </c>
      <c r="B1414">
        <v>59676</v>
      </c>
      <c r="C1414">
        <v>7898665830512</v>
      </c>
      <c r="D1414">
        <v>34.9</v>
      </c>
      <c r="E1414">
        <v>18.27</v>
      </c>
      <c r="F1414" s="3">
        <v>0.47609999999999997</v>
      </c>
      <c r="G1414">
        <v>18.282499999999999</v>
      </c>
      <c r="H1414">
        <v>2.2330000000000001</v>
      </c>
    </row>
    <row r="1415" spans="1:8" x14ac:dyDescent="0.25">
      <c r="A1415" t="s">
        <v>1421</v>
      </c>
      <c r="B1415">
        <v>59675</v>
      </c>
      <c r="C1415">
        <v>7898912704023</v>
      </c>
      <c r="D1415">
        <v>34.9</v>
      </c>
      <c r="E1415">
        <v>18.28</v>
      </c>
      <c r="F1415" s="3">
        <v>0.47609999999999997</v>
      </c>
      <c r="G1415">
        <v>18.283000000000001</v>
      </c>
      <c r="H1415">
        <v>3.0670000000000002</v>
      </c>
    </row>
    <row r="1416" spans="1:8" x14ac:dyDescent="0.25">
      <c r="A1416" t="s">
        <v>1422</v>
      </c>
      <c r="B1416">
        <v>64367</v>
      </c>
      <c r="C1416">
        <v>7898665831823</v>
      </c>
      <c r="D1416">
        <v>39.9</v>
      </c>
      <c r="E1416">
        <v>26.35</v>
      </c>
      <c r="F1416" s="3">
        <v>0.33960000000000001</v>
      </c>
      <c r="G1416">
        <v>26.351700000000001</v>
      </c>
      <c r="H1416">
        <v>0.33300000000000002</v>
      </c>
    </row>
    <row r="1417" spans="1:8" x14ac:dyDescent="0.25">
      <c r="A1417" t="s">
        <v>1423</v>
      </c>
      <c r="B1417">
        <v>64366</v>
      </c>
      <c r="C1417">
        <v>7898912704191</v>
      </c>
      <c r="D1417">
        <v>39.9</v>
      </c>
      <c r="E1417">
        <v>26.35</v>
      </c>
      <c r="F1417" s="3">
        <v>0.33960000000000001</v>
      </c>
      <c r="G1417">
        <v>26.351700000000001</v>
      </c>
      <c r="H1417">
        <v>0.13300000000000001</v>
      </c>
    </row>
    <row r="1418" spans="1:8" x14ac:dyDescent="0.25">
      <c r="A1418" t="s">
        <v>1424</v>
      </c>
      <c r="B1418">
        <v>68056</v>
      </c>
      <c r="C1418">
        <v>7898665832769</v>
      </c>
      <c r="D1418">
        <v>29.9</v>
      </c>
      <c r="E1418">
        <v>18.28</v>
      </c>
      <c r="F1418" s="3">
        <v>0.38850000000000001</v>
      </c>
      <c r="G1418">
        <v>18.282900000000001</v>
      </c>
      <c r="H1418">
        <v>0.9</v>
      </c>
    </row>
    <row r="1419" spans="1:8" x14ac:dyDescent="0.25">
      <c r="A1419" t="s">
        <v>1425</v>
      </c>
      <c r="B1419">
        <v>68055</v>
      </c>
      <c r="C1419">
        <v>7898665832738</v>
      </c>
      <c r="D1419">
        <v>29.9</v>
      </c>
      <c r="E1419">
        <v>18.28</v>
      </c>
      <c r="F1419" s="3">
        <v>0.38850000000000001</v>
      </c>
      <c r="G1419">
        <v>18.282800000000002</v>
      </c>
      <c r="H1419">
        <v>1.667</v>
      </c>
    </row>
    <row r="1420" spans="1:8" x14ac:dyDescent="0.25">
      <c r="A1420" t="s">
        <v>1426</v>
      </c>
      <c r="B1420">
        <v>68057</v>
      </c>
      <c r="C1420">
        <v>7898665832790</v>
      </c>
      <c r="D1420">
        <v>29.9</v>
      </c>
      <c r="E1420">
        <v>18.28</v>
      </c>
      <c r="F1420" s="3">
        <v>0.38850000000000001</v>
      </c>
      <c r="G1420">
        <v>18.282800000000002</v>
      </c>
      <c r="H1420">
        <v>1.167</v>
      </c>
    </row>
    <row r="1421" spans="1:8" x14ac:dyDescent="0.25">
      <c r="A1421" t="s">
        <v>1427</v>
      </c>
      <c r="B1421">
        <v>30426</v>
      </c>
      <c r="C1421">
        <v>7898206500140</v>
      </c>
      <c r="D1421">
        <v>29.9</v>
      </c>
      <c r="E1421">
        <v>24.45</v>
      </c>
      <c r="F1421" s="3">
        <v>0.17859999999999998</v>
      </c>
      <c r="G1421">
        <v>24.558399999999999</v>
      </c>
      <c r="H1421">
        <v>1.167</v>
      </c>
    </row>
    <row r="1422" spans="1:8" x14ac:dyDescent="0.25">
      <c r="A1422" t="s">
        <v>1428</v>
      </c>
      <c r="B1422">
        <v>55363</v>
      </c>
      <c r="C1422">
        <v>7896089013856</v>
      </c>
      <c r="D1422">
        <v>34.9</v>
      </c>
      <c r="E1422">
        <v>23.4</v>
      </c>
      <c r="F1422" s="3">
        <v>0.3624</v>
      </c>
      <c r="G1422">
        <v>22.253799999999998</v>
      </c>
      <c r="H1422">
        <v>9.5670000000000002</v>
      </c>
    </row>
    <row r="1423" spans="1:8" x14ac:dyDescent="0.25">
      <c r="A1423" t="s">
        <v>1429</v>
      </c>
      <c r="B1423">
        <v>61768</v>
      </c>
      <c r="C1423">
        <v>7896089013849</v>
      </c>
      <c r="D1423">
        <v>34.9</v>
      </c>
      <c r="E1423">
        <v>22.29</v>
      </c>
      <c r="F1423" s="3">
        <v>0.36959999999999998</v>
      </c>
      <c r="G1423">
        <v>22.0015</v>
      </c>
      <c r="H1423">
        <v>8.6</v>
      </c>
    </row>
    <row r="1424" spans="1:8" x14ac:dyDescent="0.25">
      <c r="A1424" t="s">
        <v>1430</v>
      </c>
      <c r="B1424">
        <v>57697</v>
      </c>
      <c r="C1424">
        <v>7896089013887</v>
      </c>
      <c r="D1424">
        <v>39.9</v>
      </c>
      <c r="E1424">
        <v>27.3</v>
      </c>
      <c r="F1424" s="3">
        <v>0.30780000000000002</v>
      </c>
      <c r="G1424">
        <v>27.619299999999999</v>
      </c>
      <c r="H1424">
        <v>2</v>
      </c>
    </row>
    <row r="1425" spans="1:8" x14ac:dyDescent="0.25">
      <c r="A1425" t="s">
        <v>1431</v>
      </c>
      <c r="B1425">
        <v>57698</v>
      </c>
      <c r="C1425">
        <v>7896089013870</v>
      </c>
      <c r="D1425">
        <v>39.9</v>
      </c>
      <c r="E1425">
        <v>27.91</v>
      </c>
      <c r="F1425" s="3">
        <v>0.37130000000000002</v>
      </c>
      <c r="G1425">
        <v>25.084900000000001</v>
      </c>
      <c r="H1425">
        <v>1.8</v>
      </c>
    </row>
    <row r="1426" spans="1:8" x14ac:dyDescent="0.25">
      <c r="A1426" t="s">
        <v>1432</v>
      </c>
      <c r="B1426">
        <v>59672</v>
      </c>
      <c r="C1426">
        <v>7896089013894</v>
      </c>
      <c r="D1426">
        <v>39.9</v>
      </c>
      <c r="E1426">
        <v>31.75</v>
      </c>
      <c r="F1426" s="3">
        <v>0.24960000000000002</v>
      </c>
      <c r="G1426">
        <v>29.9407</v>
      </c>
      <c r="H1426">
        <v>1.5</v>
      </c>
    </row>
    <row r="1427" spans="1:8" x14ac:dyDescent="0.25">
      <c r="A1427" t="s">
        <v>1433</v>
      </c>
      <c r="B1427">
        <v>49544</v>
      </c>
      <c r="C1427">
        <v>7896089013658</v>
      </c>
      <c r="D1427">
        <v>34.9</v>
      </c>
      <c r="E1427">
        <v>23.41</v>
      </c>
      <c r="F1427" s="3">
        <v>0.32780000000000004</v>
      </c>
      <c r="G1427">
        <v>23.458100000000002</v>
      </c>
      <c r="H1427">
        <v>11.367000000000001</v>
      </c>
    </row>
    <row r="1428" spans="1:8" x14ac:dyDescent="0.25">
      <c r="A1428" t="s">
        <v>1434</v>
      </c>
      <c r="B1428">
        <v>48816</v>
      </c>
      <c r="C1428">
        <v>7896089013634</v>
      </c>
      <c r="D1428">
        <v>34.9</v>
      </c>
      <c r="E1428">
        <v>22.64</v>
      </c>
      <c r="F1428" s="3">
        <v>0.35520000000000002</v>
      </c>
      <c r="G1428">
        <v>22.503900000000002</v>
      </c>
      <c r="H1428">
        <v>20.433</v>
      </c>
    </row>
    <row r="1429" spans="1:8" x14ac:dyDescent="0.25">
      <c r="A1429" t="s">
        <v>1435</v>
      </c>
      <c r="B1429">
        <v>16562</v>
      </c>
      <c r="C1429">
        <v>7896089013399</v>
      </c>
      <c r="D1429">
        <v>34.9</v>
      </c>
      <c r="E1429">
        <v>22.02</v>
      </c>
      <c r="F1429" s="3">
        <v>0.37869999999999998</v>
      </c>
      <c r="G1429">
        <v>21.6846</v>
      </c>
      <c r="H1429">
        <v>15.067</v>
      </c>
    </row>
    <row r="1430" spans="1:8" x14ac:dyDescent="0.25">
      <c r="A1430" t="s">
        <v>1436</v>
      </c>
      <c r="B1430">
        <v>16563</v>
      </c>
      <c r="C1430">
        <v>7896089013405</v>
      </c>
      <c r="D1430">
        <v>34.9</v>
      </c>
      <c r="E1430">
        <v>22.36</v>
      </c>
      <c r="F1430" s="3">
        <v>0.36430000000000001</v>
      </c>
      <c r="G1430">
        <v>22.1861</v>
      </c>
      <c r="H1430">
        <v>21.067</v>
      </c>
    </row>
    <row r="1431" spans="1:8" x14ac:dyDescent="0.25">
      <c r="A1431" t="s">
        <v>1437</v>
      </c>
      <c r="B1431">
        <v>4609</v>
      </c>
      <c r="C1431">
        <v>7896089012927</v>
      </c>
      <c r="D1431">
        <v>34.9</v>
      </c>
      <c r="E1431">
        <v>22.26</v>
      </c>
      <c r="F1431" s="3">
        <v>0.36409999999999998</v>
      </c>
      <c r="G1431">
        <v>22.191500000000001</v>
      </c>
      <c r="H1431">
        <v>6.9</v>
      </c>
    </row>
    <row r="1432" spans="1:8" x14ac:dyDescent="0.25">
      <c r="A1432" t="s">
        <v>1438</v>
      </c>
      <c r="B1432">
        <v>4509</v>
      </c>
      <c r="C1432">
        <v>7896089011982</v>
      </c>
      <c r="D1432">
        <v>19.899999999999999</v>
      </c>
      <c r="E1432">
        <v>17.649999999999999</v>
      </c>
      <c r="F1432" s="3">
        <v>0.1079</v>
      </c>
      <c r="G1432">
        <v>17.7532</v>
      </c>
      <c r="H1432">
        <v>22.766999999999999</v>
      </c>
    </row>
    <row r="1433" spans="1:8" x14ac:dyDescent="0.25">
      <c r="A1433" t="s">
        <v>1439</v>
      </c>
      <c r="B1433">
        <v>4510</v>
      </c>
      <c r="C1433">
        <v>7896089012019</v>
      </c>
      <c r="D1433">
        <v>34.9</v>
      </c>
      <c r="E1433">
        <v>23.01</v>
      </c>
      <c r="F1433" s="3">
        <v>0.34590000000000004</v>
      </c>
      <c r="G1433">
        <v>22.828099999999999</v>
      </c>
      <c r="H1433">
        <v>98.667000000000002</v>
      </c>
    </row>
    <row r="1434" spans="1:8" x14ac:dyDescent="0.25">
      <c r="A1434" t="s">
        <v>1440</v>
      </c>
      <c r="B1434">
        <v>4504</v>
      </c>
      <c r="C1434">
        <v>7896089011357</v>
      </c>
      <c r="D1434">
        <v>34.9</v>
      </c>
      <c r="E1434">
        <v>23.09</v>
      </c>
      <c r="F1434" s="3">
        <v>0.34320000000000001</v>
      </c>
      <c r="G1434">
        <v>22.921600000000002</v>
      </c>
      <c r="H1434">
        <v>50.767000000000003</v>
      </c>
    </row>
    <row r="1435" spans="1:8" x14ac:dyDescent="0.25">
      <c r="A1435" t="s">
        <v>1441</v>
      </c>
      <c r="B1435">
        <v>4503</v>
      </c>
      <c r="C1435">
        <v>7896089012637</v>
      </c>
      <c r="D1435">
        <v>19.899999999999999</v>
      </c>
      <c r="E1435">
        <v>18.53</v>
      </c>
      <c r="F1435" s="3">
        <v>8.199999999999999E-2</v>
      </c>
      <c r="G1435">
        <v>18.268599999999999</v>
      </c>
      <c r="H1435">
        <v>15.467000000000001</v>
      </c>
    </row>
    <row r="1436" spans="1:8" x14ac:dyDescent="0.25">
      <c r="A1436" t="s">
        <v>1442</v>
      </c>
      <c r="B1436">
        <v>4616</v>
      </c>
      <c r="C1436">
        <v>7896089012118</v>
      </c>
      <c r="D1436">
        <v>26.9</v>
      </c>
      <c r="E1436">
        <v>20.51</v>
      </c>
      <c r="F1436" s="3">
        <v>0.2586</v>
      </c>
      <c r="G1436">
        <v>19.944099999999999</v>
      </c>
      <c r="H1436">
        <v>2.6669999999999998</v>
      </c>
    </row>
    <row r="1437" spans="1:8" x14ac:dyDescent="0.25">
      <c r="A1437" t="s">
        <v>1443</v>
      </c>
      <c r="B1437">
        <v>53509</v>
      </c>
      <c r="C1437">
        <v>7896005807668</v>
      </c>
      <c r="D1437">
        <v>25.9</v>
      </c>
      <c r="E1437">
        <v>15.79</v>
      </c>
      <c r="F1437" s="3">
        <v>0.47479999999999994</v>
      </c>
      <c r="G1437">
        <v>13.603899999999999</v>
      </c>
      <c r="H1437">
        <v>0.6</v>
      </c>
    </row>
    <row r="1438" spans="1:8" x14ac:dyDescent="0.25">
      <c r="A1438" t="s">
        <v>1444</v>
      </c>
      <c r="B1438">
        <v>8325</v>
      </c>
      <c r="C1438">
        <v>7896005800669</v>
      </c>
      <c r="D1438">
        <v>25.9</v>
      </c>
      <c r="E1438">
        <v>18.059999999999999</v>
      </c>
      <c r="F1438" s="3">
        <v>0.34279999999999999</v>
      </c>
      <c r="G1438">
        <v>17.020299999999999</v>
      </c>
      <c r="H1438">
        <v>1.0669999999999999</v>
      </c>
    </row>
    <row r="1439" spans="1:8" x14ac:dyDescent="0.25">
      <c r="A1439" t="s">
        <v>1445</v>
      </c>
      <c r="B1439">
        <v>8865</v>
      </c>
      <c r="C1439">
        <v>7896045113293</v>
      </c>
      <c r="D1439">
        <v>14.9</v>
      </c>
      <c r="E1439">
        <v>9.41</v>
      </c>
      <c r="F1439" s="3">
        <v>0.3614</v>
      </c>
      <c r="G1439">
        <v>9.5152999999999999</v>
      </c>
      <c r="H1439">
        <v>5.6669999999999998</v>
      </c>
    </row>
    <row r="1440" spans="1:8" x14ac:dyDescent="0.25">
      <c r="A1440" t="s">
        <v>1446</v>
      </c>
      <c r="B1440">
        <v>23672</v>
      </c>
      <c r="C1440">
        <v>7896045111398</v>
      </c>
      <c r="D1440">
        <v>6.99</v>
      </c>
      <c r="E1440">
        <v>4.74</v>
      </c>
      <c r="F1440" s="3">
        <v>0.32170000000000004</v>
      </c>
      <c r="G1440">
        <v>4.7416999999999998</v>
      </c>
      <c r="H1440">
        <v>37.167000000000002</v>
      </c>
    </row>
    <row r="1441" spans="1:8" x14ac:dyDescent="0.25">
      <c r="A1441" t="s">
        <v>1447</v>
      </c>
      <c r="B1441">
        <v>66690</v>
      </c>
      <c r="C1441">
        <v>7896045113316</v>
      </c>
      <c r="D1441">
        <v>9.99</v>
      </c>
      <c r="E1441">
        <v>7.08</v>
      </c>
      <c r="F1441" s="3">
        <v>0.29100000000000004</v>
      </c>
      <c r="G1441">
        <v>7.0829000000000004</v>
      </c>
      <c r="H1441">
        <v>0.23300000000000001</v>
      </c>
    </row>
    <row r="1442" spans="1:8" x14ac:dyDescent="0.25">
      <c r="A1442" t="s">
        <v>1448</v>
      </c>
      <c r="B1442">
        <v>66691</v>
      </c>
      <c r="C1442">
        <v>7896045113286</v>
      </c>
      <c r="D1442">
        <v>9.99</v>
      </c>
      <c r="E1442">
        <v>7.1</v>
      </c>
      <c r="F1442" s="3">
        <v>0.28939999999999999</v>
      </c>
      <c r="G1442">
        <v>7.0984999999999996</v>
      </c>
      <c r="H1442">
        <v>3.3000000000000002E-2</v>
      </c>
    </row>
    <row r="1443" spans="1:8" x14ac:dyDescent="0.25">
      <c r="A1443" t="s">
        <v>1449</v>
      </c>
      <c r="B1443">
        <v>8324</v>
      </c>
      <c r="C1443">
        <v>7896045103003</v>
      </c>
      <c r="D1443">
        <v>6.99</v>
      </c>
      <c r="E1443">
        <v>4.41</v>
      </c>
      <c r="F1443" s="3">
        <v>0.37079999999999996</v>
      </c>
      <c r="G1443">
        <v>4.3983999999999996</v>
      </c>
      <c r="H1443">
        <v>58.832999999999998</v>
      </c>
    </row>
    <row r="1444" spans="1:8" x14ac:dyDescent="0.25">
      <c r="A1444" t="s">
        <v>1450</v>
      </c>
      <c r="B1444">
        <v>59673</v>
      </c>
      <c r="C1444">
        <v>7896089089875</v>
      </c>
      <c r="D1444">
        <v>34.9</v>
      </c>
      <c r="E1444">
        <v>26.81</v>
      </c>
      <c r="F1444" s="3">
        <v>0.1913</v>
      </c>
      <c r="G1444">
        <v>28.225100000000001</v>
      </c>
      <c r="H1444">
        <v>1.4</v>
      </c>
    </row>
    <row r="1445" spans="1:8" x14ac:dyDescent="0.25">
      <c r="A1445" t="s">
        <v>1451</v>
      </c>
      <c r="B1445">
        <v>44067</v>
      </c>
      <c r="C1445">
        <v>7896019201452</v>
      </c>
      <c r="D1445">
        <v>26.9</v>
      </c>
      <c r="E1445">
        <v>18.5</v>
      </c>
      <c r="F1445" s="3">
        <v>0.31240000000000001</v>
      </c>
      <c r="G1445">
        <v>18.4953</v>
      </c>
      <c r="H1445">
        <v>3.5</v>
      </c>
    </row>
    <row r="1446" spans="1:8" x14ac:dyDescent="0.25">
      <c r="A1446" t="s">
        <v>1452</v>
      </c>
      <c r="B1446">
        <v>39346</v>
      </c>
      <c r="C1446">
        <v>7896019201117</v>
      </c>
      <c r="D1446">
        <v>34.9</v>
      </c>
      <c r="E1446">
        <v>24.52</v>
      </c>
      <c r="F1446" s="3">
        <v>0.3024</v>
      </c>
      <c r="G1446">
        <v>24.345800000000001</v>
      </c>
      <c r="H1446">
        <v>0.26700000000000002</v>
      </c>
    </row>
    <row r="1447" spans="1:8" x14ac:dyDescent="0.25">
      <c r="A1447" t="s">
        <v>1453</v>
      </c>
      <c r="B1447">
        <v>66464</v>
      </c>
      <c r="C1447">
        <v>7701362014904</v>
      </c>
      <c r="D1447">
        <v>56.9</v>
      </c>
      <c r="E1447">
        <v>45.13</v>
      </c>
      <c r="F1447" s="3">
        <v>0.2069</v>
      </c>
      <c r="G1447">
        <v>45.125</v>
      </c>
      <c r="H1447">
        <v>0.16700000000000001</v>
      </c>
    </row>
    <row r="1448" spans="1:8" x14ac:dyDescent="0.25">
      <c r="A1448" t="s">
        <v>1454</v>
      </c>
      <c r="B1448">
        <v>66466</v>
      </c>
      <c r="C1448">
        <v>7707211631469</v>
      </c>
      <c r="D1448">
        <v>56.9</v>
      </c>
      <c r="E1448">
        <v>40.409999999999997</v>
      </c>
      <c r="F1448" s="3">
        <v>0.28989999999999999</v>
      </c>
      <c r="G1448">
        <v>40.405799999999999</v>
      </c>
      <c r="H1448">
        <v>0.23300000000000001</v>
      </c>
    </row>
    <row r="1449" spans="1:8" x14ac:dyDescent="0.25">
      <c r="A1449" t="s">
        <v>1455</v>
      </c>
      <c r="B1449">
        <v>66468</v>
      </c>
      <c r="C1449">
        <v>7707211631612</v>
      </c>
      <c r="D1449">
        <v>56.9</v>
      </c>
      <c r="E1449">
        <v>45.13</v>
      </c>
      <c r="F1449" s="3">
        <v>0.2069</v>
      </c>
      <c r="G1449">
        <v>45.125</v>
      </c>
      <c r="H1449">
        <v>0</v>
      </c>
    </row>
    <row r="1450" spans="1:8" x14ac:dyDescent="0.25">
      <c r="A1450" t="s">
        <v>1456</v>
      </c>
      <c r="B1450">
        <v>66463</v>
      </c>
      <c r="C1450">
        <v>7701362014881</v>
      </c>
      <c r="D1450">
        <v>56.9</v>
      </c>
      <c r="E1450">
        <v>45.13</v>
      </c>
      <c r="F1450" s="3">
        <v>0.2069</v>
      </c>
      <c r="G1450">
        <v>45.125</v>
      </c>
      <c r="H1450">
        <v>3.3000000000000002E-2</v>
      </c>
    </row>
    <row r="1451" spans="1:8" x14ac:dyDescent="0.25">
      <c r="A1451" t="s">
        <v>1457</v>
      </c>
      <c r="B1451">
        <v>57694</v>
      </c>
      <c r="C1451">
        <v>7896089089929</v>
      </c>
      <c r="D1451">
        <v>28.9</v>
      </c>
      <c r="E1451">
        <v>22.03</v>
      </c>
      <c r="F1451" s="3">
        <v>0.2351</v>
      </c>
      <c r="G1451">
        <v>22.104299999999999</v>
      </c>
      <c r="H1451">
        <v>1.333</v>
      </c>
    </row>
    <row r="1452" spans="1:8" x14ac:dyDescent="0.25">
      <c r="A1452" t="s">
        <v>1458</v>
      </c>
      <c r="B1452">
        <v>57695</v>
      </c>
      <c r="C1452">
        <v>7896089089936</v>
      </c>
      <c r="D1452">
        <v>28.9</v>
      </c>
      <c r="E1452">
        <v>21.42</v>
      </c>
      <c r="F1452" s="3">
        <v>0.22309999999999999</v>
      </c>
      <c r="G1452">
        <v>22.452400000000001</v>
      </c>
      <c r="H1452">
        <v>1.2669999999999999</v>
      </c>
    </row>
    <row r="1453" spans="1:8" x14ac:dyDescent="0.25">
      <c r="A1453" t="s">
        <v>1459</v>
      </c>
      <c r="B1453">
        <v>62776</v>
      </c>
      <c r="C1453">
        <v>7896089089882</v>
      </c>
      <c r="D1453">
        <v>29.9</v>
      </c>
      <c r="E1453">
        <v>23.47</v>
      </c>
      <c r="F1453" s="3">
        <v>0.19690000000000002</v>
      </c>
      <c r="G1453">
        <v>24.014099999999999</v>
      </c>
      <c r="H1453">
        <v>1.167</v>
      </c>
    </row>
    <row r="1454" spans="1:8" x14ac:dyDescent="0.25">
      <c r="A1454" t="s">
        <v>1460</v>
      </c>
      <c r="B1454">
        <v>62777</v>
      </c>
      <c r="C1454">
        <v>7896089089899</v>
      </c>
      <c r="D1454">
        <v>29.9</v>
      </c>
      <c r="E1454">
        <v>24.09</v>
      </c>
      <c r="F1454" s="3">
        <v>0.18960000000000002</v>
      </c>
      <c r="G1454">
        <v>24.229700000000001</v>
      </c>
      <c r="H1454">
        <v>1.133</v>
      </c>
    </row>
    <row r="1455" spans="1:8" x14ac:dyDescent="0.25">
      <c r="A1455" t="s">
        <v>1461</v>
      </c>
      <c r="B1455">
        <v>59674</v>
      </c>
      <c r="C1455">
        <v>7896089089868</v>
      </c>
      <c r="D1455">
        <v>11.9</v>
      </c>
      <c r="E1455">
        <v>9.52</v>
      </c>
      <c r="F1455" s="3">
        <v>0.19850000000000001</v>
      </c>
      <c r="G1455">
        <v>9.5382999999999996</v>
      </c>
      <c r="H1455">
        <v>3.1</v>
      </c>
    </row>
    <row r="1456" spans="1:8" x14ac:dyDescent="0.25">
      <c r="A1456" t="s">
        <v>1462</v>
      </c>
      <c r="B1456">
        <v>44501</v>
      </c>
      <c r="C1456">
        <v>7896089089905</v>
      </c>
      <c r="D1456">
        <v>11.9</v>
      </c>
      <c r="E1456">
        <v>9.6300000000000008</v>
      </c>
      <c r="F1456" s="3">
        <v>0.18239999999999998</v>
      </c>
      <c r="G1456">
        <v>9.7289999999999992</v>
      </c>
      <c r="H1456">
        <v>9.6329999999999991</v>
      </c>
    </row>
    <row r="1457" spans="1:8" x14ac:dyDescent="0.25">
      <c r="A1457" t="s">
        <v>1463</v>
      </c>
      <c r="B1457">
        <v>44502</v>
      </c>
      <c r="C1457">
        <v>7896089089912</v>
      </c>
      <c r="D1457">
        <v>11.9</v>
      </c>
      <c r="E1457">
        <v>9.7100000000000009</v>
      </c>
      <c r="F1457" s="3">
        <v>0.18359999999999999</v>
      </c>
      <c r="G1457">
        <v>9.7148000000000003</v>
      </c>
      <c r="H1457">
        <v>5.0670000000000002</v>
      </c>
    </row>
    <row r="1458" spans="1:8" x14ac:dyDescent="0.25">
      <c r="A1458" t="s">
        <v>1464</v>
      </c>
      <c r="B1458">
        <v>22385</v>
      </c>
      <c r="C1458">
        <v>7891021007573</v>
      </c>
      <c r="D1458">
        <v>14.9</v>
      </c>
      <c r="E1458">
        <v>11.09</v>
      </c>
      <c r="F1458" s="3">
        <v>0.24690000000000001</v>
      </c>
      <c r="G1458">
        <v>11.221299999999999</v>
      </c>
      <c r="H1458">
        <v>1.367</v>
      </c>
    </row>
    <row r="1459" spans="1:8" x14ac:dyDescent="0.25">
      <c r="A1459" t="s">
        <v>1465</v>
      </c>
      <c r="B1459">
        <v>60518</v>
      </c>
      <c r="C1459">
        <v>7891021007177</v>
      </c>
      <c r="D1459">
        <v>32.9</v>
      </c>
      <c r="E1459">
        <v>28.91</v>
      </c>
      <c r="F1459" s="3">
        <v>0.12130000000000001</v>
      </c>
      <c r="G1459">
        <v>28.908200000000001</v>
      </c>
      <c r="H1459">
        <v>0.5</v>
      </c>
    </row>
    <row r="1460" spans="1:8" x14ac:dyDescent="0.25">
      <c r="A1460" t="s">
        <v>1466</v>
      </c>
      <c r="B1460">
        <v>22387</v>
      </c>
      <c r="C1460">
        <v>7896348300918</v>
      </c>
      <c r="D1460">
        <v>9.9</v>
      </c>
      <c r="E1460">
        <v>7.76</v>
      </c>
      <c r="F1460" s="3">
        <v>0.23879999999999998</v>
      </c>
      <c r="G1460">
        <v>7.5354999999999999</v>
      </c>
      <c r="H1460">
        <v>1.9</v>
      </c>
    </row>
    <row r="1461" spans="1:8" x14ac:dyDescent="0.25">
      <c r="A1461" t="s">
        <v>1467</v>
      </c>
      <c r="B1461">
        <v>57003</v>
      </c>
      <c r="C1461">
        <v>7896348300901</v>
      </c>
      <c r="D1461">
        <v>6.99</v>
      </c>
      <c r="E1461">
        <v>4.82</v>
      </c>
      <c r="F1461" s="3">
        <v>0.25409999999999999</v>
      </c>
      <c r="G1461">
        <v>5.2141000000000002</v>
      </c>
      <c r="H1461">
        <v>6.9329999999999998</v>
      </c>
    </row>
    <row r="1462" spans="1:8" x14ac:dyDescent="0.25">
      <c r="A1462" t="s">
        <v>1468</v>
      </c>
      <c r="B1462">
        <v>4599</v>
      </c>
      <c r="C1462">
        <v>7896348300895</v>
      </c>
      <c r="D1462">
        <v>6.99</v>
      </c>
      <c r="E1462">
        <v>4.7699999999999996</v>
      </c>
      <c r="F1462" s="3">
        <v>0.26500000000000001</v>
      </c>
      <c r="G1462">
        <v>5.1375000000000002</v>
      </c>
      <c r="H1462">
        <v>9.1999999999999993</v>
      </c>
    </row>
    <row r="1463" spans="1:8" x14ac:dyDescent="0.25">
      <c r="A1463" t="s">
        <v>1469</v>
      </c>
      <c r="B1463">
        <v>4644</v>
      </c>
      <c r="C1463">
        <v>7891000300503</v>
      </c>
      <c r="D1463">
        <v>29.9</v>
      </c>
      <c r="E1463">
        <v>19.079999999999998</v>
      </c>
      <c r="F1463" s="3">
        <v>0.34310000000000002</v>
      </c>
      <c r="G1463">
        <v>19.641400000000001</v>
      </c>
      <c r="H1463">
        <v>1.867</v>
      </c>
    </row>
    <row r="1464" spans="1:8" x14ac:dyDescent="0.25">
      <c r="A1464" t="s">
        <v>1470</v>
      </c>
      <c r="B1464">
        <v>66722</v>
      </c>
      <c r="C1464">
        <v>7891000874080</v>
      </c>
      <c r="D1464">
        <v>29.9</v>
      </c>
      <c r="E1464">
        <v>19.690000000000001</v>
      </c>
      <c r="F1464" s="3">
        <v>0.33889999999999998</v>
      </c>
      <c r="G1464">
        <v>19.7669</v>
      </c>
      <c r="H1464">
        <v>0.36699999999999999</v>
      </c>
    </row>
    <row r="1465" spans="1:8" x14ac:dyDescent="0.25">
      <c r="A1465" t="s">
        <v>1471</v>
      </c>
      <c r="B1465">
        <v>4631</v>
      </c>
      <c r="C1465">
        <v>7891000315507</v>
      </c>
      <c r="D1465">
        <v>29.9</v>
      </c>
      <c r="E1465">
        <v>20.37</v>
      </c>
      <c r="F1465" s="3">
        <v>0.30020000000000002</v>
      </c>
      <c r="G1465">
        <v>20.9253</v>
      </c>
      <c r="H1465">
        <v>2.1</v>
      </c>
    </row>
    <row r="1466" spans="1:8" x14ac:dyDescent="0.25">
      <c r="A1466" t="s">
        <v>1472</v>
      </c>
      <c r="B1466">
        <v>4645</v>
      </c>
      <c r="C1466">
        <v>7891000029329</v>
      </c>
      <c r="D1466">
        <v>27.9</v>
      </c>
      <c r="E1466">
        <v>18.43</v>
      </c>
      <c r="F1466" s="3">
        <v>0.28210000000000002</v>
      </c>
      <c r="G1466">
        <v>20.028600000000001</v>
      </c>
      <c r="H1466">
        <v>2.4670000000000001</v>
      </c>
    </row>
    <row r="1467" spans="1:8" x14ac:dyDescent="0.25">
      <c r="A1467" t="s">
        <v>1473</v>
      </c>
      <c r="B1467">
        <v>62095</v>
      </c>
      <c r="C1467">
        <v>7891000718025</v>
      </c>
      <c r="D1467">
        <v>34.9</v>
      </c>
      <c r="E1467">
        <v>25.92</v>
      </c>
      <c r="F1467" s="3">
        <v>0.21429999999999999</v>
      </c>
      <c r="G1467">
        <v>27.422000000000001</v>
      </c>
      <c r="H1467">
        <v>1.0329999999999999</v>
      </c>
    </row>
    <row r="1468" spans="1:8" x14ac:dyDescent="0.25">
      <c r="A1468" t="s">
        <v>1474</v>
      </c>
      <c r="B1468">
        <v>55395</v>
      </c>
      <c r="C1468">
        <v>7891000284162</v>
      </c>
      <c r="D1468">
        <v>34.9</v>
      </c>
      <c r="E1468">
        <v>24.64</v>
      </c>
      <c r="F1468" s="3">
        <v>0.25700000000000001</v>
      </c>
      <c r="G1468">
        <v>25.929600000000001</v>
      </c>
      <c r="H1468">
        <v>0.6</v>
      </c>
    </row>
    <row r="1469" spans="1:8" x14ac:dyDescent="0.25">
      <c r="A1469" t="s">
        <v>1475</v>
      </c>
      <c r="B1469">
        <v>55396</v>
      </c>
      <c r="C1469">
        <v>7891000284209</v>
      </c>
      <c r="D1469">
        <v>34.9</v>
      </c>
      <c r="E1469">
        <v>25.55</v>
      </c>
      <c r="F1469" s="3">
        <v>0.26200000000000001</v>
      </c>
      <c r="G1469">
        <v>25.757100000000001</v>
      </c>
      <c r="H1469">
        <v>0.8</v>
      </c>
    </row>
    <row r="1470" spans="1:8" x14ac:dyDescent="0.25">
      <c r="A1470" t="s">
        <v>1476</v>
      </c>
      <c r="B1470">
        <v>13000</v>
      </c>
      <c r="C1470">
        <v>7891000184004</v>
      </c>
      <c r="D1470">
        <v>19.899999999999999</v>
      </c>
      <c r="E1470">
        <v>13.67</v>
      </c>
      <c r="F1470" s="3">
        <v>0.31379999999999997</v>
      </c>
      <c r="G1470">
        <v>13.655900000000001</v>
      </c>
      <c r="H1470">
        <v>1.4330000000000001</v>
      </c>
    </row>
    <row r="1471" spans="1:8" x14ac:dyDescent="0.25">
      <c r="A1471" t="s">
        <v>1477</v>
      </c>
      <c r="B1471">
        <v>4633</v>
      </c>
      <c r="C1471">
        <v>7891000315200</v>
      </c>
      <c r="D1471">
        <v>9.9</v>
      </c>
      <c r="E1471">
        <v>6.09</v>
      </c>
      <c r="F1471" s="3">
        <v>0.38009999999999999</v>
      </c>
      <c r="G1471">
        <v>6.1375000000000002</v>
      </c>
      <c r="H1471">
        <v>10</v>
      </c>
    </row>
    <row r="1472" spans="1:8" x14ac:dyDescent="0.25">
      <c r="A1472" t="s">
        <v>1478</v>
      </c>
      <c r="B1472">
        <v>4639</v>
      </c>
      <c r="C1472">
        <v>7891000307120</v>
      </c>
      <c r="D1472">
        <v>9.9</v>
      </c>
      <c r="E1472">
        <v>6.12</v>
      </c>
      <c r="F1472" s="3">
        <v>0.37969999999999998</v>
      </c>
      <c r="G1472">
        <v>6.1410999999999998</v>
      </c>
      <c r="H1472">
        <v>13.067</v>
      </c>
    </row>
    <row r="1473" spans="1:8" x14ac:dyDescent="0.25">
      <c r="A1473" t="s">
        <v>1479</v>
      </c>
      <c r="B1473">
        <v>4643</v>
      </c>
      <c r="C1473">
        <v>7891000307083</v>
      </c>
      <c r="D1473">
        <v>9.9</v>
      </c>
      <c r="E1473">
        <v>6.22</v>
      </c>
      <c r="F1473" s="3">
        <v>0.36700000000000005</v>
      </c>
      <c r="G1473">
        <v>6.2668999999999997</v>
      </c>
      <c r="H1473">
        <v>6.5</v>
      </c>
    </row>
    <row r="1474" spans="1:8" x14ac:dyDescent="0.25">
      <c r="A1474" t="s">
        <v>1480</v>
      </c>
      <c r="B1474">
        <v>64368</v>
      </c>
      <c r="C1474">
        <v>7891000631713</v>
      </c>
      <c r="D1474">
        <v>32.9</v>
      </c>
      <c r="E1474">
        <v>27.21</v>
      </c>
      <c r="F1474" s="3">
        <v>0.1734</v>
      </c>
      <c r="G1474">
        <v>27.194600000000001</v>
      </c>
      <c r="H1474">
        <v>0.3</v>
      </c>
    </row>
    <row r="1475" spans="1:8" x14ac:dyDescent="0.25">
      <c r="A1475" t="s">
        <v>1481</v>
      </c>
      <c r="B1475">
        <v>64369</v>
      </c>
      <c r="C1475">
        <v>7891000507193</v>
      </c>
      <c r="D1475">
        <v>32.9</v>
      </c>
      <c r="E1475">
        <v>26.14</v>
      </c>
      <c r="F1475" s="3">
        <v>0.20519999999999999</v>
      </c>
      <c r="G1475">
        <v>26.148199999999999</v>
      </c>
      <c r="H1475">
        <v>0.1</v>
      </c>
    </row>
    <row r="1476" spans="1:8" x14ac:dyDescent="0.25">
      <c r="A1476" t="s">
        <v>1482</v>
      </c>
      <c r="B1476">
        <v>64370</v>
      </c>
      <c r="C1476">
        <v>7891000734926</v>
      </c>
      <c r="D1476">
        <v>32.9</v>
      </c>
      <c r="E1476">
        <v>27.85</v>
      </c>
      <c r="F1476" s="3">
        <v>0.15359999999999999</v>
      </c>
      <c r="G1476">
        <v>27.845199999999998</v>
      </c>
      <c r="H1476">
        <v>0.16700000000000001</v>
      </c>
    </row>
    <row r="1477" spans="1:8" x14ac:dyDescent="0.25">
      <c r="A1477" t="s">
        <v>1483</v>
      </c>
      <c r="B1477">
        <v>65503</v>
      </c>
      <c r="C1477">
        <v>7891000794135</v>
      </c>
      <c r="D1477">
        <v>12.9</v>
      </c>
      <c r="E1477">
        <v>8.4</v>
      </c>
      <c r="F1477" s="3">
        <v>0.3392</v>
      </c>
      <c r="G1477">
        <v>8.5248000000000008</v>
      </c>
      <c r="H1477">
        <v>2.1669999999999998</v>
      </c>
    </row>
    <row r="1478" spans="1:8" x14ac:dyDescent="0.25">
      <c r="A1478" t="s">
        <v>1484</v>
      </c>
      <c r="B1478">
        <v>65504</v>
      </c>
      <c r="C1478">
        <v>7891000357064</v>
      </c>
      <c r="D1478">
        <v>12.9</v>
      </c>
      <c r="E1478">
        <v>7.82</v>
      </c>
      <c r="F1478" s="3">
        <v>0.3528</v>
      </c>
      <c r="G1478">
        <v>8.3491</v>
      </c>
      <c r="H1478">
        <v>1.0329999999999999</v>
      </c>
    </row>
    <row r="1479" spans="1:8" x14ac:dyDescent="0.25">
      <c r="A1479" t="s">
        <v>1485</v>
      </c>
      <c r="B1479">
        <v>65505</v>
      </c>
      <c r="C1479">
        <v>7891000491249</v>
      </c>
      <c r="D1479">
        <v>12.9</v>
      </c>
      <c r="E1479">
        <v>7.3</v>
      </c>
      <c r="F1479" s="3">
        <v>0.45200000000000001</v>
      </c>
      <c r="G1479">
        <v>7.0689000000000002</v>
      </c>
      <c r="H1479">
        <v>1.4670000000000001</v>
      </c>
    </row>
    <row r="1480" spans="1:8" x14ac:dyDescent="0.25">
      <c r="A1480" t="s">
        <v>1486</v>
      </c>
      <c r="B1480">
        <v>66721</v>
      </c>
      <c r="C1480">
        <v>7891000198414</v>
      </c>
      <c r="D1480">
        <v>6.49</v>
      </c>
      <c r="E1480">
        <v>4.6900000000000004</v>
      </c>
      <c r="F1480" s="3">
        <v>0.2777</v>
      </c>
      <c r="G1480">
        <v>4.6875999999999998</v>
      </c>
      <c r="H1480">
        <v>0.83299999999999996</v>
      </c>
    </row>
    <row r="1481" spans="1:8" x14ac:dyDescent="0.25">
      <c r="A1481" t="s">
        <v>1487</v>
      </c>
      <c r="B1481">
        <v>9494</v>
      </c>
      <c r="C1481">
        <v>7896089088489</v>
      </c>
      <c r="D1481">
        <v>29.9</v>
      </c>
      <c r="E1481">
        <v>23.75</v>
      </c>
      <c r="F1481" s="3">
        <v>0.18140000000000001</v>
      </c>
      <c r="G1481">
        <v>24.474699999999999</v>
      </c>
      <c r="H1481">
        <v>2.9329999999999998</v>
      </c>
    </row>
    <row r="1482" spans="1:8" x14ac:dyDescent="0.25">
      <c r="A1482" t="s">
        <v>1488</v>
      </c>
      <c r="B1482">
        <v>62779</v>
      </c>
      <c r="C1482">
        <v>7896089088465</v>
      </c>
      <c r="D1482">
        <v>11.9</v>
      </c>
      <c r="E1482">
        <v>8.59</v>
      </c>
      <c r="F1482" s="3">
        <v>0.26269999999999999</v>
      </c>
      <c r="G1482">
        <v>8.7736000000000001</v>
      </c>
      <c r="H1482">
        <v>2.8</v>
      </c>
    </row>
    <row r="1483" spans="1:8" x14ac:dyDescent="0.25">
      <c r="A1483" t="s">
        <v>1489</v>
      </c>
      <c r="B1483">
        <v>62778</v>
      </c>
      <c r="C1483">
        <v>7896089088472</v>
      </c>
      <c r="D1483">
        <v>29.9</v>
      </c>
      <c r="E1483">
        <v>23.32</v>
      </c>
      <c r="F1483" s="3">
        <v>0.22460000000000002</v>
      </c>
      <c r="G1483">
        <v>23.185600000000001</v>
      </c>
      <c r="H1483">
        <v>0.96699999999999997</v>
      </c>
    </row>
    <row r="1484" spans="1:8" x14ac:dyDescent="0.25">
      <c r="A1484" t="s">
        <v>1490</v>
      </c>
      <c r="B1484">
        <v>4618</v>
      </c>
      <c r="C1484">
        <v>7896089088656</v>
      </c>
      <c r="D1484">
        <v>8.99</v>
      </c>
      <c r="E1484">
        <v>6.89</v>
      </c>
      <c r="F1484" s="3">
        <v>0.23550000000000001</v>
      </c>
      <c r="G1484">
        <v>6.8731999999999998</v>
      </c>
      <c r="H1484">
        <v>7.6</v>
      </c>
    </row>
    <row r="1485" spans="1:8" x14ac:dyDescent="0.25">
      <c r="A1485" t="s">
        <v>1491</v>
      </c>
      <c r="B1485">
        <v>64361</v>
      </c>
      <c r="C1485">
        <v>762111364357</v>
      </c>
      <c r="D1485">
        <v>42.9</v>
      </c>
      <c r="E1485">
        <v>34.56</v>
      </c>
      <c r="F1485" s="3">
        <v>0.19980000000000001</v>
      </c>
      <c r="G1485">
        <v>34.330599999999997</v>
      </c>
      <c r="H1485">
        <v>1.0329999999999999</v>
      </c>
    </row>
    <row r="1486" spans="1:8" x14ac:dyDescent="0.25">
      <c r="A1486" t="s">
        <v>1492</v>
      </c>
      <c r="B1486">
        <v>55725</v>
      </c>
      <c r="C1486">
        <v>762111364364</v>
      </c>
      <c r="D1486">
        <v>39.9</v>
      </c>
      <c r="E1486">
        <v>32.68</v>
      </c>
      <c r="F1486" s="3">
        <v>0.1832</v>
      </c>
      <c r="G1486">
        <v>32.591299999999997</v>
      </c>
      <c r="H1486">
        <v>0.433</v>
      </c>
    </row>
    <row r="1487" spans="1:8" x14ac:dyDescent="0.25">
      <c r="A1487" t="s">
        <v>1493</v>
      </c>
      <c r="B1487">
        <v>55724</v>
      </c>
      <c r="C1487">
        <v>762111364388</v>
      </c>
      <c r="D1487">
        <v>39.9</v>
      </c>
      <c r="E1487">
        <v>31.16</v>
      </c>
      <c r="F1487" s="3">
        <v>0.21660000000000001</v>
      </c>
      <c r="G1487">
        <v>31.256599999999999</v>
      </c>
      <c r="H1487">
        <v>0.7</v>
      </c>
    </row>
    <row r="1488" spans="1:8" x14ac:dyDescent="0.25">
      <c r="A1488" t="s">
        <v>1494</v>
      </c>
      <c r="B1488">
        <v>55726</v>
      </c>
      <c r="C1488">
        <v>762111364418</v>
      </c>
      <c r="D1488">
        <v>39.9</v>
      </c>
      <c r="E1488">
        <v>31.67</v>
      </c>
      <c r="F1488" s="3">
        <v>0.20629999999999998</v>
      </c>
      <c r="G1488">
        <v>31.6692</v>
      </c>
      <c r="H1488">
        <v>0.33300000000000002</v>
      </c>
    </row>
    <row r="1489" spans="1:8" x14ac:dyDescent="0.25">
      <c r="A1489" t="s">
        <v>1495</v>
      </c>
      <c r="B1489">
        <v>19287</v>
      </c>
      <c r="C1489">
        <v>7896283003967</v>
      </c>
      <c r="D1489">
        <v>49.9</v>
      </c>
      <c r="E1489">
        <v>30.57</v>
      </c>
      <c r="F1489" s="3">
        <v>0.2848</v>
      </c>
      <c r="G1489">
        <v>22.09</v>
      </c>
      <c r="H1489">
        <v>0.33300000000000002</v>
      </c>
    </row>
    <row r="1490" spans="1:8" x14ac:dyDescent="0.25">
      <c r="A1490" t="s">
        <v>1496</v>
      </c>
      <c r="B1490">
        <v>69399</v>
      </c>
      <c r="C1490">
        <v>34000003662</v>
      </c>
      <c r="D1490">
        <v>59.9</v>
      </c>
      <c r="E1490">
        <v>41.49</v>
      </c>
      <c r="F1490" s="3">
        <v>0.22359999999999999</v>
      </c>
      <c r="G1490">
        <v>30.185400000000001</v>
      </c>
      <c r="H1490">
        <v>0.1</v>
      </c>
    </row>
    <row r="1491" spans="1:8" x14ac:dyDescent="0.25">
      <c r="A1491" t="s">
        <v>1497</v>
      </c>
      <c r="B1491">
        <v>69397</v>
      </c>
      <c r="C1491">
        <v>34000003129</v>
      </c>
      <c r="D1491">
        <v>64.900000000000006</v>
      </c>
      <c r="E1491">
        <v>48.26</v>
      </c>
      <c r="F1491" s="3">
        <v>0.23269999999999999</v>
      </c>
      <c r="G1491">
        <v>43.791699999999999</v>
      </c>
      <c r="H1491">
        <v>0.1</v>
      </c>
    </row>
    <row r="1492" spans="1:8" x14ac:dyDescent="0.25">
      <c r="A1492" t="s">
        <v>1498</v>
      </c>
      <c r="B1492">
        <v>64840</v>
      </c>
      <c r="C1492">
        <v>13300928073</v>
      </c>
      <c r="D1492">
        <v>49.9</v>
      </c>
      <c r="E1492">
        <v>27.44</v>
      </c>
      <c r="F1492" s="3">
        <v>0.32740000000000002</v>
      </c>
      <c r="G1492">
        <v>19.9649</v>
      </c>
      <c r="H1492">
        <v>0.5</v>
      </c>
    </row>
    <row r="1493" spans="1:8" x14ac:dyDescent="0.25">
      <c r="A1493" t="s">
        <v>1499</v>
      </c>
      <c r="B1493">
        <v>67895</v>
      </c>
      <c r="C1493">
        <v>736532406798</v>
      </c>
      <c r="D1493">
        <v>44.9</v>
      </c>
      <c r="E1493">
        <v>34.6</v>
      </c>
      <c r="F1493" s="3">
        <v>0.16889999999999999</v>
      </c>
      <c r="G1493">
        <v>25.082999999999998</v>
      </c>
      <c r="H1493">
        <v>0.23300000000000001</v>
      </c>
    </row>
    <row r="1494" spans="1:8" x14ac:dyDescent="0.25">
      <c r="A1494" t="s">
        <v>1500</v>
      </c>
      <c r="B1494">
        <v>4713</v>
      </c>
      <c r="C1494">
        <v>7891150012363</v>
      </c>
      <c r="D1494">
        <v>5.49</v>
      </c>
      <c r="E1494">
        <v>3.31</v>
      </c>
      <c r="F1494" s="3">
        <v>0.28859999999999997</v>
      </c>
      <c r="G1494">
        <v>2.4096000000000002</v>
      </c>
      <c r="H1494">
        <v>1</v>
      </c>
    </row>
    <row r="1495" spans="1:8" x14ac:dyDescent="0.25">
      <c r="A1495" t="s">
        <v>1501</v>
      </c>
      <c r="B1495">
        <v>4715</v>
      </c>
      <c r="C1495">
        <v>7894000000350</v>
      </c>
      <c r="D1495">
        <v>5.49</v>
      </c>
      <c r="E1495">
        <v>3.31</v>
      </c>
      <c r="F1495" s="3">
        <v>0.28859999999999997</v>
      </c>
      <c r="G1495">
        <v>2.4096000000000002</v>
      </c>
      <c r="H1495">
        <v>1.3</v>
      </c>
    </row>
    <row r="1496" spans="1:8" x14ac:dyDescent="0.25">
      <c r="A1496" t="s">
        <v>1502</v>
      </c>
      <c r="B1496">
        <v>57242</v>
      </c>
      <c r="C1496">
        <v>7891150072831</v>
      </c>
      <c r="D1496">
        <v>2.79</v>
      </c>
      <c r="E1496">
        <v>2.06</v>
      </c>
      <c r="F1496" s="3">
        <v>0.19010000000000002</v>
      </c>
      <c r="G1496">
        <v>1.4994000000000001</v>
      </c>
      <c r="H1496">
        <v>7.1</v>
      </c>
    </row>
    <row r="1497" spans="1:8" x14ac:dyDescent="0.25">
      <c r="A1497" t="s">
        <v>1503</v>
      </c>
      <c r="B1497">
        <v>57234</v>
      </c>
      <c r="C1497">
        <v>7891150072824</v>
      </c>
      <c r="D1497">
        <v>2.79</v>
      </c>
      <c r="E1497">
        <v>2.06</v>
      </c>
      <c r="F1497" s="3">
        <v>0.19030000000000002</v>
      </c>
      <c r="G1497">
        <v>1.4987999999999999</v>
      </c>
      <c r="H1497">
        <v>3.5670000000000002</v>
      </c>
    </row>
    <row r="1498" spans="1:8" x14ac:dyDescent="0.25">
      <c r="A1498" t="s">
        <v>1504</v>
      </c>
      <c r="B1498">
        <v>57243</v>
      </c>
      <c r="C1498">
        <v>7891150072848</v>
      </c>
      <c r="D1498">
        <v>2.79</v>
      </c>
      <c r="E1498">
        <v>2.06</v>
      </c>
      <c r="F1498" s="3">
        <v>0.18969999999999998</v>
      </c>
      <c r="G1498">
        <v>1.5004999999999999</v>
      </c>
      <c r="H1498">
        <v>2.2669999999999999</v>
      </c>
    </row>
    <row r="1499" spans="1:8" x14ac:dyDescent="0.25">
      <c r="A1499" t="s">
        <v>1505</v>
      </c>
      <c r="B1499">
        <v>4714</v>
      </c>
      <c r="C1499">
        <v>7891150012318</v>
      </c>
      <c r="D1499">
        <v>2.99</v>
      </c>
      <c r="E1499">
        <v>1.87</v>
      </c>
      <c r="F1499" s="3">
        <v>0.27339999999999998</v>
      </c>
      <c r="G1499">
        <v>1.3576999999999999</v>
      </c>
      <c r="H1499">
        <v>14.067</v>
      </c>
    </row>
    <row r="1500" spans="1:8" x14ac:dyDescent="0.25">
      <c r="A1500" t="s">
        <v>1506</v>
      </c>
      <c r="B1500">
        <v>4716</v>
      </c>
      <c r="C1500">
        <v>7894000000275</v>
      </c>
      <c r="D1500">
        <v>2.99</v>
      </c>
      <c r="E1500">
        <v>1.87</v>
      </c>
      <c r="F1500" s="3">
        <v>0.27339999999999998</v>
      </c>
      <c r="G1500">
        <v>1.3576999999999999</v>
      </c>
      <c r="H1500">
        <v>12.233000000000001</v>
      </c>
    </row>
    <row r="1501" spans="1:8" x14ac:dyDescent="0.25">
      <c r="A1501" t="s">
        <v>1507</v>
      </c>
      <c r="B1501">
        <v>4717</v>
      </c>
      <c r="C1501">
        <v>7894000000268</v>
      </c>
      <c r="D1501">
        <v>2.99</v>
      </c>
      <c r="E1501">
        <v>1.87</v>
      </c>
      <c r="F1501" s="3">
        <v>0.27279999999999999</v>
      </c>
      <c r="G1501">
        <v>1.3594999999999999</v>
      </c>
      <c r="H1501">
        <v>10.1</v>
      </c>
    </row>
    <row r="1502" spans="1:8" x14ac:dyDescent="0.25">
      <c r="A1502" t="s">
        <v>1508</v>
      </c>
      <c r="B1502">
        <v>61830</v>
      </c>
      <c r="C1502">
        <v>7891150084919</v>
      </c>
      <c r="D1502">
        <v>5.49</v>
      </c>
      <c r="E1502">
        <v>3.76</v>
      </c>
      <c r="F1502" s="3">
        <v>0.22949999999999998</v>
      </c>
      <c r="G1502">
        <v>2.7342</v>
      </c>
      <c r="H1502">
        <v>1.2</v>
      </c>
    </row>
    <row r="1503" spans="1:8" x14ac:dyDescent="0.25">
      <c r="A1503" t="s">
        <v>1509</v>
      </c>
      <c r="B1503">
        <v>61829</v>
      </c>
      <c r="C1503">
        <v>7891150084902</v>
      </c>
      <c r="D1503">
        <v>5.49</v>
      </c>
      <c r="E1503">
        <v>3.85</v>
      </c>
      <c r="F1503" s="3">
        <v>0.21340000000000001</v>
      </c>
      <c r="G1503">
        <v>2.8224999999999998</v>
      </c>
      <c r="H1503">
        <v>1.133</v>
      </c>
    </row>
    <row r="1504" spans="1:8" x14ac:dyDescent="0.25">
      <c r="A1504" t="s">
        <v>1510</v>
      </c>
      <c r="B1504">
        <v>61831</v>
      </c>
      <c r="C1504">
        <v>7891150084926</v>
      </c>
      <c r="D1504">
        <v>5.49</v>
      </c>
      <c r="E1504">
        <v>3.49</v>
      </c>
      <c r="F1504" s="3">
        <v>0.26530000000000004</v>
      </c>
      <c r="G1504">
        <v>2.5375000000000001</v>
      </c>
      <c r="H1504">
        <v>0.86699999999999999</v>
      </c>
    </row>
    <row r="1505" spans="1:8" x14ac:dyDescent="0.25">
      <c r="A1505" t="s">
        <v>1511</v>
      </c>
      <c r="B1505">
        <v>68077</v>
      </c>
      <c r="C1505">
        <v>609963170951</v>
      </c>
      <c r="D1505">
        <v>22.9</v>
      </c>
      <c r="E1505">
        <v>15.33</v>
      </c>
      <c r="F1505" s="3">
        <v>0.23530000000000001</v>
      </c>
      <c r="G1505">
        <v>11.271000000000001</v>
      </c>
      <c r="H1505">
        <v>2.9</v>
      </c>
    </row>
    <row r="1506" spans="1:8" x14ac:dyDescent="0.25">
      <c r="A1506" t="s">
        <v>1512</v>
      </c>
      <c r="B1506">
        <v>68078</v>
      </c>
      <c r="C1506">
        <v>609963170968</v>
      </c>
      <c r="D1506">
        <v>22.9</v>
      </c>
      <c r="E1506">
        <v>15.24</v>
      </c>
      <c r="F1506" s="3">
        <v>0.23910000000000001</v>
      </c>
      <c r="G1506">
        <v>11.1846</v>
      </c>
      <c r="H1506">
        <v>2.2000000000000002</v>
      </c>
    </row>
    <row r="1507" spans="1:8" x14ac:dyDescent="0.25">
      <c r="A1507" t="s">
        <v>1513</v>
      </c>
      <c r="B1507">
        <v>68079</v>
      </c>
      <c r="C1507">
        <v>609963170975</v>
      </c>
      <c r="D1507">
        <v>22.9</v>
      </c>
      <c r="E1507">
        <v>15.31</v>
      </c>
      <c r="F1507" s="3">
        <v>0.2339</v>
      </c>
      <c r="G1507">
        <v>11.3043</v>
      </c>
      <c r="H1507">
        <v>3.2330000000000001</v>
      </c>
    </row>
    <row r="1508" spans="1:8" x14ac:dyDescent="0.25">
      <c r="A1508" t="s">
        <v>1514</v>
      </c>
      <c r="B1508">
        <v>24562</v>
      </c>
      <c r="C1508">
        <v>7891000529003</v>
      </c>
      <c r="D1508">
        <v>4.99</v>
      </c>
      <c r="E1508">
        <v>3.23</v>
      </c>
      <c r="F1508" s="3">
        <v>0.25590000000000002</v>
      </c>
      <c r="G1508">
        <v>2.3534000000000002</v>
      </c>
      <c r="H1508">
        <v>5.1669999999999998</v>
      </c>
    </row>
    <row r="1509" spans="1:8" x14ac:dyDescent="0.25">
      <c r="A1509" t="s">
        <v>1515</v>
      </c>
      <c r="B1509">
        <v>24563</v>
      </c>
      <c r="C1509">
        <v>7891000528808</v>
      </c>
      <c r="D1509">
        <v>4.99</v>
      </c>
      <c r="E1509">
        <v>3.23</v>
      </c>
      <c r="F1509" s="3">
        <v>0.25629999999999997</v>
      </c>
      <c r="G1509">
        <v>2.3513000000000002</v>
      </c>
      <c r="H1509">
        <v>12.1</v>
      </c>
    </row>
    <row r="1510" spans="1:8" x14ac:dyDescent="0.25">
      <c r="A1510" t="s">
        <v>1516</v>
      </c>
      <c r="B1510">
        <v>24557</v>
      </c>
      <c r="C1510">
        <v>7891000251430</v>
      </c>
      <c r="D1510">
        <v>5.99</v>
      </c>
      <c r="E1510">
        <v>4.59</v>
      </c>
      <c r="F1510" s="3">
        <v>0.17059999999999997</v>
      </c>
      <c r="G1510">
        <v>3.3359999999999999</v>
      </c>
      <c r="H1510">
        <v>0.9</v>
      </c>
    </row>
    <row r="1511" spans="1:8" x14ac:dyDescent="0.25">
      <c r="A1511" t="s">
        <v>1517</v>
      </c>
      <c r="B1511">
        <v>4720</v>
      </c>
      <c r="C1511">
        <v>7891000249932</v>
      </c>
      <c r="D1511">
        <v>3.29</v>
      </c>
      <c r="E1511">
        <v>1.89</v>
      </c>
      <c r="F1511" s="3">
        <v>0.30480000000000002</v>
      </c>
      <c r="G1511">
        <v>1.3908</v>
      </c>
      <c r="H1511">
        <v>1.9</v>
      </c>
    </row>
    <row r="1512" spans="1:8" x14ac:dyDescent="0.25">
      <c r="A1512" t="s">
        <v>1518</v>
      </c>
      <c r="B1512">
        <v>4721</v>
      </c>
      <c r="C1512">
        <v>7891000528907</v>
      </c>
      <c r="D1512">
        <v>3.29</v>
      </c>
      <c r="E1512">
        <v>1.89</v>
      </c>
      <c r="F1512" s="3">
        <v>0.30709999999999998</v>
      </c>
      <c r="G1512">
        <v>1.3833</v>
      </c>
      <c r="H1512">
        <v>1.5669999999999999</v>
      </c>
    </row>
    <row r="1513" spans="1:8" x14ac:dyDescent="0.25">
      <c r="A1513" t="s">
        <v>1519</v>
      </c>
      <c r="B1513">
        <v>4722</v>
      </c>
      <c r="C1513">
        <v>7891000249871</v>
      </c>
      <c r="D1513">
        <v>3.29</v>
      </c>
      <c r="E1513">
        <v>1.89</v>
      </c>
      <c r="F1513" s="3">
        <v>0.30829999999999996</v>
      </c>
      <c r="G1513">
        <v>1.3792</v>
      </c>
      <c r="H1513">
        <v>1.5329999999999999</v>
      </c>
    </row>
    <row r="1514" spans="1:8" x14ac:dyDescent="0.25">
      <c r="A1514" t="s">
        <v>1520</v>
      </c>
      <c r="B1514">
        <v>4725</v>
      </c>
      <c r="C1514">
        <v>7891000528709</v>
      </c>
      <c r="D1514">
        <v>3.29</v>
      </c>
      <c r="E1514">
        <v>1.9</v>
      </c>
      <c r="F1514" s="3">
        <v>0.30630000000000002</v>
      </c>
      <c r="G1514">
        <v>1.3855999999999999</v>
      </c>
      <c r="H1514">
        <v>7.2670000000000003</v>
      </c>
    </row>
    <row r="1515" spans="1:8" x14ac:dyDescent="0.25">
      <c r="A1515" t="s">
        <v>1521</v>
      </c>
      <c r="B1515">
        <v>4726</v>
      </c>
      <c r="C1515">
        <v>7891000529201</v>
      </c>
      <c r="D1515">
        <v>3.29</v>
      </c>
      <c r="E1515">
        <v>1.88</v>
      </c>
      <c r="F1515" s="3">
        <v>0.31280000000000002</v>
      </c>
      <c r="G1515">
        <v>1.3642000000000001</v>
      </c>
      <c r="H1515">
        <v>1.2</v>
      </c>
    </row>
    <row r="1516" spans="1:8" x14ac:dyDescent="0.25">
      <c r="A1516" t="s">
        <v>1522</v>
      </c>
      <c r="B1516">
        <v>48878</v>
      </c>
      <c r="C1516">
        <v>7891000253526</v>
      </c>
      <c r="D1516">
        <v>4.99</v>
      </c>
      <c r="E1516">
        <v>3.27</v>
      </c>
      <c r="F1516" s="3">
        <v>0.25079999999999997</v>
      </c>
      <c r="G1516">
        <v>2.3786</v>
      </c>
      <c r="H1516">
        <v>0.3</v>
      </c>
    </row>
    <row r="1517" spans="1:8" x14ac:dyDescent="0.25">
      <c r="A1517" t="s">
        <v>1523</v>
      </c>
      <c r="B1517">
        <v>48877</v>
      </c>
      <c r="C1517">
        <v>7891000253588</v>
      </c>
      <c r="D1517">
        <v>4.99</v>
      </c>
      <c r="E1517">
        <v>3.27</v>
      </c>
      <c r="F1517" s="3">
        <v>0.25079999999999997</v>
      </c>
      <c r="G1517">
        <v>2.3786</v>
      </c>
      <c r="H1517">
        <v>0.26700000000000002</v>
      </c>
    </row>
    <row r="1518" spans="1:8" x14ac:dyDescent="0.25">
      <c r="A1518" t="s">
        <v>1524</v>
      </c>
      <c r="B1518">
        <v>48876</v>
      </c>
      <c r="C1518">
        <v>7891000253564</v>
      </c>
      <c r="D1518">
        <v>2.4900000000000002</v>
      </c>
      <c r="E1518">
        <v>1.1399999999999999</v>
      </c>
      <c r="F1518" s="3">
        <v>0.39340000000000003</v>
      </c>
      <c r="G1518">
        <v>0.83179999999999998</v>
      </c>
      <c r="H1518">
        <v>0.56699999999999995</v>
      </c>
    </row>
    <row r="1519" spans="1:8" x14ac:dyDescent="0.25">
      <c r="A1519" t="s">
        <v>1525</v>
      </c>
      <c r="B1519">
        <v>62798</v>
      </c>
      <c r="C1519">
        <v>7891000253540</v>
      </c>
      <c r="D1519">
        <v>2.4900000000000002</v>
      </c>
      <c r="E1519">
        <v>1.92</v>
      </c>
      <c r="F1519" s="3">
        <v>0.16570000000000001</v>
      </c>
      <c r="G1519">
        <v>1.3988</v>
      </c>
      <c r="H1519">
        <v>0.36699999999999999</v>
      </c>
    </row>
    <row r="1520" spans="1:8" x14ac:dyDescent="0.25">
      <c r="A1520" t="s">
        <v>1526</v>
      </c>
      <c r="B1520">
        <v>60620</v>
      </c>
      <c r="C1520">
        <v>7891150078758</v>
      </c>
      <c r="D1520">
        <v>0</v>
      </c>
      <c r="E1520">
        <v>0</v>
      </c>
      <c r="F1520" s="3">
        <v>0</v>
      </c>
      <c r="G1520">
        <v>0</v>
      </c>
      <c r="H1520">
        <v>0</v>
      </c>
    </row>
    <row r="1521" spans="1:8" x14ac:dyDescent="0.25">
      <c r="A1521" t="s">
        <v>1527</v>
      </c>
      <c r="B1521">
        <v>55605</v>
      </c>
      <c r="C1521">
        <v>7891000285817</v>
      </c>
      <c r="D1521">
        <v>2.4900000000000002</v>
      </c>
      <c r="E1521">
        <v>1.42</v>
      </c>
      <c r="F1521" s="3">
        <v>0.31379999999999997</v>
      </c>
      <c r="G1521">
        <v>1.0302</v>
      </c>
      <c r="H1521">
        <v>2.0670000000000002</v>
      </c>
    </row>
    <row r="1522" spans="1:8" x14ac:dyDescent="0.25">
      <c r="A1522" t="s">
        <v>1528</v>
      </c>
      <c r="B1522">
        <v>55606</v>
      </c>
      <c r="C1522">
        <v>7891000285855</v>
      </c>
      <c r="D1522">
        <v>2.4900000000000002</v>
      </c>
      <c r="E1522">
        <v>1.42</v>
      </c>
      <c r="F1522" s="3">
        <v>0.31819999999999998</v>
      </c>
      <c r="G1522">
        <v>1.0190999999999999</v>
      </c>
      <c r="H1522">
        <v>5.7329999999999997</v>
      </c>
    </row>
    <row r="1523" spans="1:8" x14ac:dyDescent="0.25">
      <c r="A1523" t="s">
        <v>1529</v>
      </c>
      <c r="B1523">
        <v>58248</v>
      </c>
      <c r="C1523">
        <v>7891000310199</v>
      </c>
      <c r="D1523">
        <v>2.4900000000000002</v>
      </c>
      <c r="E1523">
        <v>1.39</v>
      </c>
      <c r="F1523" s="3">
        <v>0.32630000000000003</v>
      </c>
      <c r="G1523">
        <v>0.999</v>
      </c>
      <c r="H1523">
        <v>3.3330000000000002</v>
      </c>
    </row>
    <row r="1524" spans="1:8" x14ac:dyDescent="0.25">
      <c r="A1524" t="s">
        <v>1530</v>
      </c>
      <c r="B1524">
        <v>44153</v>
      </c>
      <c r="C1524">
        <v>7891132110186</v>
      </c>
      <c r="D1524">
        <v>2.4900000000000002</v>
      </c>
      <c r="E1524">
        <v>1.73</v>
      </c>
      <c r="F1524" s="3">
        <v>0.21149999999999999</v>
      </c>
      <c r="G1524">
        <v>1.2847</v>
      </c>
      <c r="H1524">
        <v>10.667</v>
      </c>
    </row>
    <row r="1525" spans="1:8" x14ac:dyDescent="0.25">
      <c r="A1525" t="s">
        <v>1531</v>
      </c>
      <c r="B1525">
        <v>44154</v>
      </c>
      <c r="C1525">
        <v>7891132110193</v>
      </c>
      <c r="D1525">
        <v>2.4900000000000002</v>
      </c>
      <c r="E1525">
        <v>1.73</v>
      </c>
      <c r="F1525" s="3">
        <v>0.2132</v>
      </c>
      <c r="G1525">
        <v>1.2806</v>
      </c>
      <c r="H1525">
        <v>4.5</v>
      </c>
    </row>
    <row r="1526" spans="1:8" x14ac:dyDescent="0.25">
      <c r="A1526" t="s">
        <v>1532</v>
      </c>
      <c r="B1526">
        <v>4758</v>
      </c>
      <c r="C1526">
        <v>7891132110216</v>
      </c>
      <c r="D1526">
        <v>2.4900000000000002</v>
      </c>
      <c r="E1526">
        <v>1.69</v>
      </c>
      <c r="F1526" s="3">
        <v>0.23680000000000001</v>
      </c>
      <c r="G1526">
        <v>1.2219</v>
      </c>
      <c r="H1526">
        <v>14.532999999999999</v>
      </c>
    </row>
    <row r="1527" spans="1:8" x14ac:dyDescent="0.25">
      <c r="A1527" t="s">
        <v>1533</v>
      </c>
      <c r="B1527">
        <v>4755</v>
      </c>
      <c r="C1527">
        <v>7891132110223</v>
      </c>
      <c r="D1527">
        <v>2.4900000000000002</v>
      </c>
      <c r="E1527">
        <v>1.73</v>
      </c>
      <c r="F1527" s="3">
        <v>0.2235</v>
      </c>
      <c r="G1527">
        <v>1.2548999999999999</v>
      </c>
      <c r="H1527">
        <v>6.4329999999999998</v>
      </c>
    </row>
    <row r="1528" spans="1:8" x14ac:dyDescent="0.25">
      <c r="A1528" t="s">
        <v>1534</v>
      </c>
      <c r="B1528">
        <v>4757</v>
      </c>
      <c r="C1528">
        <v>7891132110230</v>
      </c>
      <c r="D1528">
        <v>2.4900000000000002</v>
      </c>
      <c r="E1528">
        <v>1.71</v>
      </c>
      <c r="F1528" s="3">
        <v>0.22589999999999999</v>
      </c>
      <c r="G1528">
        <v>1.2488999999999999</v>
      </c>
      <c r="H1528">
        <v>12.2</v>
      </c>
    </row>
    <row r="1529" spans="1:8" x14ac:dyDescent="0.25">
      <c r="A1529" t="s">
        <v>1535</v>
      </c>
      <c r="B1529">
        <v>4764</v>
      </c>
      <c r="C1529">
        <v>7891132110247</v>
      </c>
      <c r="D1529">
        <v>2.4900000000000002</v>
      </c>
      <c r="E1529">
        <v>1.76</v>
      </c>
      <c r="F1529" s="3">
        <v>0.2021</v>
      </c>
      <c r="G1529">
        <v>1.3081</v>
      </c>
      <c r="H1529">
        <v>9.3670000000000009</v>
      </c>
    </row>
    <row r="1530" spans="1:8" x14ac:dyDescent="0.25">
      <c r="A1530" t="s">
        <v>1536</v>
      </c>
      <c r="B1530">
        <v>4767</v>
      </c>
      <c r="C1530">
        <v>7891132110261</v>
      </c>
      <c r="D1530">
        <v>2.4900000000000002</v>
      </c>
      <c r="E1530">
        <v>1.69</v>
      </c>
      <c r="F1530" s="3">
        <v>0.2361</v>
      </c>
      <c r="G1530">
        <v>1.2237</v>
      </c>
      <c r="H1530">
        <v>7.0670000000000002</v>
      </c>
    </row>
    <row r="1531" spans="1:8" x14ac:dyDescent="0.25">
      <c r="A1531" t="s">
        <v>1537</v>
      </c>
      <c r="B1531">
        <v>61187</v>
      </c>
      <c r="C1531">
        <v>7891132110209</v>
      </c>
      <c r="D1531">
        <v>2.99</v>
      </c>
      <c r="E1531">
        <v>1.92</v>
      </c>
      <c r="F1531" s="3">
        <v>0.26269999999999999</v>
      </c>
      <c r="G1531">
        <v>1.3898999999999999</v>
      </c>
      <c r="H1531">
        <v>2.1</v>
      </c>
    </row>
    <row r="1532" spans="1:8" x14ac:dyDescent="0.25">
      <c r="A1532" t="s">
        <v>1538</v>
      </c>
      <c r="B1532">
        <v>53700</v>
      </c>
      <c r="C1532">
        <v>7891132110278</v>
      </c>
      <c r="D1532">
        <v>2.99</v>
      </c>
      <c r="E1532">
        <v>1.91</v>
      </c>
      <c r="F1532" s="3">
        <v>0.26150000000000001</v>
      </c>
      <c r="G1532">
        <v>1.3933</v>
      </c>
      <c r="H1532">
        <v>2.9</v>
      </c>
    </row>
    <row r="1533" spans="1:8" x14ac:dyDescent="0.25">
      <c r="A1533" t="s">
        <v>1539</v>
      </c>
      <c r="B1533">
        <v>26341</v>
      </c>
      <c r="C1533">
        <v>7898629610310</v>
      </c>
      <c r="D1533">
        <v>4.49</v>
      </c>
      <c r="E1533">
        <v>1.5</v>
      </c>
      <c r="F1533" s="3">
        <v>0.60429999999999995</v>
      </c>
      <c r="G1533">
        <v>1.3612</v>
      </c>
      <c r="H1533">
        <v>2.4329999999999998</v>
      </c>
    </row>
    <row r="1534" spans="1:8" x14ac:dyDescent="0.25">
      <c r="A1534" t="s">
        <v>1540</v>
      </c>
      <c r="B1534">
        <v>4731</v>
      </c>
      <c r="C1534">
        <v>7891095604760</v>
      </c>
      <c r="D1534">
        <v>5.99</v>
      </c>
      <c r="E1534">
        <v>3.33</v>
      </c>
      <c r="F1534" s="3">
        <v>0.3261</v>
      </c>
      <c r="G1534">
        <v>2.4043999999999999</v>
      </c>
      <c r="H1534">
        <v>1.4330000000000001</v>
      </c>
    </row>
    <row r="1535" spans="1:8" x14ac:dyDescent="0.25">
      <c r="A1535" t="s">
        <v>1541</v>
      </c>
      <c r="B1535">
        <v>26298</v>
      </c>
      <c r="C1535">
        <v>7898629610570</v>
      </c>
      <c r="D1535">
        <v>7.99</v>
      </c>
      <c r="E1535">
        <v>3.51</v>
      </c>
      <c r="F1535" s="3">
        <v>0.40770000000000001</v>
      </c>
      <c r="G1535">
        <v>2.5548000000000002</v>
      </c>
      <c r="H1535">
        <v>12.4</v>
      </c>
    </row>
    <row r="1536" spans="1:8" x14ac:dyDescent="0.25">
      <c r="A1536" t="s">
        <v>1542</v>
      </c>
      <c r="B1536">
        <v>68319</v>
      </c>
      <c r="C1536">
        <v>7891095154296</v>
      </c>
      <c r="D1536">
        <v>2.99</v>
      </c>
      <c r="E1536">
        <v>0</v>
      </c>
      <c r="F1536" s="3">
        <v>0.72750000000000004</v>
      </c>
      <c r="G1536">
        <v>0</v>
      </c>
      <c r="H1536">
        <v>1.4</v>
      </c>
    </row>
    <row r="1537" spans="1:8" x14ac:dyDescent="0.25">
      <c r="A1537" t="s">
        <v>1543</v>
      </c>
      <c r="B1537">
        <v>4732</v>
      </c>
      <c r="C1537">
        <v>7891095154098</v>
      </c>
      <c r="D1537">
        <v>6.49</v>
      </c>
      <c r="E1537">
        <v>3.97</v>
      </c>
      <c r="F1537" s="3">
        <v>0.2873</v>
      </c>
      <c r="G1537">
        <v>2.8571</v>
      </c>
      <c r="H1537">
        <v>3.5670000000000002</v>
      </c>
    </row>
    <row r="1538" spans="1:8" x14ac:dyDescent="0.25">
      <c r="A1538" t="s">
        <v>1544</v>
      </c>
      <c r="B1538">
        <v>4733</v>
      </c>
      <c r="C1538">
        <v>7891095154074</v>
      </c>
      <c r="D1538">
        <v>9.99</v>
      </c>
      <c r="E1538">
        <v>5.35</v>
      </c>
      <c r="F1538" s="3">
        <v>0.34250000000000003</v>
      </c>
      <c r="G1538">
        <v>3.8464</v>
      </c>
      <c r="H1538">
        <v>12.132999999999999</v>
      </c>
    </row>
    <row r="1539" spans="1:8" x14ac:dyDescent="0.25">
      <c r="A1539" t="s">
        <v>1545</v>
      </c>
      <c r="B1539">
        <v>13093</v>
      </c>
      <c r="C1539">
        <v>7891095013968</v>
      </c>
      <c r="D1539">
        <v>14.9</v>
      </c>
      <c r="E1539">
        <v>7.11</v>
      </c>
      <c r="F1539" s="3">
        <v>0.38590000000000002</v>
      </c>
      <c r="G1539">
        <v>5.0904999999999996</v>
      </c>
      <c r="H1539">
        <v>2.133</v>
      </c>
    </row>
    <row r="1540" spans="1:8" x14ac:dyDescent="0.25">
      <c r="A1540" t="s">
        <v>1546</v>
      </c>
      <c r="B1540">
        <v>63758</v>
      </c>
      <c r="C1540">
        <v>7898635644255</v>
      </c>
      <c r="D1540">
        <v>24.9</v>
      </c>
      <c r="E1540">
        <v>14.13</v>
      </c>
      <c r="F1540" s="3">
        <v>0.31440000000000001</v>
      </c>
      <c r="G1540">
        <v>10.287000000000001</v>
      </c>
      <c r="H1540">
        <v>1.1000000000000001</v>
      </c>
    </row>
    <row r="1541" spans="1:8" x14ac:dyDescent="0.25">
      <c r="A1541" t="s">
        <v>1547</v>
      </c>
      <c r="B1541">
        <v>26299</v>
      </c>
      <c r="C1541">
        <v>7898629610563</v>
      </c>
      <c r="D1541">
        <v>7.99</v>
      </c>
      <c r="E1541">
        <v>3.27</v>
      </c>
      <c r="F1541" s="3">
        <v>0.42950000000000005</v>
      </c>
      <c r="G1541">
        <v>2.3813</v>
      </c>
      <c r="H1541">
        <v>12.167</v>
      </c>
    </row>
    <row r="1542" spans="1:8" x14ac:dyDescent="0.25">
      <c r="A1542" t="s">
        <v>1548</v>
      </c>
      <c r="B1542">
        <v>10214</v>
      </c>
      <c r="C1542">
        <v>7891150027299</v>
      </c>
      <c r="D1542">
        <v>12.9</v>
      </c>
      <c r="E1542">
        <v>9</v>
      </c>
      <c r="F1542" s="3">
        <v>0.22010000000000002</v>
      </c>
      <c r="G1542">
        <v>6.5454999999999997</v>
      </c>
      <c r="H1542">
        <v>0.1</v>
      </c>
    </row>
    <row r="1543" spans="1:8" x14ac:dyDescent="0.25">
      <c r="A1543" t="s">
        <v>1549</v>
      </c>
      <c r="B1543">
        <v>3220</v>
      </c>
      <c r="C1543">
        <v>7891000582305</v>
      </c>
      <c r="D1543">
        <v>11.9</v>
      </c>
      <c r="E1543">
        <v>7.38</v>
      </c>
      <c r="F1543" s="3">
        <v>0.27629999999999999</v>
      </c>
      <c r="G1543">
        <v>5.3693999999999997</v>
      </c>
      <c r="H1543">
        <v>0.86699999999999999</v>
      </c>
    </row>
    <row r="1544" spans="1:8" x14ac:dyDescent="0.25">
      <c r="A1544" t="s">
        <v>1550</v>
      </c>
      <c r="B1544">
        <v>65683</v>
      </c>
      <c r="C1544">
        <v>7896639800349</v>
      </c>
      <c r="D1544">
        <v>5.99</v>
      </c>
      <c r="E1544">
        <v>3.95</v>
      </c>
      <c r="F1544" s="3">
        <v>0.3095</v>
      </c>
      <c r="G1544">
        <v>3.5817999999999999</v>
      </c>
      <c r="H1544">
        <v>1.5669999999999999</v>
      </c>
    </row>
    <row r="1545" spans="1:8" x14ac:dyDescent="0.25">
      <c r="A1545" t="s">
        <v>1551</v>
      </c>
      <c r="B1545">
        <v>65678</v>
      </c>
      <c r="C1545">
        <v>7896639800332</v>
      </c>
      <c r="D1545">
        <v>5.99</v>
      </c>
      <c r="E1545">
        <v>3.95</v>
      </c>
      <c r="F1545" s="3">
        <v>0.3095</v>
      </c>
      <c r="G1545">
        <v>3.5821000000000001</v>
      </c>
      <c r="H1545">
        <v>2.5</v>
      </c>
    </row>
    <row r="1546" spans="1:8" x14ac:dyDescent="0.25">
      <c r="A1546" t="s">
        <v>1552</v>
      </c>
      <c r="B1546">
        <v>32016</v>
      </c>
      <c r="C1546">
        <v>7896639800318</v>
      </c>
      <c r="D1546">
        <v>4.99</v>
      </c>
      <c r="E1546">
        <v>3.41</v>
      </c>
      <c r="F1546" s="3">
        <v>0.28910000000000002</v>
      </c>
      <c r="G1546">
        <v>3.0859999999999999</v>
      </c>
      <c r="H1546">
        <v>7.7329999999999997</v>
      </c>
    </row>
    <row r="1547" spans="1:8" x14ac:dyDescent="0.25">
      <c r="A1547" t="s">
        <v>1553</v>
      </c>
      <c r="B1547">
        <v>32015</v>
      </c>
      <c r="C1547">
        <v>7896639800325</v>
      </c>
      <c r="D1547">
        <v>4.99</v>
      </c>
      <c r="E1547">
        <v>3.35</v>
      </c>
      <c r="F1547" s="3">
        <v>0.28899999999999998</v>
      </c>
      <c r="G1547">
        <v>3.0861000000000001</v>
      </c>
      <c r="H1547">
        <v>9.1</v>
      </c>
    </row>
    <row r="1548" spans="1:8" x14ac:dyDescent="0.25">
      <c r="A1548" t="s">
        <v>1554</v>
      </c>
      <c r="B1548">
        <v>3233</v>
      </c>
      <c r="C1548">
        <v>7897122600521</v>
      </c>
      <c r="D1548">
        <v>16.899999999999999</v>
      </c>
      <c r="E1548">
        <v>11.08</v>
      </c>
      <c r="F1548" s="3">
        <v>0.28190000000000004</v>
      </c>
      <c r="G1548">
        <v>9.0938999999999997</v>
      </c>
      <c r="H1548">
        <v>3.7</v>
      </c>
    </row>
    <row r="1549" spans="1:8" x14ac:dyDescent="0.25">
      <c r="A1549" t="s">
        <v>1555</v>
      </c>
      <c r="B1549">
        <v>3241</v>
      </c>
      <c r="C1549">
        <v>7891095911264</v>
      </c>
      <c r="D1549">
        <v>10.99</v>
      </c>
      <c r="E1549">
        <v>6.49</v>
      </c>
      <c r="F1549" s="3">
        <v>0.29670000000000002</v>
      </c>
      <c r="G1549">
        <v>4.7342000000000004</v>
      </c>
      <c r="H1549">
        <v>4.7670000000000003</v>
      </c>
    </row>
    <row r="1550" spans="1:8" x14ac:dyDescent="0.25">
      <c r="A1550" t="s">
        <v>1556</v>
      </c>
      <c r="B1550">
        <v>3238</v>
      </c>
      <c r="C1550">
        <v>7891095100118</v>
      </c>
      <c r="D1550">
        <v>11.9</v>
      </c>
      <c r="E1550">
        <v>7.5</v>
      </c>
      <c r="F1550" s="3">
        <v>0.26750000000000002</v>
      </c>
      <c r="G1550">
        <v>5.4741</v>
      </c>
      <c r="H1550">
        <v>0.433</v>
      </c>
    </row>
    <row r="1551" spans="1:8" x14ac:dyDescent="0.25">
      <c r="A1551" t="s">
        <v>1557</v>
      </c>
      <c r="B1551">
        <v>3245</v>
      </c>
      <c r="C1551">
        <v>7891095100316</v>
      </c>
      <c r="D1551">
        <v>9.9</v>
      </c>
      <c r="E1551">
        <v>5.69</v>
      </c>
      <c r="F1551" s="3">
        <v>0.30890000000000001</v>
      </c>
      <c r="G1551">
        <v>4.1441999999999997</v>
      </c>
      <c r="H1551">
        <v>1.3</v>
      </c>
    </row>
    <row r="1552" spans="1:8" x14ac:dyDescent="0.25">
      <c r="A1552" t="s">
        <v>1558</v>
      </c>
      <c r="B1552">
        <v>69307</v>
      </c>
      <c r="C1552">
        <v>5902431568423</v>
      </c>
      <c r="D1552">
        <v>18.899999999999999</v>
      </c>
      <c r="E1552">
        <v>10.5</v>
      </c>
      <c r="F1552" s="3">
        <v>0.40329999999999999</v>
      </c>
      <c r="G1552">
        <v>9.5286000000000008</v>
      </c>
      <c r="H1552">
        <v>0.2</v>
      </c>
    </row>
    <row r="1553" spans="1:8" x14ac:dyDescent="0.25">
      <c r="A1553" t="s">
        <v>1559</v>
      </c>
      <c r="B1553">
        <v>69305</v>
      </c>
      <c r="C1553">
        <v>5902431567594</v>
      </c>
      <c r="D1553">
        <v>18.899999999999999</v>
      </c>
      <c r="E1553">
        <v>10.5</v>
      </c>
      <c r="F1553" s="3">
        <v>0.40329999999999999</v>
      </c>
      <c r="G1553">
        <v>9.5286000000000008</v>
      </c>
      <c r="H1553">
        <v>6.7000000000000004E-2</v>
      </c>
    </row>
    <row r="1554" spans="1:8" x14ac:dyDescent="0.25">
      <c r="A1554" t="s">
        <v>1560</v>
      </c>
      <c r="B1554">
        <v>69306</v>
      </c>
      <c r="C1554">
        <v>5902431567556</v>
      </c>
      <c r="D1554">
        <v>18.899999999999999</v>
      </c>
      <c r="E1554">
        <v>10.5</v>
      </c>
      <c r="F1554" s="3">
        <v>0.40329999999999999</v>
      </c>
      <c r="G1554">
        <v>9.5286000000000008</v>
      </c>
      <c r="H1554">
        <v>0.23300000000000001</v>
      </c>
    </row>
    <row r="1555" spans="1:8" x14ac:dyDescent="0.25">
      <c r="A1555" t="s">
        <v>1561</v>
      </c>
      <c r="B1555">
        <v>8573</v>
      </c>
      <c r="C1555">
        <v>7896005804513</v>
      </c>
      <c r="D1555">
        <v>9.9</v>
      </c>
      <c r="E1555">
        <v>8.08</v>
      </c>
      <c r="F1555" s="3">
        <v>0.19219999999999998</v>
      </c>
      <c r="G1555">
        <v>7.9976000000000003</v>
      </c>
      <c r="H1555">
        <v>2.5</v>
      </c>
    </row>
    <row r="1556" spans="1:8" x14ac:dyDescent="0.25">
      <c r="A1556" t="s">
        <v>1562</v>
      </c>
      <c r="B1556">
        <v>8867</v>
      </c>
      <c r="C1556">
        <v>7896005802632</v>
      </c>
      <c r="D1556">
        <v>22.9</v>
      </c>
      <c r="E1556">
        <v>14.7</v>
      </c>
      <c r="F1556" s="3">
        <v>0.35249999999999998</v>
      </c>
      <c r="G1556">
        <v>14.8287</v>
      </c>
      <c r="H1556">
        <v>0.93300000000000005</v>
      </c>
    </row>
    <row r="1557" spans="1:8" x14ac:dyDescent="0.25">
      <c r="A1557" t="s">
        <v>1563</v>
      </c>
      <c r="B1557">
        <v>62247</v>
      </c>
      <c r="C1557">
        <v>7896045104352</v>
      </c>
      <c r="D1557">
        <v>16.899999999999999</v>
      </c>
      <c r="E1557">
        <v>14.33</v>
      </c>
      <c r="F1557" s="3">
        <v>0.15029999999999999</v>
      </c>
      <c r="G1557">
        <v>14.360300000000001</v>
      </c>
      <c r="H1557">
        <v>2.4329999999999998</v>
      </c>
    </row>
    <row r="1558" spans="1:8" x14ac:dyDescent="0.25">
      <c r="A1558" t="s">
        <v>1564</v>
      </c>
      <c r="B1558">
        <v>19191</v>
      </c>
      <c r="C1558">
        <v>7896005804629</v>
      </c>
      <c r="D1558">
        <v>16.899999999999999</v>
      </c>
      <c r="E1558">
        <v>14.23</v>
      </c>
      <c r="F1558" s="3">
        <v>0.1295</v>
      </c>
      <c r="G1558">
        <v>14.712300000000001</v>
      </c>
      <c r="H1558">
        <v>4</v>
      </c>
    </row>
    <row r="1559" spans="1:8" x14ac:dyDescent="0.25">
      <c r="A1559" t="s">
        <v>1565</v>
      </c>
      <c r="B1559">
        <v>66674</v>
      </c>
      <c r="C1559">
        <v>7896045110650</v>
      </c>
      <c r="D1559">
        <v>16.899999999999999</v>
      </c>
      <c r="E1559">
        <v>14.19</v>
      </c>
      <c r="F1559" s="3">
        <v>0.16140000000000002</v>
      </c>
      <c r="G1559">
        <v>14.1729</v>
      </c>
      <c r="H1559">
        <v>0.8</v>
      </c>
    </row>
    <row r="1560" spans="1:8" x14ac:dyDescent="0.25">
      <c r="A1560" t="s">
        <v>1566</v>
      </c>
      <c r="B1560">
        <v>8348</v>
      </c>
      <c r="C1560">
        <v>7896005802892</v>
      </c>
      <c r="D1560">
        <v>16.899999999999999</v>
      </c>
      <c r="E1560">
        <v>13.21</v>
      </c>
      <c r="F1560" s="3">
        <v>0.21859999999999999</v>
      </c>
      <c r="G1560">
        <v>13.206</v>
      </c>
      <c r="H1560">
        <v>6.6669999999999998</v>
      </c>
    </row>
    <row r="1561" spans="1:8" x14ac:dyDescent="0.25">
      <c r="A1561" t="s">
        <v>1567</v>
      </c>
      <c r="B1561">
        <v>8576</v>
      </c>
      <c r="C1561">
        <v>7896005800157</v>
      </c>
      <c r="D1561">
        <v>16.899999999999999</v>
      </c>
      <c r="E1561">
        <v>12.55</v>
      </c>
      <c r="F1561" s="3">
        <v>0.25750000000000001</v>
      </c>
      <c r="G1561">
        <v>12.547499999999999</v>
      </c>
      <c r="H1561">
        <v>11.433</v>
      </c>
    </row>
    <row r="1562" spans="1:8" x14ac:dyDescent="0.25">
      <c r="A1562" t="s">
        <v>1568</v>
      </c>
      <c r="B1562">
        <v>66675</v>
      </c>
      <c r="C1562">
        <v>7896045110643</v>
      </c>
      <c r="D1562">
        <v>16.899999999999999</v>
      </c>
      <c r="E1562">
        <v>13.1</v>
      </c>
      <c r="F1562" s="3">
        <v>0.22739999999999999</v>
      </c>
      <c r="G1562">
        <v>13.0565</v>
      </c>
      <c r="H1562">
        <v>0.23300000000000001</v>
      </c>
    </row>
    <row r="1563" spans="1:8" x14ac:dyDescent="0.25">
      <c r="A1563" t="s">
        <v>1569</v>
      </c>
      <c r="B1563">
        <v>8575</v>
      </c>
      <c r="C1563">
        <v>7896005800850</v>
      </c>
      <c r="D1563">
        <v>20.9</v>
      </c>
      <c r="E1563">
        <v>16.149999999999999</v>
      </c>
      <c r="F1563" s="3">
        <v>0.22760000000000002</v>
      </c>
      <c r="G1563">
        <v>16.1433</v>
      </c>
      <c r="H1563">
        <v>0.66700000000000004</v>
      </c>
    </row>
    <row r="1564" spans="1:8" x14ac:dyDescent="0.25">
      <c r="A1564" t="s">
        <v>1570</v>
      </c>
      <c r="B1564">
        <v>8864</v>
      </c>
      <c r="C1564">
        <v>7896005802625</v>
      </c>
      <c r="D1564">
        <v>21.9</v>
      </c>
      <c r="E1564">
        <v>15.74</v>
      </c>
      <c r="F1564" s="3">
        <v>0.28089999999999998</v>
      </c>
      <c r="G1564">
        <v>15.7475</v>
      </c>
      <c r="H1564">
        <v>0.23300000000000001</v>
      </c>
    </row>
    <row r="1565" spans="1:8" x14ac:dyDescent="0.25">
      <c r="A1565" t="s">
        <v>1571</v>
      </c>
      <c r="B1565">
        <v>9148</v>
      </c>
      <c r="C1565">
        <v>7896005800140</v>
      </c>
      <c r="D1565">
        <v>32.9</v>
      </c>
      <c r="E1565">
        <v>26.29</v>
      </c>
      <c r="F1565" s="3">
        <v>0.2364</v>
      </c>
      <c r="G1565">
        <v>25.123799999999999</v>
      </c>
      <c r="H1565">
        <v>2.633</v>
      </c>
    </row>
    <row r="1566" spans="1:8" x14ac:dyDescent="0.25">
      <c r="A1566" t="s">
        <v>1572</v>
      </c>
      <c r="B1566">
        <v>67601</v>
      </c>
      <c r="C1566">
        <v>7896089051100</v>
      </c>
      <c r="D1566">
        <v>19.899999999999999</v>
      </c>
      <c r="E1566">
        <v>1.85</v>
      </c>
      <c r="F1566" s="3">
        <v>0.90689999999999993</v>
      </c>
      <c r="G1566">
        <v>1.8535999999999999</v>
      </c>
      <c r="H1566">
        <v>2.4670000000000001</v>
      </c>
    </row>
    <row r="1567" spans="1:8" x14ac:dyDescent="0.25">
      <c r="A1567" t="s">
        <v>1573</v>
      </c>
      <c r="B1567">
        <v>67603</v>
      </c>
      <c r="C1567">
        <v>7896089051063</v>
      </c>
      <c r="D1567">
        <v>19.899999999999999</v>
      </c>
      <c r="E1567">
        <v>1.85</v>
      </c>
      <c r="F1567" s="3">
        <v>0.90689999999999993</v>
      </c>
      <c r="G1567">
        <v>1.8534999999999999</v>
      </c>
      <c r="H1567">
        <v>2.2000000000000002</v>
      </c>
    </row>
    <row r="1568" spans="1:8" x14ac:dyDescent="0.25">
      <c r="A1568" t="s">
        <v>1574</v>
      </c>
      <c r="B1568">
        <v>67602</v>
      </c>
      <c r="C1568">
        <v>7896089051087</v>
      </c>
      <c r="D1568">
        <v>19.899999999999999</v>
      </c>
      <c r="E1568">
        <v>4.5599999999999996</v>
      </c>
      <c r="F1568" s="3">
        <v>0.72199999999999998</v>
      </c>
      <c r="G1568">
        <v>5.5331000000000001</v>
      </c>
      <c r="H1568">
        <v>1.633</v>
      </c>
    </row>
    <row r="1569" spans="1:8" x14ac:dyDescent="0.25">
      <c r="A1569" t="s">
        <v>1575</v>
      </c>
      <c r="B1569">
        <v>62389</v>
      </c>
      <c r="C1569">
        <v>7896348300840</v>
      </c>
      <c r="D1569">
        <v>16.899999999999999</v>
      </c>
      <c r="E1569">
        <v>12.7</v>
      </c>
      <c r="F1569" s="3">
        <v>0.21170000000000003</v>
      </c>
      <c r="G1569">
        <v>13.321999999999999</v>
      </c>
      <c r="H1569">
        <v>0.7</v>
      </c>
    </row>
    <row r="1570" spans="1:8" x14ac:dyDescent="0.25">
      <c r="A1570" t="s">
        <v>1576</v>
      </c>
      <c r="B1570">
        <v>4506</v>
      </c>
      <c r="C1570">
        <v>7891021007290</v>
      </c>
      <c r="D1570">
        <v>16.899999999999999</v>
      </c>
      <c r="E1570">
        <v>12.82</v>
      </c>
      <c r="F1570" s="3">
        <v>0.2402</v>
      </c>
      <c r="G1570">
        <v>12.8405</v>
      </c>
      <c r="H1570">
        <v>0.16700000000000001</v>
      </c>
    </row>
    <row r="1571" spans="1:8" x14ac:dyDescent="0.25">
      <c r="A1571" t="s">
        <v>1577</v>
      </c>
      <c r="B1571">
        <v>69022</v>
      </c>
      <c r="C1571">
        <v>7896348301496</v>
      </c>
      <c r="D1571">
        <v>16.899999999999999</v>
      </c>
      <c r="E1571">
        <v>13.8</v>
      </c>
      <c r="F1571" s="3">
        <v>0.1832</v>
      </c>
      <c r="G1571">
        <v>13.803900000000001</v>
      </c>
      <c r="H1571">
        <v>0.2</v>
      </c>
    </row>
    <row r="1572" spans="1:8" x14ac:dyDescent="0.25">
      <c r="A1572" t="s">
        <v>1578</v>
      </c>
      <c r="B1572">
        <v>4507</v>
      </c>
      <c r="C1572">
        <v>7891021007078</v>
      </c>
      <c r="D1572">
        <v>16.899999999999999</v>
      </c>
      <c r="E1572">
        <v>12.85</v>
      </c>
      <c r="F1572" s="3">
        <v>0.23910000000000001</v>
      </c>
      <c r="G1572">
        <v>12.858499999999999</v>
      </c>
      <c r="H1572">
        <v>1.6</v>
      </c>
    </row>
    <row r="1573" spans="1:8" x14ac:dyDescent="0.25">
      <c r="A1573" t="s">
        <v>1579</v>
      </c>
      <c r="B1573">
        <v>25069</v>
      </c>
      <c r="C1573">
        <v>7891021007313</v>
      </c>
      <c r="D1573">
        <v>22.9</v>
      </c>
      <c r="E1573">
        <v>17.649999999999999</v>
      </c>
      <c r="F1573" s="3">
        <v>0.2291</v>
      </c>
      <c r="G1573">
        <v>17.654299999999999</v>
      </c>
      <c r="H1573">
        <v>0.16700000000000001</v>
      </c>
    </row>
    <row r="1574" spans="1:8" x14ac:dyDescent="0.25">
      <c r="A1574" t="s">
        <v>1580</v>
      </c>
      <c r="B1574">
        <v>27543</v>
      </c>
      <c r="C1574">
        <v>7896005805701</v>
      </c>
      <c r="D1574">
        <v>23.97</v>
      </c>
      <c r="E1574">
        <v>14.66</v>
      </c>
      <c r="F1574" s="3">
        <v>0.36119999999999997</v>
      </c>
      <c r="G1574">
        <v>15.3126</v>
      </c>
      <c r="H1574">
        <v>4.0670000000000002</v>
      </c>
    </row>
    <row r="1575" spans="1:8" x14ac:dyDescent="0.25">
      <c r="A1575" t="s">
        <v>1581</v>
      </c>
      <c r="B1575">
        <v>26692</v>
      </c>
      <c r="C1575">
        <v>7896005805718</v>
      </c>
      <c r="D1575">
        <v>23.97</v>
      </c>
      <c r="E1575">
        <v>14.61</v>
      </c>
      <c r="F1575" s="3">
        <v>0.3871</v>
      </c>
      <c r="G1575">
        <v>14.690300000000001</v>
      </c>
      <c r="H1575">
        <v>7.8330000000000002</v>
      </c>
    </row>
    <row r="1576" spans="1:8" x14ac:dyDescent="0.25">
      <c r="A1576" t="s">
        <v>1582</v>
      </c>
      <c r="B1576">
        <v>17291</v>
      </c>
      <c r="C1576">
        <v>7896005805121</v>
      </c>
      <c r="D1576">
        <v>23.97</v>
      </c>
      <c r="E1576">
        <v>15.42</v>
      </c>
      <c r="F1576" s="3">
        <v>0.35979999999999995</v>
      </c>
      <c r="G1576">
        <v>15.345000000000001</v>
      </c>
      <c r="H1576">
        <v>4.8</v>
      </c>
    </row>
    <row r="1577" spans="1:8" x14ac:dyDescent="0.25">
      <c r="A1577" t="s">
        <v>1583</v>
      </c>
      <c r="B1577">
        <v>55306</v>
      </c>
      <c r="C1577">
        <v>7896005810323</v>
      </c>
      <c r="D1577">
        <v>23.97</v>
      </c>
      <c r="E1577">
        <v>15.21</v>
      </c>
      <c r="F1577" s="3">
        <v>0.36420000000000002</v>
      </c>
      <c r="G1577">
        <v>15.241199999999999</v>
      </c>
      <c r="H1577">
        <v>7.3</v>
      </c>
    </row>
    <row r="1578" spans="1:8" x14ac:dyDescent="0.25">
      <c r="A1578" t="s">
        <v>1584</v>
      </c>
      <c r="B1578">
        <v>17292</v>
      </c>
      <c r="C1578">
        <v>7896005805077</v>
      </c>
      <c r="D1578">
        <v>23.97</v>
      </c>
      <c r="E1578">
        <v>15.11</v>
      </c>
      <c r="F1578" s="3">
        <v>0.37770000000000004</v>
      </c>
      <c r="G1578">
        <v>14.917400000000001</v>
      </c>
      <c r="H1578">
        <v>9.5670000000000002</v>
      </c>
    </row>
    <row r="1579" spans="1:8" x14ac:dyDescent="0.25">
      <c r="A1579" t="s">
        <v>1585</v>
      </c>
      <c r="B1579">
        <v>50316</v>
      </c>
      <c r="C1579">
        <v>7896005807828</v>
      </c>
      <c r="D1579">
        <v>23.97</v>
      </c>
      <c r="E1579">
        <v>17.12</v>
      </c>
      <c r="F1579" s="3">
        <v>0.28600000000000003</v>
      </c>
      <c r="G1579">
        <v>17.1158</v>
      </c>
      <c r="H1579">
        <v>1.6</v>
      </c>
    </row>
    <row r="1580" spans="1:8" x14ac:dyDescent="0.25">
      <c r="A1580" t="s">
        <v>1586</v>
      </c>
      <c r="B1580">
        <v>32945</v>
      </c>
      <c r="C1580">
        <v>7896005806203</v>
      </c>
      <c r="D1580">
        <v>23.97</v>
      </c>
      <c r="E1580">
        <v>15.42</v>
      </c>
      <c r="F1580" s="3">
        <v>0.35710000000000003</v>
      </c>
      <c r="G1580">
        <v>15.410399999999999</v>
      </c>
      <c r="H1580">
        <v>2.6</v>
      </c>
    </row>
    <row r="1581" spans="1:8" x14ac:dyDescent="0.25">
      <c r="A1581" t="s">
        <v>1587</v>
      </c>
      <c r="B1581">
        <v>17294</v>
      </c>
      <c r="C1581">
        <v>7896005805138</v>
      </c>
      <c r="D1581">
        <v>23.97</v>
      </c>
      <c r="E1581">
        <v>15.46</v>
      </c>
      <c r="F1581" s="3">
        <v>0.35310000000000002</v>
      </c>
      <c r="G1581">
        <v>15.5062</v>
      </c>
      <c r="H1581">
        <v>4.7670000000000003</v>
      </c>
    </row>
    <row r="1582" spans="1:8" x14ac:dyDescent="0.25">
      <c r="A1582" t="s">
        <v>1588</v>
      </c>
      <c r="B1582">
        <v>66689</v>
      </c>
      <c r="C1582">
        <v>7896045111251</v>
      </c>
      <c r="D1582">
        <v>23.97</v>
      </c>
      <c r="E1582">
        <v>17.079999999999998</v>
      </c>
      <c r="F1582" s="3">
        <v>0.28720000000000001</v>
      </c>
      <c r="G1582">
        <v>17.086200000000002</v>
      </c>
      <c r="H1582">
        <v>1.8</v>
      </c>
    </row>
    <row r="1583" spans="1:8" x14ac:dyDescent="0.25">
      <c r="A1583" t="s">
        <v>1589</v>
      </c>
      <c r="B1583">
        <v>58611</v>
      </c>
      <c r="C1583">
        <v>7896045102570</v>
      </c>
      <c r="D1583">
        <v>23.97</v>
      </c>
      <c r="E1583">
        <v>16.47</v>
      </c>
      <c r="F1583" s="3">
        <v>0.3115</v>
      </c>
      <c r="G1583">
        <v>16.502800000000001</v>
      </c>
      <c r="H1583">
        <v>7.367</v>
      </c>
    </row>
    <row r="1584" spans="1:8" x14ac:dyDescent="0.25">
      <c r="A1584" t="s">
        <v>1590</v>
      </c>
      <c r="B1584">
        <v>37682</v>
      </c>
      <c r="C1584">
        <v>7896005805022</v>
      </c>
      <c r="D1584">
        <v>23.97</v>
      </c>
      <c r="E1584">
        <v>13.8</v>
      </c>
      <c r="F1584" s="3">
        <v>0.42229999999999995</v>
      </c>
      <c r="G1584">
        <v>13.846399999999999</v>
      </c>
      <c r="H1584">
        <v>2.7669999999999999</v>
      </c>
    </row>
    <row r="1585" spans="1:8" x14ac:dyDescent="0.25">
      <c r="A1585" t="s">
        <v>1591</v>
      </c>
      <c r="B1585">
        <v>17288</v>
      </c>
      <c r="C1585">
        <v>7896005805107</v>
      </c>
      <c r="D1585">
        <v>23.97</v>
      </c>
      <c r="E1585">
        <v>15.47</v>
      </c>
      <c r="F1585" s="3">
        <v>0.35700000000000004</v>
      </c>
      <c r="G1585">
        <v>15.4125</v>
      </c>
      <c r="H1585">
        <v>7.3330000000000002</v>
      </c>
    </row>
    <row r="1586" spans="1:8" x14ac:dyDescent="0.25">
      <c r="A1586" t="s">
        <v>1592</v>
      </c>
      <c r="B1586">
        <v>17289</v>
      </c>
      <c r="C1586">
        <v>7896005805114</v>
      </c>
      <c r="D1586">
        <v>23.97</v>
      </c>
      <c r="E1586">
        <v>14.35</v>
      </c>
      <c r="F1586" s="3">
        <v>0.39490000000000003</v>
      </c>
      <c r="G1586">
        <v>14.5045</v>
      </c>
      <c r="H1586">
        <v>3.6</v>
      </c>
    </row>
    <row r="1587" spans="1:8" x14ac:dyDescent="0.25">
      <c r="A1587" t="s">
        <v>1593</v>
      </c>
      <c r="B1587">
        <v>66688</v>
      </c>
      <c r="C1587">
        <v>7896045101733</v>
      </c>
      <c r="D1587">
        <v>23.97</v>
      </c>
      <c r="E1587">
        <v>15.53</v>
      </c>
      <c r="F1587" s="3">
        <v>0.35240000000000005</v>
      </c>
      <c r="G1587">
        <v>15.523300000000001</v>
      </c>
      <c r="H1587">
        <v>2.133</v>
      </c>
    </row>
    <row r="1588" spans="1:8" x14ac:dyDescent="0.25">
      <c r="A1588" t="s">
        <v>1594</v>
      </c>
      <c r="B1588">
        <v>55307</v>
      </c>
      <c r="C1588">
        <v>7896005810057</v>
      </c>
      <c r="D1588">
        <v>23.97</v>
      </c>
      <c r="E1588">
        <v>15.33</v>
      </c>
      <c r="F1588" s="3">
        <v>0.36709999999999998</v>
      </c>
      <c r="G1588">
        <v>15.17</v>
      </c>
      <c r="H1588">
        <v>3.133</v>
      </c>
    </row>
    <row r="1589" spans="1:8" x14ac:dyDescent="0.25">
      <c r="A1589" t="s">
        <v>1595</v>
      </c>
      <c r="B1589">
        <v>51258</v>
      </c>
      <c r="C1589">
        <v>7896005808542</v>
      </c>
      <c r="D1589">
        <v>23.97</v>
      </c>
      <c r="E1589">
        <v>16.63</v>
      </c>
      <c r="F1589" s="3">
        <v>0.30620000000000003</v>
      </c>
      <c r="G1589">
        <v>16.631</v>
      </c>
      <c r="H1589">
        <v>1.167</v>
      </c>
    </row>
    <row r="1590" spans="1:8" x14ac:dyDescent="0.25">
      <c r="A1590" t="s">
        <v>1596</v>
      </c>
      <c r="B1590">
        <v>17286</v>
      </c>
      <c r="C1590">
        <v>7896005804995</v>
      </c>
      <c r="D1590">
        <v>23.97</v>
      </c>
      <c r="E1590">
        <v>14.11</v>
      </c>
      <c r="F1590" s="3">
        <v>0.40240000000000004</v>
      </c>
      <c r="G1590">
        <v>14.3254</v>
      </c>
      <c r="H1590">
        <v>5.8</v>
      </c>
    </row>
    <row r="1591" spans="1:8" x14ac:dyDescent="0.25">
      <c r="A1591" t="s">
        <v>1597</v>
      </c>
      <c r="B1591">
        <v>17262</v>
      </c>
      <c r="C1591">
        <v>7896005805008</v>
      </c>
      <c r="D1591">
        <v>23.97</v>
      </c>
      <c r="E1591">
        <v>14.69</v>
      </c>
      <c r="F1591" s="3">
        <v>0.3861</v>
      </c>
      <c r="G1591">
        <v>14.7141</v>
      </c>
      <c r="H1591">
        <v>6.2670000000000003</v>
      </c>
    </row>
    <row r="1592" spans="1:8" x14ac:dyDescent="0.25">
      <c r="A1592" t="s">
        <v>1598</v>
      </c>
      <c r="B1592">
        <v>17287</v>
      </c>
      <c r="C1592">
        <v>7896005805015</v>
      </c>
      <c r="D1592">
        <v>23.97</v>
      </c>
      <c r="E1592">
        <v>14.84</v>
      </c>
      <c r="F1592" s="3">
        <v>0.39159999999999995</v>
      </c>
      <c r="G1592">
        <v>14.583299999999999</v>
      </c>
      <c r="H1592">
        <v>8.5</v>
      </c>
    </row>
    <row r="1593" spans="1:8" x14ac:dyDescent="0.25">
      <c r="A1593" t="s">
        <v>1599</v>
      </c>
      <c r="B1593">
        <v>62234</v>
      </c>
      <c r="C1593">
        <v>7896045104871</v>
      </c>
      <c r="D1593">
        <v>23.97</v>
      </c>
      <c r="E1593">
        <v>16.52</v>
      </c>
      <c r="F1593" s="3">
        <v>0.30959999999999999</v>
      </c>
      <c r="G1593">
        <v>16.549900000000001</v>
      </c>
      <c r="H1593">
        <v>3.7</v>
      </c>
    </row>
    <row r="1594" spans="1:8" x14ac:dyDescent="0.25">
      <c r="A1594" t="s">
        <v>1600</v>
      </c>
      <c r="B1594">
        <v>68648</v>
      </c>
      <c r="C1594">
        <v>7896045114092</v>
      </c>
      <c r="D1594">
        <v>23.97</v>
      </c>
      <c r="E1594">
        <v>14.51</v>
      </c>
      <c r="F1594" s="3">
        <v>0.40689999999999998</v>
      </c>
      <c r="G1594">
        <v>14.2158</v>
      </c>
      <c r="H1594">
        <v>2</v>
      </c>
    </row>
    <row r="1595" spans="1:8" x14ac:dyDescent="0.25">
      <c r="A1595" t="s">
        <v>1601</v>
      </c>
      <c r="B1595">
        <v>17290</v>
      </c>
      <c r="C1595">
        <v>7896005805039</v>
      </c>
      <c r="D1595">
        <v>23.97</v>
      </c>
      <c r="E1595">
        <v>14.65</v>
      </c>
      <c r="F1595" s="3">
        <v>0.35969999999999996</v>
      </c>
      <c r="G1595">
        <v>13.131500000000001</v>
      </c>
      <c r="H1595">
        <v>0.36699999999999999</v>
      </c>
    </row>
    <row r="1596" spans="1:8" x14ac:dyDescent="0.25">
      <c r="A1596" t="s">
        <v>1602</v>
      </c>
      <c r="B1596">
        <v>32946</v>
      </c>
      <c r="C1596">
        <v>7896005806210</v>
      </c>
      <c r="D1596">
        <v>23.97</v>
      </c>
      <c r="E1596">
        <v>15.31</v>
      </c>
      <c r="F1596" s="3">
        <v>0.33679999999999999</v>
      </c>
      <c r="G1596">
        <v>15.896000000000001</v>
      </c>
      <c r="H1596">
        <v>0.33300000000000002</v>
      </c>
    </row>
    <row r="1597" spans="1:8" x14ac:dyDescent="0.25">
      <c r="A1597" t="s">
        <v>1603</v>
      </c>
      <c r="B1597">
        <v>56771</v>
      </c>
      <c r="C1597">
        <v>7896045100552</v>
      </c>
      <c r="D1597">
        <v>23.97</v>
      </c>
      <c r="E1597">
        <v>14.22</v>
      </c>
      <c r="F1597" s="3">
        <v>0.39829999999999999</v>
      </c>
      <c r="G1597">
        <v>12.2056</v>
      </c>
      <c r="H1597">
        <v>0.433</v>
      </c>
    </row>
    <row r="1598" spans="1:8" x14ac:dyDescent="0.25">
      <c r="A1598" t="s">
        <v>1604</v>
      </c>
      <c r="B1598">
        <v>66683</v>
      </c>
      <c r="C1598">
        <v>7896045112289</v>
      </c>
      <c r="D1598">
        <v>23.97</v>
      </c>
      <c r="E1598">
        <v>14.07</v>
      </c>
      <c r="F1598" s="3">
        <v>0.2984</v>
      </c>
      <c r="G1598">
        <v>10.2851</v>
      </c>
      <c r="H1598">
        <v>0.36699999999999999</v>
      </c>
    </row>
    <row r="1599" spans="1:8" x14ac:dyDescent="0.25">
      <c r="A1599" t="s">
        <v>1605</v>
      </c>
      <c r="B1599">
        <v>62227</v>
      </c>
      <c r="C1599">
        <v>7896045111299</v>
      </c>
      <c r="D1599">
        <v>20.99</v>
      </c>
      <c r="E1599">
        <v>12.98</v>
      </c>
      <c r="F1599" s="3">
        <v>0.39429999999999998</v>
      </c>
      <c r="G1599">
        <v>12.7135</v>
      </c>
      <c r="H1599">
        <v>6.1</v>
      </c>
    </row>
    <row r="1600" spans="1:8" x14ac:dyDescent="0.25">
      <c r="A1600" t="s">
        <v>1606</v>
      </c>
      <c r="B1600">
        <v>68650</v>
      </c>
      <c r="C1600">
        <v>7896045113972</v>
      </c>
      <c r="D1600">
        <v>20.99</v>
      </c>
      <c r="E1600">
        <v>12.72</v>
      </c>
      <c r="F1600" s="3">
        <v>0.40139999999999998</v>
      </c>
      <c r="G1600">
        <v>12.5639</v>
      </c>
      <c r="H1600">
        <v>4.3</v>
      </c>
    </row>
    <row r="1601" spans="1:8" x14ac:dyDescent="0.25">
      <c r="A1601" t="s">
        <v>1607</v>
      </c>
      <c r="B1601">
        <v>68655</v>
      </c>
      <c r="C1601">
        <v>7896045112685</v>
      </c>
      <c r="D1601">
        <v>20.99</v>
      </c>
      <c r="E1601">
        <v>13.04</v>
      </c>
      <c r="F1601" s="3">
        <v>0.38030000000000003</v>
      </c>
      <c r="G1601">
        <v>13.007899999999999</v>
      </c>
      <c r="H1601">
        <v>1.9670000000000001</v>
      </c>
    </row>
    <row r="1602" spans="1:8" x14ac:dyDescent="0.25">
      <c r="A1602" t="s">
        <v>1608</v>
      </c>
      <c r="B1602">
        <v>62225</v>
      </c>
      <c r="C1602">
        <v>7896045111312</v>
      </c>
      <c r="D1602">
        <v>20.99</v>
      </c>
      <c r="E1602">
        <v>12.68</v>
      </c>
      <c r="F1602" s="3">
        <v>0.4153</v>
      </c>
      <c r="G1602">
        <v>12.2719</v>
      </c>
      <c r="H1602">
        <v>6.4329999999999998</v>
      </c>
    </row>
    <row r="1603" spans="1:8" x14ac:dyDescent="0.25">
      <c r="A1603" t="s">
        <v>1609</v>
      </c>
      <c r="B1603">
        <v>68651</v>
      </c>
      <c r="C1603">
        <v>7896045113880</v>
      </c>
      <c r="D1603">
        <v>20.99</v>
      </c>
      <c r="E1603">
        <v>12.39</v>
      </c>
      <c r="F1603" s="3">
        <v>0.40630000000000005</v>
      </c>
      <c r="G1603">
        <v>12.4618</v>
      </c>
      <c r="H1603">
        <v>1.2330000000000001</v>
      </c>
    </row>
    <row r="1604" spans="1:8" x14ac:dyDescent="0.25">
      <c r="A1604" t="s">
        <v>1610</v>
      </c>
      <c r="B1604">
        <v>62226</v>
      </c>
      <c r="C1604">
        <v>7896045111282</v>
      </c>
      <c r="D1604">
        <v>20.99</v>
      </c>
      <c r="E1604">
        <v>12.84</v>
      </c>
      <c r="F1604" s="3">
        <v>0.39770000000000005</v>
      </c>
      <c r="G1604">
        <v>12.641400000000001</v>
      </c>
      <c r="H1604">
        <v>6.867</v>
      </c>
    </row>
    <row r="1605" spans="1:8" x14ac:dyDescent="0.25">
      <c r="A1605" t="s">
        <v>1611</v>
      </c>
      <c r="B1605">
        <v>68649</v>
      </c>
      <c r="C1605">
        <v>7896045113965</v>
      </c>
      <c r="D1605">
        <v>20.99</v>
      </c>
      <c r="E1605">
        <v>12.38</v>
      </c>
      <c r="F1605" s="3">
        <v>0.4073</v>
      </c>
      <c r="G1605">
        <v>12.4406</v>
      </c>
      <c r="H1605">
        <v>2.6669999999999998</v>
      </c>
    </row>
    <row r="1606" spans="1:8" x14ac:dyDescent="0.25">
      <c r="A1606" t="s">
        <v>1612</v>
      </c>
      <c r="B1606">
        <v>67023</v>
      </c>
      <c r="C1606">
        <v>7896045112678</v>
      </c>
      <c r="D1606">
        <v>23.97</v>
      </c>
      <c r="E1606">
        <v>16.309999999999999</v>
      </c>
      <c r="F1606" s="3">
        <v>0.31379999999999997</v>
      </c>
      <c r="G1606">
        <v>16.448899999999998</v>
      </c>
      <c r="H1606">
        <v>2.0329999999999999</v>
      </c>
    </row>
    <row r="1607" spans="1:8" x14ac:dyDescent="0.25">
      <c r="A1607" t="s">
        <v>1613</v>
      </c>
      <c r="B1607">
        <v>67022</v>
      </c>
      <c r="C1607">
        <v>7896045112661</v>
      </c>
      <c r="D1607">
        <v>23.97</v>
      </c>
      <c r="E1607">
        <v>16.72</v>
      </c>
      <c r="F1607" s="3">
        <v>0.29370000000000002</v>
      </c>
      <c r="G1607">
        <v>16.9298</v>
      </c>
      <c r="H1607">
        <v>1.333</v>
      </c>
    </row>
    <row r="1608" spans="1:8" x14ac:dyDescent="0.25">
      <c r="A1608" t="s">
        <v>1614</v>
      </c>
      <c r="B1608">
        <v>62233</v>
      </c>
      <c r="C1608">
        <v>7896045104741</v>
      </c>
      <c r="D1608">
        <v>23.97</v>
      </c>
      <c r="E1608">
        <v>16.78</v>
      </c>
      <c r="F1608" s="3">
        <v>0.22359999999999999</v>
      </c>
      <c r="G1608">
        <v>12.0794</v>
      </c>
      <c r="H1608">
        <v>0.433</v>
      </c>
    </row>
    <row r="1609" spans="1:8" x14ac:dyDescent="0.25">
      <c r="A1609" t="s">
        <v>1615</v>
      </c>
      <c r="B1609">
        <v>63705</v>
      </c>
      <c r="C1609">
        <v>7898952174787</v>
      </c>
      <c r="D1609">
        <v>29.9</v>
      </c>
      <c r="E1609">
        <v>17.12</v>
      </c>
      <c r="F1609" s="3">
        <v>0.42729999999999996</v>
      </c>
      <c r="G1609">
        <v>17.122900000000001</v>
      </c>
      <c r="H1609">
        <v>0.16700000000000001</v>
      </c>
    </row>
    <row r="1610" spans="1:8" x14ac:dyDescent="0.25">
      <c r="A1610" t="s">
        <v>1616</v>
      </c>
      <c r="B1610">
        <v>63706</v>
      </c>
      <c r="C1610">
        <v>7898952174794</v>
      </c>
      <c r="D1610">
        <v>29.9</v>
      </c>
      <c r="E1610">
        <v>18.149999999999999</v>
      </c>
      <c r="F1610" s="3">
        <v>0.39299999999999996</v>
      </c>
      <c r="G1610">
        <v>18.148199999999999</v>
      </c>
      <c r="H1610">
        <v>0.23300000000000001</v>
      </c>
    </row>
    <row r="1611" spans="1:8" x14ac:dyDescent="0.25">
      <c r="A1611" t="s">
        <v>1617</v>
      </c>
      <c r="B1611">
        <v>60502</v>
      </c>
      <c r="C1611">
        <v>7898952174558</v>
      </c>
      <c r="D1611">
        <v>29.9</v>
      </c>
      <c r="E1611">
        <v>17.48</v>
      </c>
      <c r="F1611" s="3">
        <v>0.40350000000000003</v>
      </c>
      <c r="G1611">
        <v>17.834900000000001</v>
      </c>
      <c r="H1611">
        <v>0.93300000000000005</v>
      </c>
    </row>
    <row r="1612" spans="1:8" x14ac:dyDescent="0.25">
      <c r="A1612" t="s">
        <v>1618</v>
      </c>
      <c r="B1612">
        <v>60499</v>
      </c>
      <c r="C1612">
        <v>7898922711554</v>
      </c>
      <c r="D1612">
        <v>29.9</v>
      </c>
      <c r="E1612">
        <v>16.98</v>
      </c>
      <c r="F1612" s="3">
        <v>0.42969999999999997</v>
      </c>
      <c r="G1612">
        <v>17.053000000000001</v>
      </c>
      <c r="H1612">
        <v>1.2669999999999999</v>
      </c>
    </row>
    <row r="1613" spans="1:8" x14ac:dyDescent="0.25">
      <c r="A1613" t="s">
        <v>1619</v>
      </c>
      <c r="B1613">
        <v>60498</v>
      </c>
      <c r="C1613">
        <v>7898952174381</v>
      </c>
      <c r="D1613">
        <v>29.9</v>
      </c>
      <c r="E1613">
        <v>16.95</v>
      </c>
      <c r="F1613" s="3">
        <v>0.42950000000000005</v>
      </c>
      <c r="G1613">
        <v>17.0594</v>
      </c>
      <c r="H1613">
        <v>2.3330000000000002</v>
      </c>
    </row>
    <row r="1614" spans="1:8" x14ac:dyDescent="0.25">
      <c r="A1614" t="s">
        <v>1620</v>
      </c>
      <c r="B1614">
        <v>60501</v>
      </c>
      <c r="C1614">
        <v>7898952174503</v>
      </c>
      <c r="D1614">
        <v>29.9</v>
      </c>
      <c r="E1614">
        <v>17.5</v>
      </c>
      <c r="F1614" s="3">
        <v>0.40490000000000004</v>
      </c>
      <c r="G1614">
        <v>17.793600000000001</v>
      </c>
      <c r="H1614">
        <v>1.9330000000000001</v>
      </c>
    </row>
    <row r="1615" spans="1:8" x14ac:dyDescent="0.25">
      <c r="A1615" t="s">
        <v>1621</v>
      </c>
      <c r="B1615">
        <v>61987</v>
      </c>
      <c r="C1615">
        <v>7898952174091</v>
      </c>
      <c r="D1615">
        <v>29.9</v>
      </c>
      <c r="E1615">
        <v>18.55</v>
      </c>
      <c r="F1615" s="3">
        <v>0.37959999999999999</v>
      </c>
      <c r="G1615">
        <v>18.550899999999999</v>
      </c>
      <c r="H1615">
        <v>0.4</v>
      </c>
    </row>
    <row r="1616" spans="1:8" x14ac:dyDescent="0.25">
      <c r="A1616" t="s">
        <v>1622</v>
      </c>
      <c r="B1616">
        <v>61988</v>
      </c>
      <c r="C1616">
        <v>7898952174145</v>
      </c>
      <c r="D1616">
        <v>29.9</v>
      </c>
      <c r="E1616">
        <v>18.7</v>
      </c>
      <c r="F1616" s="3">
        <v>0.37459999999999999</v>
      </c>
      <c r="G1616">
        <v>18.698799999999999</v>
      </c>
      <c r="H1616">
        <v>0.66700000000000004</v>
      </c>
    </row>
    <row r="1617" spans="1:8" x14ac:dyDescent="0.25">
      <c r="A1617" t="s">
        <v>1623</v>
      </c>
      <c r="B1617">
        <v>60500</v>
      </c>
      <c r="C1617">
        <v>7898952174510</v>
      </c>
      <c r="D1617">
        <v>29.9</v>
      </c>
      <c r="E1617">
        <v>17.8</v>
      </c>
      <c r="F1617" s="3">
        <v>0.4042</v>
      </c>
      <c r="G1617">
        <v>17.8154</v>
      </c>
      <c r="H1617">
        <v>1.0329999999999999</v>
      </c>
    </row>
    <row r="1618" spans="1:8" x14ac:dyDescent="0.25">
      <c r="A1618" t="s">
        <v>1624</v>
      </c>
      <c r="B1618">
        <v>59680</v>
      </c>
      <c r="C1618">
        <v>7898665830499</v>
      </c>
      <c r="D1618">
        <v>30.9</v>
      </c>
      <c r="E1618">
        <v>17.760000000000002</v>
      </c>
      <c r="F1618" s="3">
        <v>0.41749999999999998</v>
      </c>
      <c r="G1618">
        <v>17.999600000000001</v>
      </c>
      <c r="H1618">
        <v>1.2330000000000001</v>
      </c>
    </row>
    <row r="1619" spans="1:8" x14ac:dyDescent="0.25">
      <c r="A1619" t="s">
        <v>1625</v>
      </c>
      <c r="B1619">
        <v>59677</v>
      </c>
      <c r="C1619">
        <v>7898912704085</v>
      </c>
      <c r="D1619">
        <v>30.9</v>
      </c>
      <c r="E1619">
        <v>17.63</v>
      </c>
      <c r="F1619" s="3">
        <v>0.42070000000000002</v>
      </c>
      <c r="G1619">
        <v>17.900300000000001</v>
      </c>
      <c r="H1619">
        <v>0.73299999999999998</v>
      </c>
    </row>
    <row r="1620" spans="1:8" x14ac:dyDescent="0.25">
      <c r="A1620" t="s">
        <v>1626</v>
      </c>
      <c r="B1620">
        <v>59678</v>
      </c>
      <c r="C1620">
        <v>7898912704283</v>
      </c>
      <c r="D1620">
        <v>30.9</v>
      </c>
      <c r="E1620">
        <v>17.61</v>
      </c>
      <c r="F1620" s="3">
        <v>0.42509999999999998</v>
      </c>
      <c r="G1620">
        <v>17.765799999999999</v>
      </c>
      <c r="H1620">
        <v>0.9</v>
      </c>
    </row>
    <row r="1621" spans="1:8" x14ac:dyDescent="0.25">
      <c r="A1621" t="s">
        <v>1627</v>
      </c>
      <c r="B1621">
        <v>59679</v>
      </c>
      <c r="C1621">
        <v>7898912704184</v>
      </c>
      <c r="D1621">
        <v>28.9</v>
      </c>
      <c r="E1621">
        <v>18.399999999999999</v>
      </c>
      <c r="F1621" s="3">
        <v>0.36340000000000006</v>
      </c>
      <c r="G1621">
        <v>18.398099999999999</v>
      </c>
      <c r="H1621">
        <v>0.63300000000000001</v>
      </c>
    </row>
    <row r="1622" spans="1:8" x14ac:dyDescent="0.25">
      <c r="A1622" t="s">
        <v>1628</v>
      </c>
      <c r="B1622">
        <v>68050</v>
      </c>
      <c r="C1622">
        <v>7898665832509</v>
      </c>
      <c r="D1622">
        <v>30.9</v>
      </c>
      <c r="E1622">
        <v>18.399999999999999</v>
      </c>
      <c r="F1622" s="3">
        <v>0.40460000000000002</v>
      </c>
      <c r="G1622">
        <v>18.398099999999999</v>
      </c>
      <c r="H1622">
        <v>3.3000000000000002E-2</v>
      </c>
    </row>
    <row r="1623" spans="1:8" x14ac:dyDescent="0.25">
      <c r="A1623" t="s">
        <v>1629</v>
      </c>
      <c r="B1623">
        <v>68051</v>
      </c>
      <c r="C1623">
        <v>7898665832516</v>
      </c>
      <c r="D1623">
        <v>30.9</v>
      </c>
      <c r="E1623">
        <v>18.399999999999999</v>
      </c>
      <c r="F1623" s="3">
        <v>0.40460000000000002</v>
      </c>
      <c r="G1623">
        <v>18.398099999999999</v>
      </c>
      <c r="H1623">
        <v>0.13300000000000001</v>
      </c>
    </row>
    <row r="1624" spans="1:8" x14ac:dyDescent="0.25">
      <c r="A1624" t="s">
        <v>1630</v>
      </c>
      <c r="B1624">
        <v>68052</v>
      </c>
      <c r="C1624">
        <v>7898665832523</v>
      </c>
      <c r="D1624">
        <v>30.9</v>
      </c>
      <c r="E1624">
        <v>18.399999999999999</v>
      </c>
      <c r="F1624" s="3">
        <v>0.40460000000000002</v>
      </c>
      <c r="G1624">
        <v>18.398099999999999</v>
      </c>
      <c r="H1624">
        <v>6.7000000000000004E-2</v>
      </c>
    </row>
    <row r="1625" spans="1:8" x14ac:dyDescent="0.25">
      <c r="A1625" t="s">
        <v>1631</v>
      </c>
      <c r="B1625">
        <v>63210</v>
      </c>
      <c r="C1625">
        <v>7891000243954</v>
      </c>
      <c r="D1625">
        <v>21.9</v>
      </c>
      <c r="E1625">
        <v>14.75</v>
      </c>
      <c r="F1625" s="3">
        <v>0.31620000000000004</v>
      </c>
      <c r="G1625">
        <v>14.974299999999999</v>
      </c>
      <c r="H1625">
        <v>24.632999999999999</v>
      </c>
    </row>
    <row r="1626" spans="1:8" x14ac:dyDescent="0.25">
      <c r="A1626" t="s">
        <v>1632</v>
      </c>
      <c r="B1626">
        <v>63631</v>
      </c>
      <c r="C1626">
        <v>7891000294376</v>
      </c>
      <c r="D1626">
        <v>21.9</v>
      </c>
      <c r="E1626">
        <v>14.35</v>
      </c>
      <c r="F1626" s="3">
        <v>0.34240000000000004</v>
      </c>
      <c r="G1626">
        <v>14.402200000000001</v>
      </c>
      <c r="H1626">
        <v>24.6</v>
      </c>
    </row>
    <row r="1627" spans="1:8" x14ac:dyDescent="0.25">
      <c r="A1627" t="s">
        <v>1633</v>
      </c>
      <c r="B1627">
        <v>66429</v>
      </c>
      <c r="C1627">
        <v>7891000513408</v>
      </c>
      <c r="D1627">
        <v>21.9</v>
      </c>
      <c r="E1627">
        <v>15.15</v>
      </c>
      <c r="F1627" s="3">
        <v>0.30480000000000002</v>
      </c>
      <c r="G1627">
        <v>15.2247</v>
      </c>
      <c r="H1627">
        <v>6.0670000000000002</v>
      </c>
    </row>
    <row r="1628" spans="1:8" x14ac:dyDescent="0.25">
      <c r="A1628" t="s">
        <v>1634</v>
      </c>
      <c r="B1628">
        <v>65729</v>
      </c>
      <c r="C1628">
        <v>7891000836477</v>
      </c>
      <c r="D1628">
        <v>24.9</v>
      </c>
      <c r="E1628">
        <v>20.420000000000002</v>
      </c>
      <c r="F1628" s="3">
        <v>0.18010000000000001</v>
      </c>
      <c r="G1628">
        <v>20.416499999999999</v>
      </c>
      <c r="H1628">
        <v>4.4329999999999998</v>
      </c>
    </row>
    <row r="1629" spans="1:8" x14ac:dyDescent="0.25">
      <c r="A1629" t="s">
        <v>1635</v>
      </c>
      <c r="B1629">
        <v>66729</v>
      </c>
      <c r="C1629">
        <v>7891000158845</v>
      </c>
      <c r="D1629">
        <v>21.9</v>
      </c>
      <c r="E1629">
        <v>15.89</v>
      </c>
      <c r="F1629" s="3">
        <v>0.2666</v>
      </c>
      <c r="G1629">
        <v>16.061499999999999</v>
      </c>
      <c r="H1629">
        <v>9.4</v>
      </c>
    </row>
    <row r="1630" spans="1:8" x14ac:dyDescent="0.25">
      <c r="A1630" t="s">
        <v>1636</v>
      </c>
      <c r="B1630">
        <v>63644</v>
      </c>
      <c r="C1630">
        <v>7891000907573</v>
      </c>
      <c r="D1630">
        <v>21.9</v>
      </c>
      <c r="E1630">
        <v>14.69</v>
      </c>
      <c r="F1630" s="3">
        <v>0.32929999999999998</v>
      </c>
      <c r="G1630">
        <v>14.6882</v>
      </c>
      <c r="H1630">
        <v>5.5670000000000002</v>
      </c>
    </row>
    <row r="1631" spans="1:8" x14ac:dyDescent="0.25">
      <c r="A1631" t="s">
        <v>1637</v>
      </c>
      <c r="B1631">
        <v>63639</v>
      </c>
      <c r="C1631">
        <v>7891000302750</v>
      </c>
      <c r="D1631">
        <v>21.9</v>
      </c>
      <c r="E1631">
        <v>14.58</v>
      </c>
      <c r="F1631" s="3">
        <v>0.32919999999999999</v>
      </c>
      <c r="G1631">
        <v>14.690300000000001</v>
      </c>
      <c r="H1631">
        <v>12.632999999999999</v>
      </c>
    </row>
    <row r="1632" spans="1:8" x14ac:dyDescent="0.25">
      <c r="A1632" t="s">
        <v>1638</v>
      </c>
      <c r="B1632">
        <v>67781</v>
      </c>
      <c r="C1632">
        <v>7891000586549</v>
      </c>
      <c r="D1632">
        <v>21.9</v>
      </c>
      <c r="E1632">
        <v>15.29</v>
      </c>
      <c r="F1632" s="3">
        <v>0.28960000000000002</v>
      </c>
      <c r="G1632">
        <v>15.557600000000001</v>
      </c>
      <c r="H1632">
        <v>9.1669999999999998</v>
      </c>
    </row>
    <row r="1633" spans="1:8" x14ac:dyDescent="0.25">
      <c r="A1633" t="s">
        <v>1639</v>
      </c>
      <c r="B1633">
        <v>64012</v>
      </c>
      <c r="C1633">
        <v>7891000912645</v>
      </c>
      <c r="D1633">
        <v>22.85</v>
      </c>
      <c r="E1633">
        <v>17.649999999999999</v>
      </c>
      <c r="F1633" s="3">
        <v>0.22690000000000002</v>
      </c>
      <c r="G1633">
        <v>17.6662</v>
      </c>
      <c r="H1633">
        <v>0.8</v>
      </c>
    </row>
    <row r="1634" spans="1:8" x14ac:dyDescent="0.25">
      <c r="A1634" t="s">
        <v>1640</v>
      </c>
      <c r="B1634">
        <v>63634</v>
      </c>
      <c r="C1634">
        <v>7891000621981</v>
      </c>
      <c r="D1634">
        <v>21.71</v>
      </c>
      <c r="E1634">
        <v>14.51</v>
      </c>
      <c r="F1634" s="3">
        <v>0.3221</v>
      </c>
      <c r="G1634">
        <v>14.718999999999999</v>
      </c>
      <c r="H1634">
        <v>24.167000000000002</v>
      </c>
    </row>
    <row r="1635" spans="1:8" x14ac:dyDescent="0.25">
      <c r="A1635" t="s">
        <v>1641</v>
      </c>
      <c r="B1635">
        <v>63633</v>
      </c>
      <c r="C1635">
        <v>7891000291863</v>
      </c>
      <c r="D1635">
        <v>21.45</v>
      </c>
      <c r="E1635">
        <v>14.8</v>
      </c>
      <c r="F1635" s="3">
        <v>0.29870000000000002</v>
      </c>
      <c r="G1635">
        <v>15.0448</v>
      </c>
      <c r="H1635">
        <v>13.067</v>
      </c>
    </row>
    <row r="1636" spans="1:8" x14ac:dyDescent="0.25">
      <c r="A1636" t="s">
        <v>1642</v>
      </c>
      <c r="B1636">
        <v>67787</v>
      </c>
      <c r="C1636">
        <v>7891000401583</v>
      </c>
      <c r="D1636">
        <v>24.9</v>
      </c>
      <c r="E1636">
        <v>18.75</v>
      </c>
      <c r="F1636" s="3">
        <v>0.24719999999999998</v>
      </c>
      <c r="G1636">
        <v>18.745000000000001</v>
      </c>
      <c r="H1636">
        <v>3.0670000000000002</v>
      </c>
    </row>
    <row r="1637" spans="1:8" x14ac:dyDescent="0.25">
      <c r="A1637" t="s">
        <v>1643</v>
      </c>
      <c r="B1637">
        <v>63636</v>
      </c>
      <c r="C1637">
        <v>7891000777084</v>
      </c>
      <c r="D1637">
        <v>24.9</v>
      </c>
      <c r="E1637">
        <v>18.36</v>
      </c>
      <c r="F1637" s="3">
        <v>0.23719999999999999</v>
      </c>
      <c r="G1637">
        <v>16.689800000000002</v>
      </c>
      <c r="H1637">
        <v>6.2670000000000003</v>
      </c>
    </row>
    <row r="1638" spans="1:8" x14ac:dyDescent="0.25">
      <c r="A1638" t="s">
        <v>1644</v>
      </c>
      <c r="B1638">
        <v>63637</v>
      </c>
      <c r="C1638">
        <v>7891000355886</v>
      </c>
      <c r="D1638">
        <v>21.31</v>
      </c>
      <c r="E1638">
        <v>14.75</v>
      </c>
      <c r="F1638" s="3">
        <v>0.26899999999999996</v>
      </c>
      <c r="G1638">
        <v>13.6073</v>
      </c>
      <c r="H1638">
        <v>10.567</v>
      </c>
    </row>
    <row r="1639" spans="1:8" x14ac:dyDescent="0.25">
      <c r="A1639" t="s">
        <v>1645</v>
      </c>
      <c r="B1639">
        <v>63641</v>
      </c>
      <c r="C1639">
        <v>7891000877456</v>
      </c>
      <c r="D1639">
        <v>24.9</v>
      </c>
      <c r="E1639">
        <v>17.829999999999998</v>
      </c>
      <c r="F1639" s="3">
        <v>0.28010000000000002</v>
      </c>
      <c r="G1639">
        <v>17.925799999999999</v>
      </c>
      <c r="H1639">
        <v>3.633</v>
      </c>
    </row>
    <row r="1640" spans="1:8" x14ac:dyDescent="0.25">
      <c r="A1640" t="s">
        <v>1646</v>
      </c>
      <c r="B1640">
        <v>66728</v>
      </c>
      <c r="C1640">
        <v>7891000551615</v>
      </c>
      <c r="D1640">
        <v>21.9</v>
      </c>
      <c r="E1640">
        <v>15.42</v>
      </c>
      <c r="F1640" s="3">
        <v>0.27929999999999999</v>
      </c>
      <c r="G1640">
        <v>15.783799999999999</v>
      </c>
      <c r="H1640">
        <v>6.7670000000000003</v>
      </c>
    </row>
    <row r="1641" spans="1:8" x14ac:dyDescent="0.25">
      <c r="A1641" t="s">
        <v>1647</v>
      </c>
      <c r="B1641">
        <v>63635</v>
      </c>
      <c r="C1641">
        <v>7891000243725</v>
      </c>
      <c r="D1641">
        <v>21.65</v>
      </c>
      <c r="E1641">
        <v>14.97</v>
      </c>
      <c r="F1641" s="3">
        <v>0.30469999999999997</v>
      </c>
      <c r="G1641">
        <v>15.0548</v>
      </c>
      <c r="H1641">
        <v>22.167000000000002</v>
      </c>
    </row>
    <row r="1642" spans="1:8" x14ac:dyDescent="0.25">
      <c r="A1642" t="s">
        <v>1648</v>
      </c>
      <c r="B1642">
        <v>63209</v>
      </c>
      <c r="C1642">
        <v>7891000243787</v>
      </c>
      <c r="D1642">
        <v>21.9</v>
      </c>
      <c r="E1642">
        <v>14.98</v>
      </c>
      <c r="F1642" s="3">
        <v>0.31340000000000001</v>
      </c>
      <c r="G1642">
        <v>15.036799999999999</v>
      </c>
      <c r="H1642">
        <v>29.6</v>
      </c>
    </row>
    <row r="1643" spans="1:8" x14ac:dyDescent="0.25">
      <c r="A1643" t="s">
        <v>1649</v>
      </c>
      <c r="B1643">
        <v>66725</v>
      </c>
      <c r="C1643">
        <v>7891000260982</v>
      </c>
      <c r="D1643">
        <v>24.9</v>
      </c>
      <c r="E1643">
        <v>17.170000000000002</v>
      </c>
      <c r="F1643" s="3">
        <v>0.22579999999999997</v>
      </c>
      <c r="G1643">
        <v>12.4933</v>
      </c>
      <c r="H1643">
        <v>3.0329999999999999</v>
      </c>
    </row>
    <row r="1644" spans="1:8" x14ac:dyDescent="0.25">
      <c r="A1644" t="s">
        <v>1650</v>
      </c>
      <c r="B1644">
        <v>68657</v>
      </c>
      <c r="C1644">
        <v>7891000403587</v>
      </c>
      <c r="D1644">
        <v>24.9</v>
      </c>
      <c r="E1644">
        <v>20.3</v>
      </c>
      <c r="F1644" s="3">
        <v>0.16769999999999999</v>
      </c>
      <c r="G1644">
        <v>18.420200000000001</v>
      </c>
      <c r="H1644">
        <v>4.5</v>
      </c>
    </row>
    <row r="1645" spans="1:8" x14ac:dyDescent="0.25">
      <c r="A1645" t="s">
        <v>1651</v>
      </c>
      <c r="B1645">
        <v>63640</v>
      </c>
      <c r="C1645">
        <v>7891000388655</v>
      </c>
      <c r="D1645">
        <v>20.010000000000002</v>
      </c>
      <c r="E1645">
        <v>14.47</v>
      </c>
      <c r="F1645" s="3">
        <v>0.27750000000000002</v>
      </c>
      <c r="G1645">
        <v>14.458500000000001</v>
      </c>
      <c r="H1645">
        <v>4.5330000000000004</v>
      </c>
    </row>
    <row r="1646" spans="1:8" x14ac:dyDescent="0.25">
      <c r="A1646" t="s">
        <v>1652</v>
      </c>
      <c r="B1646">
        <v>63638</v>
      </c>
      <c r="C1646">
        <v>7891000147238</v>
      </c>
      <c r="D1646">
        <v>21.9</v>
      </c>
      <c r="E1646">
        <v>14.88</v>
      </c>
      <c r="F1646" s="3">
        <v>0.31629999999999997</v>
      </c>
      <c r="G1646">
        <v>14.973599999999999</v>
      </c>
      <c r="H1646">
        <v>9.8000000000000007</v>
      </c>
    </row>
    <row r="1647" spans="1:8" x14ac:dyDescent="0.25">
      <c r="A1647" t="s">
        <v>1653</v>
      </c>
      <c r="B1647">
        <v>66727</v>
      </c>
      <c r="C1647">
        <v>7891000803370</v>
      </c>
      <c r="D1647">
        <v>21.9</v>
      </c>
      <c r="E1647">
        <v>13.89</v>
      </c>
      <c r="F1647" s="3">
        <v>0.36570000000000003</v>
      </c>
      <c r="G1647">
        <v>13.8918</v>
      </c>
      <c r="H1647">
        <v>10.532999999999999</v>
      </c>
    </row>
    <row r="1648" spans="1:8" x14ac:dyDescent="0.25">
      <c r="A1648" t="s">
        <v>1654</v>
      </c>
      <c r="B1648">
        <v>54616</v>
      </c>
      <c r="C1648">
        <v>7891000243688</v>
      </c>
      <c r="D1648">
        <v>15.02</v>
      </c>
      <c r="E1648">
        <v>17.72</v>
      </c>
      <c r="F1648" s="3">
        <v>-0.17059999999999997</v>
      </c>
      <c r="G1648">
        <v>16.195900000000002</v>
      </c>
      <c r="H1648">
        <v>8.8670000000000009</v>
      </c>
    </row>
    <row r="1649" spans="1:8" x14ac:dyDescent="0.25">
      <c r="A1649" t="s">
        <v>1655</v>
      </c>
      <c r="B1649">
        <v>67187</v>
      </c>
      <c r="C1649">
        <v>7891000533871</v>
      </c>
      <c r="D1649">
        <v>24.9</v>
      </c>
      <c r="E1649">
        <v>18.05</v>
      </c>
      <c r="F1649" s="3">
        <v>0.24960000000000002</v>
      </c>
      <c r="G1649">
        <v>16.382200000000001</v>
      </c>
      <c r="H1649">
        <v>9.1669999999999998</v>
      </c>
    </row>
    <row r="1650" spans="1:8" x14ac:dyDescent="0.25">
      <c r="A1650" t="s">
        <v>1656</v>
      </c>
      <c r="B1650">
        <v>44509</v>
      </c>
      <c r="C1650">
        <v>8711000360835</v>
      </c>
      <c r="D1650">
        <v>45.9</v>
      </c>
      <c r="E1650">
        <v>35.71</v>
      </c>
      <c r="F1650" s="3">
        <v>0.222</v>
      </c>
      <c r="G1650">
        <v>35.707999999999998</v>
      </c>
      <c r="H1650">
        <v>1.333</v>
      </c>
    </row>
    <row r="1651" spans="1:8" x14ac:dyDescent="0.25">
      <c r="A1651" t="s">
        <v>1657</v>
      </c>
      <c r="B1651">
        <v>62044</v>
      </c>
      <c r="C1651">
        <v>8711000488218</v>
      </c>
      <c r="D1651">
        <v>29.9</v>
      </c>
      <c r="E1651">
        <v>17.649999999999999</v>
      </c>
      <c r="F1651" s="3">
        <v>0.40710000000000002</v>
      </c>
      <c r="G1651">
        <v>17.7273</v>
      </c>
      <c r="H1651">
        <v>1.167</v>
      </c>
    </row>
    <row r="1652" spans="1:8" x14ac:dyDescent="0.25">
      <c r="A1652" t="s">
        <v>1658</v>
      </c>
      <c r="B1652">
        <v>62045</v>
      </c>
      <c r="C1652">
        <v>8711000488232</v>
      </c>
      <c r="D1652">
        <v>29.9</v>
      </c>
      <c r="E1652">
        <v>17.25</v>
      </c>
      <c r="F1652" s="3">
        <v>0.4194</v>
      </c>
      <c r="G1652">
        <v>17.359000000000002</v>
      </c>
      <c r="H1652">
        <v>1.3</v>
      </c>
    </row>
    <row r="1653" spans="1:8" x14ac:dyDescent="0.25">
      <c r="A1653" t="s">
        <v>1659</v>
      </c>
      <c r="B1653">
        <v>67046</v>
      </c>
      <c r="C1653">
        <v>8711000488195</v>
      </c>
      <c r="D1653">
        <v>29.9</v>
      </c>
      <c r="E1653">
        <v>18.059999999999999</v>
      </c>
      <c r="F1653" s="3">
        <v>0.39369999999999999</v>
      </c>
      <c r="G1653">
        <v>18.1295</v>
      </c>
      <c r="H1653">
        <v>1.2</v>
      </c>
    </row>
    <row r="1654" spans="1:8" x14ac:dyDescent="0.25">
      <c r="A1654" t="s">
        <v>1660</v>
      </c>
      <c r="B1654">
        <v>51642</v>
      </c>
      <c r="C1654">
        <v>8711000362679</v>
      </c>
      <c r="D1654">
        <v>29.9</v>
      </c>
      <c r="E1654">
        <v>17.55</v>
      </c>
      <c r="F1654" s="3">
        <v>0.4168</v>
      </c>
      <c r="G1654">
        <v>17.436199999999999</v>
      </c>
      <c r="H1654">
        <v>1.4670000000000001</v>
      </c>
    </row>
    <row r="1655" spans="1:8" x14ac:dyDescent="0.25">
      <c r="A1655" t="s">
        <v>1661</v>
      </c>
      <c r="B1655">
        <v>44485</v>
      </c>
      <c r="C1655">
        <v>8711000362570</v>
      </c>
      <c r="D1655">
        <v>29.9</v>
      </c>
      <c r="E1655">
        <v>17.670000000000002</v>
      </c>
      <c r="F1655" s="3">
        <v>0.4138</v>
      </c>
      <c r="G1655">
        <v>17.528600000000001</v>
      </c>
      <c r="H1655">
        <v>0.36699999999999999</v>
      </c>
    </row>
    <row r="1656" spans="1:8" x14ac:dyDescent="0.25">
      <c r="A1656" t="s">
        <v>1662</v>
      </c>
      <c r="B1656">
        <v>57519</v>
      </c>
      <c r="C1656">
        <v>8711000460214</v>
      </c>
      <c r="D1656">
        <v>29.9</v>
      </c>
      <c r="E1656">
        <v>19.5</v>
      </c>
      <c r="F1656" s="3">
        <v>0.3483</v>
      </c>
      <c r="G1656">
        <v>19.4863</v>
      </c>
      <c r="H1656">
        <v>0.3</v>
      </c>
    </row>
    <row r="1657" spans="1:8" x14ac:dyDescent="0.25">
      <c r="A1657" t="s">
        <v>1663</v>
      </c>
      <c r="B1657">
        <v>56135</v>
      </c>
      <c r="C1657">
        <v>8711000431108</v>
      </c>
      <c r="D1657">
        <v>29.9</v>
      </c>
      <c r="E1657">
        <v>18.48</v>
      </c>
      <c r="F1657" s="3">
        <v>0.36599999999999999</v>
      </c>
      <c r="G1657">
        <v>18.957899999999999</v>
      </c>
      <c r="H1657">
        <v>0.56699999999999995</v>
      </c>
    </row>
    <row r="1658" spans="1:8" x14ac:dyDescent="0.25">
      <c r="A1658" t="s">
        <v>1664</v>
      </c>
      <c r="B1658">
        <v>57520</v>
      </c>
      <c r="C1658">
        <v>8711000460245</v>
      </c>
      <c r="D1658">
        <v>29.9</v>
      </c>
      <c r="E1658">
        <v>18.420000000000002</v>
      </c>
      <c r="F1658" s="3">
        <v>0.38990000000000002</v>
      </c>
      <c r="G1658">
        <v>18.2422</v>
      </c>
      <c r="H1658">
        <v>0.5</v>
      </c>
    </row>
    <row r="1659" spans="1:8" x14ac:dyDescent="0.25">
      <c r="A1659" t="s">
        <v>1665</v>
      </c>
      <c r="B1659">
        <v>44487</v>
      </c>
      <c r="C1659">
        <v>7896089088335</v>
      </c>
      <c r="D1659">
        <v>29.9</v>
      </c>
      <c r="E1659">
        <v>18.78</v>
      </c>
      <c r="F1659" s="3">
        <v>0.36920000000000003</v>
      </c>
      <c r="G1659">
        <v>18.860499999999998</v>
      </c>
      <c r="H1659">
        <v>1.1000000000000001</v>
      </c>
    </row>
    <row r="1660" spans="1:8" x14ac:dyDescent="0.25">
      <c r="A1660" t="s">
        <v>1666</v>
      </c>
      <c r="B1660">
        <v>44489</v>
      </c>
      <c r="C1660">
        <v>8711000362631</v>
      </c>
      <c r="D1660">
        <v>29.9</v>
      </c>
      <c r="E1660">
        <v>19.8</v>
      </c>
      <c r="F1660" s="3">
        <v>0.33679999999999999</v>
      </c>
      <c r="G1660">
        <v>19.829799999999999</v>
      </c>
      <c r="H1660">
        <v>0.46700000000000003</v>
      </c>
    </row>
    <row r="1661" spans="1:8" x14ac:dyDescent="0.25">
      <c r="A1661" t="s">
        <v>1667</v>
      </c>
      <c r="B1661">
        <v>51643</v>
      </c>
      <c r="C1661">
        <v>8711000362693</v>
      </c>
      <c r="D1661">
        <v>29.9</v>
      </c>
      <c r="E1661">
        <v>17.77</v>
      </c>
      <c r="F1661" s="3">
        <v>0.3992</v>
      </c>
      <c r="G1661">
        <v>17.963699999999999</v>
      </c>
      <c r="H1661">
        <v>0.433</v>
      </c>
    </row>
    <row r="1662" spans="1:8" x14ac:dyDescent="0.25">
      <c r="A1662" t="s">
        <v>1668</v>
      </c>
      <c r="B1662">
        <v>51644</v>
      </c>
      <c r="C1662">
        <v>8711000397466</v>
      </c>
      <c r="D1662">
        <v>29.9</v>
      </c>
      <c r="E1662">
        <v>18.34</v>
      </c>
      <c r="F1662" s="3">
        <v>0.41270000000000001</v>
      </c>
      <c r="G1662">
        <v>17.561</v>
      </c>
      <c r="H1662">
        <v>1.4330000000000001</v>
      </c>
    </row>
    <row r="1663" spans="1:8" x14ac:dyDescent="0.25">
      <c r="A1663" t="s">
        <v>1669</v>
      </c>
      <c r="B1663">
        <v>44486</v>
      </c>
      <c r="C1663">
        <v>8711000362747</v>
      </c>
      <c r="D1663">
        <v>29.9</v>
      </c>
      <c r="E1663">
        <v>19.71</v>
      </c>
      <c r="F1663" s="3">
        <v>0.34380000000000005</v>
      </c>
      <c r="G1663">
        <v>19.621400000000001</v>
      </c>
      <c r="H1663">
        <v>1.167</v>
      </c>
    </row>
    <row r="1664" spans="1:8" x14ac:dyDescent="0.25">
      <c r="A1664" t="s">
        <v>1670</v>
      </c>
      <c r="B1664">
        <v>44484</v>
      </c>
      <c r="C1664">
        <v>8711000362556</v>
      </c>
      <c r="D1664">
        <v>29.9</v>
      </c>
      <c r="E1664">
        <v>17.899999999999999</v>
      </c>
      <c r="F1664" s="3">
        <v>0.3992</v>
      </c>
      <c r="G1664">
        <v>17.963100000000001</v>
      </c>
      <c r="H1664">
        <v>1.4</v>
      </c>
    </row>
    <row r="1665" spans="1:8" x14ac:dyDescent="0.25">
      <c r="A1665" t="s">
        <v>1671</v>
      </c>
      <c r="B1665">
        <v>59671</v>
      </c>
      <c r="C1665">
        <v>8711000471296</v>
      </c>
      <c r="D1665">
        <v>29.9</v>
      </c>
      <c r="E1665">
        <v>17.88</v>
      </c>
      <c r="F1665" s="3">
        <v>0.40570000000000001</v>
      </c>
      <c r="G1665">
        <v>17.7699</v>
      </c>
      <c r="H1665">
        <v>0.83299999999999996</v>
      </c>
    </row>
    <row r="1666" spans="1:8" x14ac:dyDescent="0.25">
      <c r="A1666" t="s">
        <v>1672</v>
      </c>
      <c r="B1666">
        <v>67567</v>
      </c>
      <c r="C1666">
        <v>8003753198200</v>
      </c>
      <c r="D1666">
        <v>59.9</v>
      </c>
      <c r="E1666">
        <v>54.11</v>
      </c>
      <c r="F1666" s="3">
        <v>9.6699999999999994E-2</v>
      </c>
      <c r="G1666">
        <v>54.11</v>
      </c>
      <c r="H1666">
        <v>0</v>
      </c>
    </row>
    <row r="1667" spans="1:8" x14ac:dyDescent="0.25">
      <c r="A1667" t="s">
        <v>1673</v>
      </c>
      <c r="B1667">
        <v>67565</v>
      </c>
      <c r="C1667">
        <v>8003753198149</v>
      </c>
      <c r="D1667">
        <v>59.9</v>
      </c>
      <c r="E1667">
        <v>54.11</v>
      </c>
      <c r="F1667" s="3">
        <v>9.6699999999999994E-2</v>
      </c>
      <c r="G1667">
        <v>54.110599999999998</v>
      </c>
      <c r="H1667">
        <v>3.3000000000000002E-2</v>
      </c>
    </row>
    <row r="1668" spans="1:8" x14ac:dyDescent="0.25">
      <c r="A1668" t="s">
        <v>1674</v>
      </c>
      <c r="B1668">
        <v>67568</v>
      </c>
      <c r="C1668">
        <v>8003753198224</v>
      </c>
      <c r="D1668">
        <v>59.9</v>
      </c>
      <c r="E1668">
        <v>54.1</v>
      </c>
      <c r="F1668" s="3">
        <v>9.69E-2</v>
      </c>
      <c r="G1668">
        <v>54.095500000000001</v>
      </c>
      <c r="H1668">
        <v>0</v>
      </c>
    </row>
    <row r="1669" spans="1:8" x14ac:dyDescent="0.25">
      <c r="A1669" t="s">
        <v>1675</v>
      </c>
      <c r="B1669">
        <v>67566</v>
      </c>
      <c r="C1669">
        <v>8003753198163</v>
      </c>
      <c r="D1669">
        <v>50.53</v>
      </c>
      <c r="E1669">
        <v>54.11</v>
      </c>
      <c r="F1669" s="3">
        <v>-7.0999999999999994E-2</v>
      </c>
      <c r="G1669">
        <v>54.110500000000002</v>
      </c>
      <c r="H1669">
        <v>3.3000000000000002E-2</v>
      </c>
    </row>
    <row r="1670" spans="1:8" x14ac:dyDescent="0.25">
      <c r="A1670" t="s">
        <v>1676</v>
      </c>
      <c r="B1670">
        <v>60516</v>
      </c>
      <c r="C1670">
        <v>8003753158679</v>
      </c>
      <c r="D1670">
        <v>22.99</v>
      </c>
      <c r="E1670">
        <v>18.62</v>
      </c>
      <c r="F1670" s="3">
        <v>0.19010000000000002</v>
      </c>
      <c r="G1670">
        <v>18.6203</v>
      </c>
      <c r="H1670">
        <v>0.76700000000000002</v>
      </c>
    </row>
    <row r="1671" spans="1:8" x14ac:dyDescent="0.25">
      <c r="A1671" t="s">
        <v>1677</v>
      </c>
      <c r="B1671">
        <v>60515</v>
      </c>
      <c r="C1671">
        <v>8003753158709</v>
      </c>
      <c r="D1671">
        <v>22.99</v>
      </c>
      <c r="E1671">
        <v>18.579999999999998</v>
      </c>
      <c r="F1671" s="3">
        <v>0.192</v>
      </c>
      <c r="G1671">
        <v>18.575299999999999</v>
      </c>
      <c r="H1671">
        <v>0.8</v>
      </c>
    </row>
    <row r="1672" spans="1:8" x14ac:dyDescent="0.25">
      <c r="A1672" t="s">
        <v>1678</v>
      </c>
      <c r="B1672">
        <v>60517</v>
      </c>
      <c r="C1672">
        <v>8003753158761</v>
      </c>
      <c r="D1672">
        <v>22.99</v>
      </c>
      <c r="E1672">
        <v>18.7</v>
      </c>
      <c r="F1672" s="3">
        <v>0.1867</v>
      </c>
      <c r="G1672">
        <v>18.697800000000001</v>
      </c>
      <c r="H1672">
        <v>0.93300000000000005</v>
      </c>
    </row>
    <row r="1673" spans="1:8" x14ac:dyDescent="0.25">
      <c r="A1673" t="s">
        <v>1679</v>
      </c>
      <c r="B1673">
        <v>66745</v>
      </c>
      <c r="C1673">
        <v>7896348301076</v>
      </c>
      <c r="D1673">
        <v>23.99</v>
      </c>
      <c r="E1673">
        <v>17.2</v>
      </c>
      <c r="F1673" s="3">
        <v>0.2261</v>
      </c>
      <c r="G1673">
        <v>18.566400000000002</v>
      </c>
      <c r="H1673">
        <v>0.36699999999999999</v>
      </c>
    </row>
    <row r="1674" spans="1:8" x14ac:dyDescent="0.25">
      <c r="A1674" t="s">
        <v>1680</v>
      </c>
      <c r="B1674">
        <v>66748</v>
      </c>
      <c r="C1674">
        <v>7896348301106</v>
      </c>
      <c r="D1674">
        <v>23.99</v>
      </c>
      <c r="E1674">
        <v>17.559999999999999</v>
      </c>
      <c r="F1674" s="3">
        <v>0.2525</v>
      </c>
      <c r="G1674">
        <v>17.933199999999999</v>
      </c>
      <c r="H1674">
        <v>0.8</v>
      </c>
    </row>
    <row r="1675" spans="1:8" x14ac:dyDescent="0.25">
      <c r="A1675" t="s">
        <v>1681</v>
      </c>
      <c r="B1675">
        <v>66747</v>
      </c>
      <c r="C1675">
        <v>7896348301090</v>
      </c>
      <c r="D1675">
        <v>23.99</v>
      </c>
      <c r="E1675">
        <v>17.97</v>
      </c>
      <c r="F1675" s="3">
        <v>0.21660000000000001</v>
      </c>
      <c r="G1675">
        <v>18.793199999999999</v>
      </c>
      <c r="H1675">
        <v>1.1000000000000001</v>
      </c>
    </row>
    <row r="1676" spans="1:8" x14ac:dyDescent="0.25">
      <c r="A1676" t="s">
        <v>1682</v>
      </c>
      <c r="B1676">
        <v>66746</v>
      </c>
      <c r="C1676">
        <v>7896348301083</v>
      </c>
      <c r="D1676">
        <v>23.99</v>
      </c>
      <c r="E1676">
        <v>17.2</v>
      </c>
      <c r="F1676" s="3">
        <v>0.22370000000000001</v>
      </c>
      <c r="G1676">
        <v>18.623899999999999</v>
      </c>
      <c r="H1676">
        <v>0.9</v>
      </c>
    </row>
    <row r="1677" spans="1:8" x14ac:dyDescent="0.25">
      <c r="A1677" t="s">
        <v>1683</v>
      </c>
      <c r="B1677">
        <v>66744</v>
      </c>
      <c r="C1677">
        <v>7896348301069</v>
      </c>
      <c r="D1677">
        <v>23.99</v>
      </c>
      <c r="E1677">
        <v>17.48</v>
      </c>
      <c r="F1677" s="3">
        <v>0.24249999999999999</v>
      </c>
      <c r="G1677">
        <v>18.172799999999999</v>
      </c>
      <c r="H1677">
        <v>0.86699999999999999</v>
      </c>
    </row>
    <row r="1678" spans="1:8" x14ac:dyDescent="0.25">
      <c r="A1678" t="s">
        <v>1684</v>
      </c>
      <c r="B1678">
        <v>68308</v>
      </c>
      <c r="C1678">
        <v>8445291159693</v>
      </c>
      <c r="D1678">
        <v>24.9</v>
      </c>
      <c r="E1678">
        <v>17.61</v>
      </c>
      <c r="F1678" s="3">
        <v>0.27750000000000002</v>
      </c>
      <c r="G1678">
        <v>17.991199999999999</v>
      </c>
      <c r="H1678">
        <v>5</v>
      </c>
    </row>
    <row r="1679" spans="1:8" x14ac:dyDescent="0.25">
      <c r="A1679" t="s">
        <v>1685</v>
      </c>
      <c r="B1679">
        <v>63648</v>
      </c>
      <c r="C1679">
        <v>8445291144385</v>
      </c>
      <c r="D1679">
        <v>24.9</v>
      </c>
      <c r="E1679">
        <v>18.09</v>
      </c>
      <c r="F1679" s="3">
        <v>0.27350000000000002</v>
      </c>
      <c r="G1679">
        <v>18.090499999999999</v>
      </c>
      <c r="H1679">
        <v>7.7329999999999997</v>
      </c>
    </row>
    <row r="1680" spans="1:8" x14ac:dyDescent="0.25">
      <c r="A1680" t="s">
        <v>1686</v>
      </c>
      <c r="B1680">
        <v>63647</v>
      </c>
      <c r="C1680">
        <v>8445291111257</v>
      </c>
      <c r="D1680">
        <v>24.9</v>
      </c>
      <c r="E1680">
        <v>17.75</v>
      </c>
      <c r="F1680" s="3">
        <v>0.2833</v>
      </c>
      <c r="G1680">
        <v>17.845700000000001</v>
      </c>
      <c r="H1680">
        <v>6.1669999999999998</v>
      </c>
    </row>
    <row r="1681" spans="1:8" x14ac:dyDescent="0.25">
      <c r="A1681" t="s">
        <v>1687</v>
      </c>
      <c r="B1681">
        <v>63646</v>
      </c>
      <c r="C1681">
        <v>8445291150249</v>
      </c>
      <c r="D1681">
        <v>24.9</v>
      </c>
      <c r="E1681">
        <v>17.559999999999999</v>
      </c>
      <c r="F1681" s="3">
        <v>0.28620000000000001</v>
      </c>
      <c r="G1681">
        <v>17.7743</v>
      </c>
      <c r="H1681">
        <v>7.4</v>
      </c>
    </row>
    <row r="1682" spans="1:8" x14ac:dyDescent="0.25">
      <c r="A1682" t="s">
        <v>1688</v>
      </c>
      <c r="B1682">
        <v>68309</v>
      </c>
      <c r="C1682">
        <v>8445291143968</v>
      </c>
      <c r="D1682">
        <v>24.9</v>
      </c>
      <c r="E1682">
        <v>17.54</v>
      </c>
      <c r="F1682" s="3">
        <v>0.27879999999999999</v>
      </c>
      <c r="G1682">
        <v>17.958500000000001</v>
      </c>
      <c r="H1682">
        <v>4.1669999999999998</v>
      </c>
    </row>
    <row r="1683" spans="1:8" x14ac:dyDescent="0.25">
      <c r="A1683" t="s">
        <v>1689</v>
      </c>
      <c r="B1683">
        <v>63645</v>
      </c>
      <c r="C1683">
        <v>7891000452127</v>
      </c>
      <c r="D1683">
        <v>24.9</v>
      </c>
      <c r="E1683">
        <v>20.39</v>
      </c>
      <c r="F1683" s="3">
        <v>0.16070000000000001</v>
      </c>
      <c r="G1683">
        <v>20.899100000000001</v>
      </c>
      <c r="H1683">
        <v>1.5329999999999999</v>
      </c>
    </row>
    <row r="1684" spans="1:8" x14ac:dyDescent="0.25">
      <c r="A1684" t="s">
        <v>1690</v>
      </c>
      <c r="B1684">
        <v>49541</v>
      </c>
      <c r="C1684">
        <v>7896089088434</v>
      </c>
      <c r="D1684">
        <v>40.9</v>
      </c>
      <c r="E1684">
        <v>29.54</v>
      </c>
      <c r="F1684" s="3">
        <v>0.2777</v>
      </c>
      <c r="G1684">
        <v>29.541</v>
      </c>
      <c r="H1684">
        <v>1.367</v>
      </c>
    </row>
    <row r="1685" spans="1:8" x14ac:dyDescent="0.25">
      <c r="A1685" t="s">
        <v>1691</v>
      </c>
      <c r="B1685">
        <v>49542</v>
      </c>
      <c r="C1685">
        <v>7896089088397</v>
      </c>
      <c r="D1685">
        <v>40.9</v>
      </c>
      <c r="E1685">
        <v>29.54</v>
      </c>
      <c r="F1685" s="3">
        <v>0.2777</v>
      </c>
      <c r="G1685">
        <v>29.541</v>
      </c>
      <c r="H1685">
        <v>1.4670000000000001</v>
      </c>
    </row>
    <row r="1686" spans="1:8" x14ac:dyDescent="0.25">
      <c r="A1686" t="s">
        <v>1692</v>
      </c>
      <c r="B1686">
        <v>49539</v>
      </c>
      <c r="C1686">
        <v>7896089088410</v>
      </c>
      <c r="D1686">
        <v>21.9</v>
      </c>
      <c r="E1686">
        <v>15.6</v>
      </c>
      <c r="F1686" s="3">
        <v>0.28920000000000001</v>
      </c>
      <c r="G1686">
        <v>15.566700000000001</v>
      </c>
      <c r="H1686">
        <v>2.633</v>
      </c>
    </row>
    <row r="1687" spans="1:8" x14ac:dyDescent="0.25">
      <c r="A1687" t="s">
        <v>1693</v>
      </c>
      <c r="B1687">
        <v>49540</v>
      </c>
      <c r="C1687">
        <v>7896089088427</v>
      </c>
      <c r="D1687">
        <v>21.9</v>
      </c>
      <c r="E1687">
        <v>15.98</v>
      </c>
      <c r="F1687" s="3">
        <v>0.27539999999999998</v>
      </c>
      <c r="G1687">
        <v>15.8683</v>
      </c>
      <c r="H1687">
        <v>2.9329999999999998</v>
      </c>
    </row>
    <row r="1688" spans="1:8" x14ac:dyDescent="0.25">
      <c r="A1688" t="s">
        <v>1694</v>
      </c>
      <c r="B1688">
        <v>49537</v>
      </c>
      <c r="C1688">
        <v>7896089088403</v>
      </c>
      <c r="D1688">
        <v>21.9</v>
      </c>
      <c r="E1688">
        <v>15.68</v>
      </c>
      <c r="F1688" s="3">
        <v>0.26780000000000004</v>
      </c>
      <c r="G1688">
        <v>16.0349</v>
      </c>
      <c r="H1688">
        <v>3.4</v>
      </c>
    </row>
    <row r="1689" spans="1:8" x14ac:dyDescent="0.25">
      <c r="A1689" t="s">
        <v>1695</v>
      </c>
      <c r="B1689">
        <v>65148</v>
      </c>
      <c r="C1689">
        <v>7896089088298</v>
      </c>
      <c r="D1689">
        <v>21.9</v>
      </c>
      <c r="E1689">
        <v>15.04</v>
      </c>
      <c r="F1689" s="3">
        <v>0.3</v>
      </c>
      <c r="G1689">
        <v>15.328900000000001</v>
      </c>
      <c r="H1689">
        <v>2.2999999999999998</v>
      </c>
    </row>
    <row r="1690" spans="1:8" x14ac:dyDescent="0.25">
      <c r="A1690" t="s">
        <v>1696</v>
      </c>
      <c r="B1690">
        <v>49536</v>
      </c>
      <c r="C1690">
        <v>7896089088441</v>
      </c>
      <c r="D1690">
        <v>21.9</v>
      </c>
      <c r="E1690">
        <v>15.18</v>
      </c>
      <c r="F1690" s="3">
        <v>0.28589999999999999</v>
      </c>
      <c r="G1690">
        <v>15.6386</v>
      </c>
      <c r="H1690">
        <v>1.9</v>
      </c>
    </row>
    <row r="1691" spans="1:8" x14ac:dyDescent="0.25">
      <c r="A1691" t="s">
        <v>1697</v>
      </c>
      <c r="B1691">
        <v>49538</v>
      </c>
      <c r="C1691">
        <v>7896089088380</v>
      </c>
      <c r="D1691">
        <v>21.9</v>
      </c>
      <c r="E1691">
        <v>15.68</v>
      </c>
      <c r="F1691" s="3">
        <v>0.26450000000000001</v>
      </c>
      <c r="G1691">
        <v>16.106400000000001</v>
      </c>
      <c r="H1691">
        <v>2.1</v>
      </c>
    </row>
    <row r="1692" spans="1:8" x14ac:dyDescent="0.25">
      <c r="A1692" t="s">
        <v>1698</v>
      </c>
      <c r="B1692">
        <v>67036</v>
      </c>
      <c r="C1692">
        <v>7891000144572</v>
      </c>
      <c r="D1692">
        <v>24.9</v>
      </c>
      <c r="E1692">
        <v>20.86</v>
      </c>
      <c r="F1692" s="3">
        <v>0.16239999999999999</v>
      </c>
      <c r="G1692">
        <v>20.8567</v>
      </c>
      <c r="H1692">
        <v>0.16700000000000001</v>
      </c>
    </row>
    <row r="1693" spans="1:8" x14ac:dyDescent="0.25">
      <c r="A1693" t="s">
        <v>1699</v>
      </c>
      <c r="B1693">
        <v>67034</v>
      </c>
      <c r="C1693">
        <v>7891000757260</v>
      </c>
      <c r="D1693">
        <v>24.9</v>
      </c>
      <c r="E1693">
        <v>19.690000000000001</v>
      </c>
      <c r="F1693" s="3">
        <v>0.20920000000000002</v>
      </c>
      <c r="G1693">
        <v>19.690000000000001</v>
      </c>
      <c r="H1693">
        <v>0.433</v>
      </c>
    </row>
    <row r="1694" spans="1:8" x14ac:dyDescent="0.25">
      <c r="A1694" t="s">
        <v>1700</v>
      </c>
      <c r="B1694">
        <v>67035</v>
      </c>
      <c r="C1694">
        <v>7891000594711</v>
      </c>
      <c r="D1694">
        <v>24.9</v>
      </c>
      <c r="E1694">
        <v>21.12</v>
      </c>
      <c r="F1694" s="3">
        <v>0.15179999999999999</v>
      </c>
      <c r="G1694">
        <v>21.119</v>
      </c>
      <c r="H1694">
        <v>0.1</v>
      </c>
    </row>
    <row r="1695" spans="1:8" x14ac:dyDescent="0.25">
      <c r="A1695" t="s">
        <v>1701</v>
      </c>
      <c r="B1695">
        <v>55720</v>
      </c>
      <c r="C1695">
        <v>7613036961745</v>
      </c>
      <c r="D1695">
        <v>24.9</v>
      </c>
      <c r="E1695">
        <v>21.22</v>
      </c>
      <c r="F1695" s="3">
        <v>0.1479</v>
      </c>
      <c r="G1695">
        <v>21.2166</v>
      </c>
      <c r="H1695">
        <v>2.4</v>
      </c>
    </row>
    <row r="1696" spans="1:8" x14ac:dyDescent="0.25">
      <c r="A1696" t="s">
        <v>1702</v>
      </c>
      <c r="B1696">
        <v>55719</v>
      </c>
      <c r="C1696">
        <v>7613036958943</v>
      </c>
      <c r="D1696">
        <v>24.9</v>
      </c>
      <c r="E1696">
        <v>21.43</v>
      </c>
      <c r="F1696" s="3">
        <v>0.13949999999999999</v>
      </c>
      <c r="G1696">
        <v>21.425799999999999</v>
      </c>
      <c r="H1696">
        <v>1.0669999999999999</v>
      </c>
    </row>
    <row r="1697" spans="1:8" x14ac:dyDescent="0.25">
      <c r="A1697" t="s">
        <v>1703</v>
      </c>
      <c r="B1697">
        <v>55721</v>
      </c>
      <c r="C1697">
        <v>7613036961448</v>
      </c>
      <c r="D1697">
        <v>24.9</v>
      </c>
      <c r="E1697">
        <v>21.43</v>
      </c>
      <c r="F1697" s="3">
        <v>0.1394</v>
      </c>
      <c r="G1697">
        <v>21.427900000000001</v>
      </c>
      <c r="H1697">
        <v>0.56699999999999995</v>
      </c>
    </row>
    <row r="1698" spans="1:8" x14ac:dyDescent="0.25">
      <c r="A1698" t="s">
        <v>1704</v>
      </c>
      <c r="B1698">
        <v>55722</v>
      </c>
      <c r="C1698">
        <v>7613036961028</v>
      </c>
      <c r="D1698">
        <v>24.9</v>
      </c>
      <c r="E1698">
        <v>21.43</v>
      </c>
      <c r="F1698" s="3">
        <v>0.13949999999999999</v>
      </c>
      <c r="G1698">
        <v>21.425699999999999</v>
      </c>
      <c r="H1698">
        <v>0.5</v>
      </c>
    </row>
    <row r="1699" spans="1:8" x14ac:dyDescent="0.25">
      <c r="A1699" t="s">
        <v>1705</v>
      </c>
      <c r="B1699">
        <v>68401</v>
      </c>
      <c r="C1699">
        <v>7891033570331</v>
      </c>
      <c r="D1699">
        <v>33.9</v>
      </c>
      <c r="E1699">
        <v>23.85</v>
      </c>
      <c r="F1699" s="3">
        <v>0.23039999999999999</v>
      </c>
      <c r="G1699">
        <v>22.953600000000002</v>
      </c>
      <c r="H1699">
        <v>0.7</v>
      </c>
    </row>
    <row r="1700" spans="1:8" x14ac:dyDescent="0.25">
      <c r="A1700" t="s">
        <v>1706</v>
      </c>
      <c r="B1700">
        <v>68403</v>
      </c>
      <c r="C1700">
        <v>7891033570324</v>
      </c>
      <c r="D1700">
        <v>37.9</v>
      </c>
      <c r="E1700">
        <v>26.76</v>
      </c>
      <c r="F1700" s="3">
        <v>0.22039999999999998</v>
      </c>
      <c r="G1700">
        <v>26.039200000000001</v>
      </c>
      <c r="H1700">
        <v>0.96699999999999997</v>
      </c>
    </row>
    <row r="1701" spans="1:8" x14ac:dyDescent="0.25">
      <c r="A1701" t="s">
        <v>1707</v>
      </c>
      <c r="B1701">
        <v>3248</v>
      </c>
      <c r="C1701">
        <v>7897122601252</v>
      </c>
      <c r="D1701">
        <v>56.9</v>
      </c>
      <c r="E1701">
        <v>38.06</v>
      </c>
      <c r="F1701" s="3">
        <v>0.2742</v>
      </c>
      <c r="G1701">
        <v>36.036900000000003</v>
      </c>
      <c r="H1701">
        <v>4.8330000000000002</v>
      </c>
    </row>
    <row r="1702" spans="1:8" x14ac:dyDescent="0.25">
      <c r="A1702" t="s">
        <v>1708</v>
      </c>
      <c r="B1702">
        <v>6466</v>
      </c>
      <c r="C1702">
        <v>7896024800503</v>
      </c>
      <c r="D1702">
        <v>19.899999999999999</v>
      </c>
      <c r="E1702">
        <v>12.71</v>
      </c>
      <c r="F1702" s="3">
        <v>0.3614</v>
      </c>
      <c r="G1702">
        <v>12.7074</v>
      </c>
      <c r="H1702">
        <v>0.4</v>
      </c>
    </row>
    <row r="1703" spans="1:8" x14ac:dyDescent="0.25">
      <c r="A1703" t="s">
        <v>1709</v>
      </c>
      <c r="B1703">
        <v>59891</v>
      </c>
      <c r="C1703">
        <v>7896097211916</v>
      </c>
      <c r="D1703">
        <v>23.9</v>
      </c>
      <c r="E1703">
        <v>13.09</v>
      </c>
      <c r="F1703" s="3">
        <v>0.32899999999999996</v>
      </c>
      <c r="G1703">
        <v>9.5251999999999999</v>
      </c>
      <c r="H1703">
        <v>3.3330000000000002</v>
      </c>
    </row>
    <row r="1704" spans="1:8" x14ac:dyDescent="0.25">
      <c r="A1704" t="s">
        <v>1710</v>
      </c>
      <c r="B1704">
        <v>8754</v>
      </c>
      <c r="C1704">
        <v>7898994313618</v>
      </c>
      <c r="D1704">
        <v>18.899999999999999</v>
      </c>
      <c r="E1704">
        <v>11.49</v>
      </c>
      <c r="F1704" s="3">
        <v>0.28510000000000002</v>
      </c>
      <c r="G1704">
        <v>8.3618000000000006</v>
      </c>
      <c r="H1704">
        <v>28.933</v>
      </c>
    </row>
    <row r="1705" spans="1:8" x14ac:dyDescent="0.25">
      <c r="A1705" t="s">
        <v>1711</v>
      </c>
      <c r="B1705">
        <v>11971</v>
      </c>
      <c r="C1705">
        <v>7898994313670</v>
      </c>
      <c r="D1705">
        <v>36.9</v>
      </c>
      <c r="E1705">
        <v>22.97</v>
      </c>
      <c r="F1705" s="3">
        <v>0.27449999999999997</v>
      </c>
      <c r="G1705">
        <v>16.7164</v>
      </c>
      <c r="H1705">
        <v>23.6</v>
      </c>
    </row>
    <row r="1706" spans="1:8" x14ac:dyDescent="0.25">
      <c r="A1706" t="s">
        <v>1712</v>
      </c>
      <c r="B1706">
        <v>4831</v>
      </c>
      <c r="C1706">
        <v>7891095605170</v>
      </c>
      <c r="D1706">
        <v>6.99</v>
      </c>
      <c r="E1706">
        <v>4.38</v>
      </c>
      <c r="F1706" s="3">
        <v>0.30609999999999998</v>
      </c>
      <c r="G1706">
        <v>3.5920999999999998</v>
      </c>
      <c r="H1706">
        <v>7.8</v>
      </c>
    </row>
    <row r="1707" spans="1:8" x14ac:dyDescent="0.25">
      <c r="A1707" t="s">
        <v>1713</v>
      </c>
      <c r="B1707">
        <v>22208</v>
      </c>
      <c r="C1707">
        <v>7896214532962</v>
      </c>
      <c r="D1707">
        <v>26.9</v>
      </c>
      <c r="E1707">
        <v>17.25</v>
      </c>
      <c r="F1707" s="3">
        <v>0.30230000000000001</v>
      </c>
      <c r="G1707">
        <v>16.2791</v>
      </c>
      <c r="H1707">
        <v>0.33300000000000002</v>
      </c>
    </row>
    <row r="1708" spans="1:8" x14ac:dyDescent="0.25">
      <c r="A1708" t="s">
        <v>1714</v>
      </c>
      <c r="B1708">
        <v>53157</v>
      </c>
      <c r="C1708">
        <v>7898629611690</v>
      </c>
      <c r="D1708">
        <v>6.49</v>
      </c>
      <c r="E1708">
        <v>2.68</v>
      </c>
      <c r="F1708" s="3">
        <v>0.48100000000000004</v>
      </c>
      <c r="G1708">
        <v>2.2000000000000002</v>
      </c>
      <c r="H1708">
        <v>7.9329999999999998</v>
      </c>
    </row>
    <row r="1709" spans="1:8" x14ac:dyDescent="0.25">
      <c r="A1709" t="s">
        <v>1715</v>
      </c>
      <c r="B1709">
        <v>26274</v>
      </c>
      <c r="C1709">
        <v>7898629610617</v>
      </c>
      <c r="D1709">
        <v>5.99</v>
      </c>
      <c r="E1709">
        <v>2.9</v>
      </c>
      <c r="F1709" s="3">
        <v>0.42330000000000001</v>
      </c>
      <c r="G1709">
        <v>2.3759999999999999</v>
      </c>
      <c r="H1709">
        <v>1.9330000000000001</v>
      </c>
    </row>
    <row r="1710" spans="1:8" x14ac:dyDescent="0.25">
      <c r="A1710" t="s">
        <v>1716</v>
      </c>
      <c r="B1710">
        <v>60422</v>
      </c>
      <c r="C1710">
        <v>7898667040902</v>
      </c>
      <c r="D1710">
        <v>8.9</v>
      </c>
      <c r="E1710">
        <v>5.95</v>
      </c>
      <c r="F1710" s="3">
        <v>0.30549999999999999</v>
      </c>
      <c r="G1710">
        <v>5.3574000000000002</v>
      </c>
      <c r="H1710">
        <v>2.2999999999999998</v>
      </c>
    </row>
    <row r="1711" spans="1:8" x14ac:dyDescent="0.25">
      <c r="A1711" t="s">
        <v>1717</v>
      </c>
      <c r="B1711">
        <v>61716</v>
      </c>
      <c r="C1711">
        <v>7898667043026</v>
      </c>
      <c r="D1711">
        <v>8.9</v>
      </c>
      <c r="E1711">
        <v>6.19</v>
      </c>
      <c r="F1711" s="3">
        <v>0.27610000000000001</v>
      </c>
      <c r="G1711">
        <v>5.6196000000000002</v>
      </c>
      <c r="H1711">
        <v>0.6</v>
      </c>
    </row>
    <row r="1712" spans="1:8" x14ac:dyDescent="0.25">
      <c r="A1712" t="s">
        <v>1718</v>
      </c>
      <c r="B1712">
        <v>60425</v>
      </c>
      <c r="C1712">
        <v>7898667041084</v>
      </c>
      <c r="D1712">
        <v>8.9</v>
      </c>
      <c r="E1712">
        <v>5.99</v>
      </c>
      <c r="F1712" s="3">
        <v>0.30280000000000001</v>
      </c>
      <c r="G1712">
        <v>5.3815999999999997</v>
      </c>
      <c r="H1712">
        <v>2.0670000000000002</v>
      </c>
    </row>
    <row r="1713" spans="1:8" x14ac:dyDescent="0.25">
      <c r="A1713" t="s">
        <v>1719</v>
      </c>
      <c r="B1713">
        <v>60424</v>
      </c>
      <c r="C1713">
        <v>7898667041077</v>
      </c>
      <c r="D1713">
        <v>8.9</v>
      </c>
      <c r="E1713">
        <v>5.8</v>
      </c>
      <c r="F1713" s="3">
        <v>0.31569999999999998</v>
      </c>
      <c r="G1713">
        <v>5.2672999999999996</v>
      </c>
      <c r="H1713">
        <v>0.9</v>
      </c>
    </row>
    <row r="1714" spans="1:8" x14ac:dyDescent="0.25">
      <c r="A1714" t="s">
        <v>1720</v>
      </c>
      <c r="B1714">
        <v>36303</v>
      </c>
      <c r="C1714">
        <v>8410182423115</v>
      </c>
      <c r="D1714">
        <v>13.9</v>
      </c>
      <c r="E1714">
        <v>9.4</v>
      </c>
      <c r="F1714" s="3">
        <v>0.2944</v>
      </c>
      <c r="G1714">
        <v>8.5228000000000002</v>
      </c>
      <c r="H1714">
        <v>1.2330000000000001</v>
      </c>
    </row>
    <row r="1715" spans="1:8" x14ac:dyDescent="0.25">
      <c r="A1715" t="s">
        <v>1721</v>
      </c>
      <c r="B1715">
        <v>11598</v>
      </c>
      <c r="C1715">
        <v>7891095015795</v>
      </c>
      <c r="D1715">
        <v>4.49</v>
      </c>
      <c r="E1715">
        <v>2.44</v>
      </c>
      <c r="F1715" s="3">
        <v>0.374</v>
      </c>
      <c r="G1715">
        <v>2.0024999999999999</v>
      </c>
      <c r="H1715">
        <v>2.3330000000000002</v>
      </c>
    </row>
    <row r="1716" spans="1:8" x14ac:dyDescent="0.25">
      <c r="A1716" t="s">
        <v>1722</v>
      </c>
      <c r="B1716">
        <v>57619</v>
      </c>
      <c r="C1716">
        <v>7891035919244</v>
      </c>
      <c r="D1716">
        <v>24.9</v>
      </c>
      <c r="E1716">
        <v>15.96</v>
      </c>
      <c r="F1716" s="3">
        <v>0.2596</v>
      </c>
      <c r="G1716">
        <v>11.651</v>
      </c>
      <c r="H1716">
        <v>1.333</v>
      </c>
    </row>
    <row r="1717" spans="1:8" x14ac:dyDescent="0.25">
      <c r="A1717" t="s">
        <v>1723</v>
      </c>
      <c r="B1717">
        <v>5109</v>
      </c>
      <c r="C1717">
        <v>7891035320309</v>
      </c>
      <c r="D1717">
        <v>20.9</v>
      </c>
      <c r="E1717">
        <v>12.91</v>
      </c>
      <c r="F1717" s="3">
        <v>0.27810000000000001</v>
      </c>
      <c r="G1717">
        <v>9.3924000000000003</v>
      </c>
      <c r="H1717">
        <v>1.0669999999999999</v>
      </c>
    </row>
    <row r="1718" spans="1:8" x14ac:dyDescent="0.25">
      <c r="A1718" t="s">
        <v>1724</v>
      </c>
      <c r="B1718">
        <v>54932</v>
      </c>
      <c r="C1718">
        <v>7891000255445</v>
      </c>
      <c r="D1718">
        <v>6.99</v>
      </c>
      <c r="E1718">
        <v>4.8899999999999997</v>
      </c>
      <c r="F1718" s="3">
        <v>0.30649999999999999</v>
      </c>
      <c r="G1718">
        <v>4.2007000000000003</v>
      </c>
      <c r="H1718">
        <v>5.9669999999999996</v>
      </c>
    </row>
    <row r="1719" spans="1:8" x14ac:dyDescent="0.25">
      <c r="A1719" t="s">
        <v>1725</v>
      </c>
      <c r="B1719">
        <v>6402</v>
      </c>
      <c r="C1719">
        <v>7891000356791</v>
      </c>
      <c r="D1719">
        <v>15.9</v>
      </c>
      <c r="E1719">
        <v>12.01</v>
      </c>
      <c r="F1719" s="3">
        <v>0.22030000000000002</v>
      </c>
      <c r="G1719">
        <v>10.927099999999999</v>
      </c>
      <c r="H1719">
        <v>3.3</v>
      </c>
    </row>
    <row r="1720" spans="1:8" x14ac:dyDescent="0.25">
      <c r="A1720" t="s">
        <v>1726</v>
      </c>
      <c r="B1720">
        <v>13021</v>
      </c>
      <c r="C1720">
        <v>7891000319543</v>
      </c>
      <c r="D1720">
        <v>8.9</v>
      </c>
      <c r="E1720">
        <v>6.03</v>
      </c>
      <c r="F1720" s="3">
        <v>0.29309999999999997</v>
      </c>
      <c r="G1720">
        <v>5.4684999999999997</v>
      </c>
      <c r="H1720">
        <v>1.4330000000000001</v>
      </c>
    </row>
    <row r="1721" spans="1:8" x14ac:dyDescent="0.25">
      <c r="A1721" t="s">
        <v>1727</v>
      </c>
      <c r="B1721">
        <v>13014</v>
      </c>
      <c r="C1721">
        <v>7891000319505</v>
      </c>
      <c r="D1721">
        <v>8.9</v>
      </c>
      <c r="E1721">
        <v>6.02</v>
      </c>
      <c r="F1721" s="3">
        <v>0.29370000000000002</v>
      </c>
      <c r="G1721">
        <v>5.4629000000000003</v>
      </c>
      <c r="H1721">
        <v>2.133</v>
      </c>
    </row>
    <row r="1722" spans="1:8" x14ac:dyDescent="0.25">
      <c r="A1722" t="s">
        <v>1728</v>
      </c>
      <c r="B1722">
        <v>13015</v>
      </c>
      <c r="C1722">
        <v>7891000319628</v>
      </c>
      <c r="D1722">
        <v>8.9</v>
      </c>
      <c r="E1722">
        <v>5.96</v>
      </c>
      <c r="F1722" s="3">
        <v>0.30790000000000001</v>
      </c>
      <c r="G1722">
        <v>5.3360000000000003</v>
      </c>
      <c r="H1722">
        <v>1.2</v>
      </c>
    </row>
    <row r="1723" spans="1:8" x14ac:dyDescent="0.25">
      <c r="A1723" t="s">
        <v>1729</v>
      </c>
      <c r="B1723">
        <v>1308</v>
      </c>
      <c r="C1723">
        <v>7891000319581</v>
      </c>
      <c r="D1723">
        <v>8.9</v>
      </c>
      <c r="E1723">
        <v>6.02</v>
      </c>
      <c r="F1723" s="3">
        <v>0.29359999999999997</v>
      </c>
      <c r="G1723">
        <v>5.4634999999999998</v>
      </c>
      <c r="H1723">
        <v>2</v>
      </c>
    </row>
    <row r="1724" spans="1:8" x14ac:dyDescent="0.25">
      <c r="A1724" t="s">
        <v>1730</v>
      </c>
      <c r="B1724">
        <v>62499</v>
      </c>
      <c r="C1724">
        <v>7891000357170</v>
      </c>
      <c r="D1724">
        <v>14.9</v>
      </c>
      <c r="E1724">
        <v>10.61</v>
      </c>
      <c r="F1724" s="3">
        <v>0.26379999999999998</v>
      </c>
      <c r="G1724">
        <v>9.5904000000000007</v>
      </c>
      <c r="H1724">
        <v>0.56699999999999995</v>
      </c>
    </row>
    <row r="1725" spans="1:8" x14ac:dyDescent="0.25">
      <c r="A1725" t="s">
        <v>1731</v>
      </c>
      <c r="B1725">
        <v>62498</v>
      </c>
      <c r="C1725">
        <v>7891000357019</v>
      </c>
      <c r="D1725">
        <v>14.9</v>
      </c>
      <c r="E1725">
        <v>10.69</v>
      </c>
      <c r="F1725" s="3">
        <v>0.25640000000000002</v>
      </c>
      <c r="G1725">
        <v>9.702</v>
      </c>
      <c r="H1725">
        <v>1.367</v>
      </c>
    </row>
    <row r="1726" spans="1:8" x14ac:dyDescent="0.25">
      <c r="A1726" t="s">
        <v>1732</v>
      </c>
      <c r="B1726">
        <v>62497</v>
      </c>
      <c r="C1726">
        <v>7891000356975</v>
      </c>
      <c r="D1726">
        <v>14.9</v>
      </c>
      <c r="E1726">
        <v>10.64</v>
      </c>
      <c r="F1726" s="3">
        <v>0.25920000000000004</v>
      </c>
      <c r="G1726">
        <v>9.6591000000000005</v>
      </c>
      <c r="H1726">
        <v>0.3</v>
      </c>
    </row>
    <row r="1727" spans="1:8" x14ac:dyDescent="0.25">
      <c r="A1727" t="s">
        <v>1733</v>
      </c>
      <c r="B1727">
        <v>62496</v>
      </c>
      <c r="C1727">
        <v>7891000356890</v>
      </c>
      <c r="D1727">
        <v>14.9</v>
      </c>
      <c r="E1727">
        <v>10.69</v>
      </c>
      <c r="F1727" s="3">
        <v>0.25650000000000001</v>
      </c>
      <c r="G1727">
        <v>9.7002000000000006</v>
      </c>
      <c r="H1727">
        <v>2.7</v>
      </c>
    </row>
    <row r="1728" spans="1:8" x14ac:dyDescent="0.25">
      <c r="A1728" t="s">
        <v>1734</v>
      </c>
      <c r="B1728">
        <v>9371</v>
      </c>
      <c r="C1728">
        <v>7891000040898</v>
      </c>
      <c r="D1728">
        <v>19.899999999999999</v>
      </c>
      <c r="E1728">
        <v>14.73</v>
      </c>
      <c r="F1728" s="3">
        <v>0.23550000000000001</v>
      </c>
      <c r="G1728">
        <v>13.3729</v>
      </c>
      <c r="H1728">
        <v>0.93300000000000005</v>
      </c>
    </row>
    <row r="1729" spans="1:8" x14ac:dyDescent="0.25">
      <c r="A1729" t="s">
        <v>1735</v>
      </c>
      <c r="B1729">
        <v>9369</v>
      </c>
      <c r="C1729">
        <v>7891000011294</v>
      </c>
      <c r="D1729">
        <v>19.899999999999999</v>
      </c>
      <c r="E1729">
        <v>14.75</v>
      </c>
      <c r="F1729" s="3">
        <v>0.23719999999999999</v>
      </c>
      <c r="G1729">
        <v>13.338900000000001</v>
      </c>
      <c r="H1729">
        <v>1.4670000000000001</v>
      </c>
    </row>
    <row r="1730" spans="1:8" x14ac:dyDescent="0.25">
      <c r="A1730" t="s">
        <v>1736</v>
      </c>
      <c r="B1730">
        <v>12192</v>
      </c>
      <c r="C1730">
        <v>7891000098950</v>
      </c>
      <c r="D1730">
        <v>9.9</v>
      </c>
      <c r="E1730">
        <v>6.67</v>
      </c>
      <c r="F1730" s="3">
        <v>0.23769999999999999</v>
      </c>
      <c r="G1730">
        <v>4.8494999999999999</v>
      </c>
      <c r="H1730">
        <v>5.5330000000000004</v>
      </c>
    </row>
    <row r="1731" spans="1:8" x14ac:dyDescent="0.25">
      <c r="A1731" t="s">
        <v>1737</v>
      </c>
      <c r="B1731">
        <v>9372</v>
      </c>
      <c r="C1731">
        <v>7891000358801</v>
      </c>
      <c r="D1731">
        <v>19.899999999999999</v>
      </c>
      <c r="E1731">
        <v>13.63</v>
      </c>
      <c r="F1731" s="3">
        <v>0.23010000000000003</v>
      </c>
      <c r="G1731">
        <v>9.8989999999999991</v>
      </c>
      <c r="H1731">
        <v>2.2669999999999999</v>
      </c>
    </row>
    <row r="1732" spans="1:8" x14ac:dyDescent="0.25">
      <c r="A1732" t="s">
        <v>1738</v>
      </c>
      <c r="B1732">
        <v>58515</v>
      </c>
      <c r="C1732">
        <v>7898176582191</v>
      </c>
      <c r="D1732">
        <v>20.9</v>
      </c>
      <c r="E1732">
        <v>13.79</v>
      </c>
      <c r="F1732" s="3">
        <v>0.30859999999999999</v>
      </c>
      <c r="G1732">
        <v>12.517200000000001</v>
      </c>
      <c r="H1732">
        <v>0.26700000000000002</v>
      </c>
    </row>
    <row r="1733" spans="1:8" x14ac:dyDescent="0.25">
      <c r="A1733" t="s">
        <v>1739</v>
      </c>
      <c r="B1733">
        <v>58516</v>
      </c>
      <c r="C1733">
        <v>7898176582207</v>
      </c>
      <c r="D1733">
        <v>20.9</v>
      </c>
      <c r="E1733">
        <v>13.79</v>
      </c>
      <c r="F1733" s="3">
        <v>0.3085</v>
      </c>
      <c r="G1733">
        <v>12.5182</v>
      </c>
      <c r="H1733">
        <v>0.13300000000000001</v>
      </c>
    </row>
    <row r="1734" spans="1:8" x14ac:dyDescent="0.25">
      <c r="A1734" t="s">
        <v>1740</v>
      </c>
      <c r="B1734">
        <v>60314</v>
      </c>
      <c r="C1734">
        <v>7896004007205</v>
      </c>
      <c r="D1734">
        <v>11.9</v>
      </c>
      <c r="E1734">
        <v>8.0399999999999991</v>
      </c>
      <c r="F1734" s="3">
        <v>0.3034</v>
      </c>
      <c r="G1734">
        <v>7.1886000000000001</v>
      </c>
      <c r="H1734">
        <v>2.367</v>
      </c>
    </row>
    <row r="1735" spans="1:8" x14ac:dyDescent="0.25">
      <c r="A1735" t="s">
        <v>1741</v>
      </c>
      <c r="B1735">
        <v>6408</v>
      </c>
      <c r="C1735">
        <v>7891000357897</v>
      </c>
      <c r="D1735">
        <v>12.9</v>
      </c>
      <c r="E1735">
        <v>7.43</v>
      </c>
      <c r="F1735" s="3">
        <v>0.3846</v>
      </c>
      <c r="G1735">
        <v>6.7460000000000004</v>
      </c>
      <c r="H1735">
        <v>5.4669999999999996</v>
      </c>
    </row>
    <row r="1736" spans="1:8" x14ac:dyDescent="0.25">
      <c r="A1736" t="s">
        <v>1742</v>
      </c>
      <c r="B1736">
        <v>54984</v>
      </c>
      <c r="C1736">
        <v>7896004006833</v>
      </c>
      <c r="D1736">
        <v>18.899999999999999</v>
      </c>
      <c r="E1736">
        <v>15.29</v>
      </c>
      <c r="F1736" s="3">
        <v>0.1711</v>
      </c>
      <c r="G1736">
        <v>13.9186</v>
      </c>
      <c r="H1736">
        <v>8.5</v>
      </c>
    </row>
    <row r="1737" spans="1:8" x14ac:dyDescent="0.25">
      <c r="A1737" t="s">
        <v>1743</v>
      </c>
      <c r="B1737">
        <v>54994</v>
      </c>
      <c r="C1737">
        <v>7896004000534</v>
      </c>
      <c r="D1737">
        <v>13.9</v>
      </c>
      <c r="E1737">
        <v>10.15</v>
      </c>
      <c r="F1737" s="3">
        <v>0.24239999999999998</v>
      </c>
      <c r="G1737">
        <v>9.2447999999999997</v>
      </c>
      <c r="H1737">
        <v>5.0999999999999996</v>
      </c>
    </row>
    <row r="1738" spans="1:8" x14ac:dyDescent="0.25">
      <c r="A1738" t="s">
        <v>1744</v>
      </c>
      <c r="B1738">
        <v>55057</v>
      </c>
      <c r="C1738">
        <v>7896004005423</v>
      </c>
      <c r="D1738">
        <v>17.899999999999999</v>
      </c>
      <c r="E1738">
        <v>12.62</v>
      </c>
      <c r="F1738" s="3">
        <v>0.21460000000000001</v>
      </c>
      <c r="G1738">
        <v>9.1815999999999995</v>
      </c>
      <c r="H1738">
        <v>6.4669999999999996</v>
      </c>
    </row>
    <row r="1739" spans="1:8" x14ac:dyDescent="0.25">
      <c r="A1739" t="s">
        <v>1745</v>
      </c>
      <c r="B1739">
        <v>55058</v>
      </c>
      <c r="C1739">
        <v>7896004005430</v>
      </c>
      <c r="D1739">
        <v>17.899999999999999</v>
      </c>
      <c r="E1739">
        <v>12.54</v>
      </c>
      <c r="F1739" s="3">
        <v>0.21460000000000001</v>
      </c>
      <c r="G1739">
        <v>9.1814</v>
      </c>
      <c r="H1739">
        <v>5.2</v>
      </c>
    </row>
    <row r="1740" spans="1:8" x14ac:dyDescent="0.25">
      <c r="A1740" t="s">
        <v>1746</v>
      </c>
      <c r="B1740">
        <v>66705</v>
      </c>
      <c r="C1740">
        <v>7891000394939</v>
      </c>
      <c r="D1740">
        <v>13.71</v>
      </c>
      <c r="E1740">
        <v>9.43</v>
      </c>
      <c r="F1740" s="3">
        <v>0.28399999999999997</v>
      </c>
      <c r="G1740">
        <v>8.5500000000000007</v>
      </c>
      <c r="H1740">
        <v>4.7329999999999997</v>
      </c>
    </row>
    <row r="1741" spans="1:8" x14ac:dyDescent="0.25">
      <c r="A1741" t="s">
        <v>1747</v>
      </c>
      <c r="B1741">
        <v>36124</v>
      </c>
      <c r="C1741">
        <v>7891000050927</v>
      </c>
      <c r="D1741">
        <v>5.99</v>
      </c>
      <c r="E1741">
        <v>4.72</v>
      </c>
      <c r="F1741" s="3">
        <v>0.1913</v>
      </c>
      <c r="G1741">
        <v>4.2901999999999996</v>
      </c>
      <c r="H1741">
        <v>6.5330000000000004</v>
      </c>
    </row>
    <row r="1742" spans="1:8" x14ac:dyDescent="0.25">
      <c r="A1742" t="s">
        <v>1748</v>
      </c>
      <c r="B1742">
        <v>6417</v>
      </c>
      <c r="C1742">
        <v>7891000356838</v>
      </c>
      <c r="D1742">
        <v>16.899999999999999</v>
      </c>
      <c r="E1742">
        <v>12.13</v>
      </c>
      <c r="F1742" s="3">
        <v>0.25829999999999997</v>
      </c>
      <c r="G1742">
        <v>10.9718</v>
      </c>
      <c r="H1742">
        <v>1.133</v>
      </c>
    </row>
    <row r="1743" spans="1:8" x14ac:dyDescent="0.25">
      <c r="A1743" t="s">
        <v>1749</v>
      </c>
      <c r="B1743">
        <v>64553</v>
      </c>
      <c r="C1743">
        <v>7891000385791</v>
      </c>
      <c r="D1743">
        <v>11.9</v>
      </c>
      <c r="E1743">
        <v>9.09</v>
      </c>
      <c r="F1743" s="3">
        <v>0.21420000000000003</v>
      </c>
      <c r="G1743">
        <v>8.2504000000000008</v>
      </c>
      <c r="H1743">
        <v>0.33300000000000002</v>
      </c>
    </row>
    <row r="1744" spans="1:8" x14ac:dyDescent="0.25">
      <c r="A1744" t="s">
        <v>1750</v>
      </c>
      <c r="B1744">
        <v>17877</v>
      </c>
      <c r="C1744">
        <v>7891000070673</v>
      </c>
      <c r="D1744">
        <v>5.99</v>
      </c>
      <c r="E1744">
        <v>4.8099999999999996</v>
      </c>
      <c r="F1744" s="3">
        <v>0.18</v>
      </c>
      <c r="G1744">
        <v>4.3578000000000001</v>
      </c>
      <c r="H1744">
        <v>8.0329999999999995</v>
      </c>
    </row>
    <row r="1745" spans="1:8" x14ac:dyDescent="0.25">
      <c r="A1745" t="s">
        <v>1751</v>
      </c>
      <c r="B1745">
        <v>67795</v>
      </c>
      <c r="C1745">
        <v>7891000372043</v>
      </c>
      <c r="D1745">
        <v>11.55</v>
      </c>
      <c r="E1745">
        <v>8.99</v>
      </c>
      <c r="F1745" s="3">
        <v>0.19940000000000002</v>
      </c>
      <c r="G1745">
        <v>8.1791999999999998</v>
      </c>
      <c r="H1745">
        <v>4.5</v>
      </c>
    </row>
    <row r="1746" spans="1:8" x14ac:dyDescent="0.25">
      <c r="A1746" t="s">
        <v>1752</v>
      </c>
      <c r="B1746">
        <v>6420</v>
      </c>
      <c r="C1746">
        <v>7891000258613</v>
      </c>
      <c r="D1746">
        <v>11.9</v>
      </c>
      <c r="E1746">
        <v>8.19</v>
      </c>
      <c r="F1746" s="3">
        <v>0.29499999999999998</v>
      </c>
      <c r="G1746">
        <v>7.2891000000000004</v>
      </c>
      <c r="H1746">
        <v>3.4329999999999998</v>
      </c>
    </row>
    <row r="1747" spans="1:8" x14ac:dyDescent="0.25">
      <c r="A1747" t="s">
        <v>1753</v>
      </c>
      <c r="B1747">
        <v>35542</v>
      </c>
      <c r="C1747">
        <v>7891000104491</v>
      </c>
      <c r="D1747">
        <v>28.9</v>
      </c>
      <c r="E1747">
        <v>22.59</v>
      </c>
      <c r="F1747" s="3">
        <v>0.19820000000000002</v>
      </c>
      <c r="G1747">
        <v>20.4984</v>
      </c>
      <c r="H1747">
        <v>4.2329999999999997</v>
      </c>
    </row>
    <row r="1748" spans="1:8" x14ac:dyDescent="0.25">
      <c r="A1748" t="s">
        <v>1754</v>
      </c>
      <c r="B1748">
        <v>59429</v>
      </c>
      <c r="C1748">
        <v>7891000288801</v>
      </c>
      <c r="D1748">
        <v>15.9</v>
      </c>
      <c r="E1748">
        <v>12.08</v>
      </c>
      <c r="F1748" s="3">
        <v>0.21809999999999999</v>
      </c>
      <c r="G1748">
        <v>10.961399999999999</v>
      </c>
      <c r="H1748">
        <v>13.1</v>
      </c>
    </row>
    <row r="1749" spans="1:8" x14ac:dyDescent="0.25">
      <c r="A1749" t="s">
        <v>1755</v>
      </c>
      <c r="B1749">
        <v>67197</v>
      </c>
      <c r="C1749">
        <v>7891000396919</v>
      </c>
      <c r="D1749">
        <v>5.99</v>
      </c>
      <c r="E1749">
        <v>4.16</v>
      </c>
      <c r="F1749" s="3">
        <v>0.29299999999999998</v>
      </c>
      <c r="G1749">
        <v>3.6808999999999998</v>
      </c>
      <c r="H1749">
        <v>5.633</v>
      </c>
    </row>
    <row r="1750" spans="1:8" x14ac:dyDescent="0.25">
      <c r="A1750" t="s">
        <v>1756</v>
      </c>
      <c r="B1750">
        <v>24542</v>
      </c>
      <c r="C1750">
        <v>7891000050880</v>
      </c>
      <c r="D1750">
        <v>5.99</v>
      </c>
      <c r="E1750">
        <v>4.21</v>
      </c>
      <c r="F1750" s="3">
        <v>0.27350000000000002</v>
      </c>
      <c r="G1750">
        <v>3.7976999999999999</v>
      </c>
      <c r="H1750">
        <v>4.4669999999999996</v>
      </c>
    </row>
    <row r="1751" spans="1:8" x14ac:dyDescent="0.25">
      <c r="A1751" t="s">
        <v>1757</v>
      </c>
      <c r="B1751">
        <v>68656</v>
      </c>
      <c r="C1751">
        <v>7891000413296</v>
      </c>
      <c r="D1751">
        <v>8.9</v>
      </c>
      <c r="E1751">
        <v>7.17</v>
      </c>
      <c r="F1751" s="3">
        <v>0.2046</v>
      </c>
      <c r="G1751">
        <v>6.2560000000000002</v>
      </c>
      <c r="H1751">
        <v>3.2</v>
      </c>
    </row>
    <row r="1752" spans="1:8" x14ac:dyDescent="0.25">
      <c r="A1752" t="s">
        <v>1758</v>
      </c>
      <c r="B1752">
        <v>6454</v>
      </c>
      <c r="C1752">
        <v>7891000357460</v>
      </c>
      <c r="D1752">
        <v>9.9</v>
      </c>
      <c r="E1752">
        <v>7.06</v>
      </c>
      <c r="F1752" s="3">
        <v>0.26800000000000002</v>
      </c>
      <c r="G1752">
        <v>6.3311999999999999</v>
      </c>
      <c r="H1752">
        <v>4.4669999999999996</v>
      </c>
    </row>
    <row r="1753" spans="1:8" x14ac:dyDescent="0.25">
      <c r="A1753" t="s">
        <v>1759</v>
      </c>
      <c r="B1753">
        <v>24541</v>
      </c>
      <c r="C1753">
        <v>7891000369500</v>
      </c>
      <c r="D1753">
        <v>21.9</v>
      </c>
      <c r="E1753">
        <v>16.05</v>
      </c>
      <c r="F1753" s="3">
        <v>0.2412</v>
      </c>
      <c r="G1753">
        <v>14.590999999999999</v>
      </c>
      <c r="H1753">
        <v>4.633</v>
      </c>
    </row>
    <row r="1754" spans="1:8" x14ac:dyDescent="0.25">
      <c r="A1754" t="s">
        <v>1760</v>
      </c>
      <c r="B1754">
        <v>67177</v>
      </c>
      <c r="C1754">
        <v>7896004009377</v>
      </c>
      <c r="D1754">
        <v>11.7</v>
      </c>
      <c r="E1754">
        <v>8.51</v>
      </c>
      <c r="F1754" s="3">
        <v>0.2429</v>
      </c>
      <c r="G1754">
        <v>7.7782</v>
      </c>
      <c r="H1754">
        <v>12.632999999999999</v>
      </c>
    </row>
    <row r="1755" spans="1:8" x14ac:dyDescent="0.25">
      <c r="A1755" t="s">
        <v>1761</v>
      </c>
      <c r="B1755">
        <v>54981</v>
      </c>
      <c r="C1755">
        <v>7896004007366</v>
      </c>
      <c r="D1755">
        <v>11.9</v>
      </c>
      <c r="E1755">
        <v>8.48</v>
      </c>
      <c r="F1755" s="3">
        <v>0.26150000000000001</v>
      </c>
      <c r="G1755">
        <v>7.6879</v>
      </c>
      <c r="H1755">
        <v>5.5670000000000002</v>
      </c>
    </row>
    <row r="1756" spans="1:8" x14ac:dyDescent="0.25">
      <c r="A1756" t="s">
        <v>1762</v>
      </c>
      <c r="B1756">
        <v>54980</v>
      </c>
      <c r="C1756">
        <v>7896004007427</v>
      </c>
      <c r="D1756">
        <v>11.9</v>
      </c>
      <c r="E1756">
        <v>8.31</v>
      </c>
      <c r="F1756" s="3">
        <v>0.26860000000000001</v>
      </c>
      <c r="G1756">
        <v>7.6029999999999998</v>
      </c>
      <c r="H1756">
        <v>48.8</v>
      </c>
    </row>
    <row r="1757" spans="1:8" x14ac:dyDescent="0.25">
      <c r="A1757" t="s">
        <v>1763</v>
      </c>
      <c r="B1757">
        <v>55056</v>
      </c>
      <c r="C1757">
        <v>7896004015071</v>
      </c>
      <c r="D1757">
        <v>26.9</v>
      </c>
      <c r="E1757">
        <v>18.36</v>
      </c>
      <c r="F1757" s="3">
        <v>0.28859999999999997</v>
      </c>
      <c r="G1757">
        <v>16.647400000000001</v>
      </c>
      <c r="H1757">
        <v>14.967000000000001</v>
      </c>
    </row>
    <row r="1758" spans="1:8" x14ac:dyDescent="0.25">
      <c r="A1758" t="s">
        <v>1764</v>
      </c>
      <c r="B1758">
        <v>51128</v>
      </c>
      <c r="C1758">
        <v>7891000111161</v>
      </c>
      <c r="D1758">
        <v>11.9</v>
      </c>
      <c r="E1758">
        <v>8.1</v>
      </c>
      <c r="F1758" s="3">
        <v>0.30109999999999998</v>
      </c>
      <c r="G1758">
        <v>7.2160000000000002</v>
      </c>
      <c r="H1758">
        <v>8.3330000000000002</v>
      </c>
    </row>
    <row r="1759" spans="1:8" x14ac:dyDescent="0.25">
      <c r="A1759" t="s">
        <v>1765</v>
      </c>
      <c r="B1759">
        <v>30431</v>
      </c>
      <c r="C1759">
        <v>7898206501390</v>
      </c>
      <c r="D1759">
        <v>19.899999999999999</v>
      </c>
      <c r="E1759">
        <v>10.44</v>
      </c>
      <c r="F1759" s="3">
        <v>0.34590000000000004</v>
      </c>
      <c r="G1759">
        <v>7.5940000000000003</v>
      </c>
      <c r="H1759">
        <v>0.46700000000000003</v>
      </c>
    </row>
    <row r="1760" spans="1:8" x14ac:dyDescent="0.25">
      <c r="A1760" t="s">
        <v>1766</v>
      </c>
      <c r="B1760">
        <v>30433</v>
      </c>
      <c r="C1760">
        <v>7898206501383</v>
      </c>
      <c r="D1760">
        <v>19.899999999999999</v>
      </c>
      <c r="E1760">
        <v>12.06</v>
      </c>
      <c r="F1760" s="3">
        <v>0.28649999999999998</v>
      </c>
      <c r="G1760">
        <v>8.7765000000000004</v>
      </c>
      <c r="H1760">
        <v>1</v>
      </c>
    </row>
    <row r="1761" spans="1:8" x14ac:dyDescent="0.25">
      <c r="A1761" t="s">
        <v>1767</v>
      </c>
      <c r="B1761">
        <v>30432</v>
      </c>
      <c r="C1761">
        <v>7898206501253</v>
      </c>
      <c r="D1761">
        <v>19.899999999999999</v>
      </c>
      <c r="E1761">
        <v>12.69</v>
      </c>
      <c r="F1761" s="3">
        <v>0.32880000000000004</v>
      </c>
      <c r="G1761">
        <v>11.5154</v>
      </c>
      <c r="H1761">
        <v>0.36699999999999999</v>
      </c>
    </row>
    <row r="1762" spans="1:8" x14ac:dyDescent="0.25">
      <c r="A1762" t="s">
        <v>1768</v>
      </c>
      <c r="B1762">
        <v>50758</v>
      </c>
      <c r="C1762">
        <v>7896237900243</v>
      </c>
      <c r="D1762">
        <v>20.9</v>
      </c>
      <c r="E1762">
        <v>13.63</v>
      </c>
      <c r="F1762" s="3">
        <v>0.31579999999999997</v>
      </c>
      <c r="G1762">
        <v>12.3674</v>
      </c>
      <c r="H1762">
        <v>0.5</v>
      </c>
    </row>
    <row r="1763" spans="1:8" x14ac:dyDescent="0.25">
      <c r="A1763" t="s">
        <v>1769</v>
      </c>
      <c r="B1763">
        <v>61182</v>
      </c>
      <c r="C1763">
        <v>7891991301855</v>
      </c>
      <c r="D1763">
        <v>4.99</v>
      </c>
      <c r="E1763">
        <v>4.45</v>
      </c>
      <c r="F1763" s="3">
        <v>0.1085</v>
      </c>
      <c r="G1763">
        <v>4.4488000000000003</v>
      </c>
      <c r="H1763">
        <v>7.6</v>
      </c>
    </row>
    <row r="1764" spans="1:8" x14ac:dyDescent="0.25">
      <c r="A1764" t="s">
        <v>1770</v>
      </c>
      <c r="B1764">
        <v>38501</v>
      </c>
      <c r="C1764">
        <v>7896045505319</v>
      </c>
      <c r="D1764">
        <v>2.9</v>
      </c>
      <c r="E1764">
        <v>2.1</v>
      </c>
      <c r="F1764" s="3">
        <v>0.27500000000000002</v>
      </c>
      <c r="G1764">
        <v>2.0988000000000002</v>
      </c>
      <c r="H1764">
        <v>644.79999999999995</v>
      </c>
    </row>
    <row r="1765" spans="1:8" x14ac:dyDescent="0.25">
      <c r="A1765" t="s">
        <v>1771</v>
      </c>
      <c r="B1765">
        <v>65325</v>
      </c>
      <c r="C1765">
        <v>7896045506934</v>
      </c>
      <c r="D1765">
        <v>3.69</v>
      </c>
      <c r="E1765">
        <v>2.7</v>
      </c>
      <c r="F1765" s="3">
        <v>0.26890000000000003</v>
      </c>
      <c r="G1765">
        <v>2.6976</v>
      </c>
      <c r="H1765">
        <v>378.1</v>
      </c>
    </row>
    <row r="1766" spans="1:8" x14ac:dyDescent="0.25">
      <c r="A1766" t="s">
        <v>1772</v>
      </c>
      <c r="B1766">
        <v>61426</v>
      </c>
      <c r="C1766">
        <v>7896045506439</v>
      </c>
      <c r="D1766">
        <v>4.29</v>
      </c>
      <c r="E1766">
        <v>3.4</v>
      </c>
      <c r="F1766" s="3">
        <v>0.20780000000000001</v>
      </c>
      <c r="G1766">
        <v>3.3984000000000001</v>
      </c>
      <c r="H1766">
        <v>19.2</v>
      </c>
    </row>
    <row r="1767" spans="1:8" x14ac:dyDescent="0.25">
      <c r="A1767" t="s">
        <v>1773</v>
      </c>
      <c r="B1767">
        <v>61427</v>
      </c>
      <c r="C1767">
        <v>7896045506415</v>
      </c>
      <c r="D1767">
        <v>3.79</v>
      </c>
      <c r="E1767">
        <v>2.58</v>
      </c>
      <c r="F1767" s="3">
        <v>0.31819999999999998</v>
      </c>
      <c r="G1767">
        <v>2.5840999999999998</v>
      </c>
      <c r="H1767">
        <v>44.133000000000003</v>
      </c>
    </row>
    <row r="1768" spans="1:8" x14ac:dyDescent="0.25">
      <c r="A1768" t="s">
        <v>1774</v>
      </c>
      <c r="B1768">
        <v>58523</v>
      </c>
      <c r="C1768">
        <v>7898230716654</v>
      </c>
      <c r="D1768">
        <v>6.19</v>
      </c>
      <c r="E1768">
        <v>3.49</v>
      </c>
      <c r="F1768" s="3">
        <v>0.43659999999999999</v>
      </c>
      <c r="G1768">
        <v>3.4874999999999998</v>
      </c>
      <c r="H1768">
        <v>5.4669999999999996</v>
      </c>
    </row>
    <row r="1769" spans="1:8" x14ac:dyDescent="0.25">
      <c r="A1769" t="s">
        <v>1775</v>
      </c>
      <c r="B1769">
        <v>58524</v>
      </c>
      <c r="C1769">
        <v>7898230716616</v>
      </c>
      <c r="D1769">
        <v>6.19</v>
      </c>
      <c r="E1769">
        <v>3.53</v>
      </c>
      <c r="F1769" s="3">
        <v>0.434</v>
      </c>
      <c r="G1769">
        <v>3.5034000000000001</v>
      </c>
      <c r="H1769">
        <v>29.167000000000002</v>
      </c>
    </row>
    <row r="1770" spans="1:8" x14ac:dyDescent="0.25">
      <c r="A1770" t="s">
        <v>1776</v>
      </c>
      <c r="B1770">
        <v>58525</v>
      </c>
      <c r="C1770">
        <v>7898230716630</v>
      </c>
      <c r="D1770">
        <v>6.19</v>
      </c>
      <c r="E1770">
        <v>3.52</v>
      </c>
      <c r="F1770" s="3">
        <v>0.43359999999999999</v>
      </c>
      <c r="G1770">
        <v>3.5057999999999998</v>
      </c>
      <c r="H1770">
        <v>37.533000000000001</v>
      </c>
    </row>
    <row r="1771" spans="1:8" x14ac:dyDescent="0.25">
      <c r="A1771" t="s">
        <v>1777</v>
      </c>
      <c r="B1771">
        <v>29244</v>
      </c>
      <c r="C1771">
        <v>7898230715558</v>
      </c>
      <c r="D1771">
        <v>12.9</v>
      </c>
      <c r="E1771">
        <v>6.92</v>
      </c>
      <c r="F1771" s="3">
        <v>0.4637</v>
      </c>
      <c r="G1771">
        <v>6.9188000000000001</v>
      </c>
      <c r="H1771">
        <v>6.867</v>
      </c>
    </row>
    <row r="1772" spans="1:8" x14ac:dyDescent="0.25">
      <c r="A1772" t="s">
        <v>1778</v>
      </c>
      <c r="B1772">
        <v>9477</v>
      </c>
      <c r="C1772">
        <v>7898230710102</v>
      </c>
      <c r="D1772">
        <v>12.9</v>
      </c>
      <c r="E1772">
        <v>6.9</v>
      </c>
      <c r="F1772" s="3">
        <v>0.46509999999999996</v>
      </c>
      <c r="G1772">
        <v>6.9</v>
      </c>
      <c r="H1772">
        <v>0.8</v>
      </c>
    </row>
    <row r="1773" spans="1:8" x14ac:dyDescent="0.25">
      <c r="A1773" t="s">
        <v>1779</v>
      </c>
      <c r="B1773">
        <v>10582</v>
      </c>
      <c r="C1773">
        <v>7898230710201</v>
      </c>
      <c r="D1773">
        <v>12.9</v>
      </c>
      <c r="E1773">
        <v>6.9</v>
      </c>
      <c r="F1773" s="3">
        <v>0.46509999999999996</v>
      </c>
      <c r="G1773">
        <v>6.9</v>
      </c>
      <c r="H1773">
        <v>5.2329999999999997</v>
      </c>
    </row>
    <row r="1774" spans="1:8" x14ac:dyDescent="0.25">
      <c r="A1774" t="s">
        <v>1780</v>
      </c>
      <c r="B1774">
        <v>28729</v>
      </c>
      <c r="C1774">
        <v>7898230715213</v>
      </c>
      <c r="D1774">
        <v>12.9</v>
      </c>
      <c r="E1774">
        <v>6.91</v>
      </c>
      <c r="F1774" s="3">
        <v>0.46500000000000002</v>
      </c>
      <c r="G1774">
        <v>6.9020000000000001</v>
      </c>
      <c r="H1774">
        <v>6.0670000000000002</v>
      </c>
    </row>
    <row r="1775" spans="1:8" x14ac:dyDescent="0.25">
      <c r="A1775" t="s">
        <v>1781</v>
      </c>
      <c r="B1775">
        <v>65326</v>
      </c>
      <c r="C1775">
        <v>7898230716784</v>
      </c>
      <c r="D1775">
        <v>6.19</v>
      </c>
      <c r="E1775">
        <v>3.56</v>
      </c>
      <c r="F1775" s="3">
        <v>0.43359999999999999</v>
      </c>
      <c r="G1775">
        <v>3.5063</v>
      </c>
      <c r="H1775">
        <v>27.067</v>
      </c>
    </row>
    <row r="1776" spans="1:8" x14ac:dyDescent="0.25">
      <c r="A1776" t="s">
        <v>1782</v>
      </c>
      <c r="B1776">
        <v>14086</v>
      </c>
      <c r="C1776">
        <v>7896045506095</v>
      </c>
      <c r="D1776">
        <v>2.99</v>
      </c>
      <c r="E1776">
        <v>2.41</v>
      </c>
      <c r="F1776" s="3">
        <v>0.19320000000000001</v>
      </c>
      <c r="G1776">
        <v>2.4123999999999999</v>
      </c>
      <c r="H1776">
        <v>15.433</v>
      </c>
    </row>
    <row r="1777" spans="1:8" x14ac:dyDescent="0.25">
      <c r="A1777" t="s">
        <v>1783</v>
      </c>
      <c r="B1777">
        <v>56757</v>
      </c>
      <c r="C1777">
        <v>7891991294263</v>
      </c>
      <c r="D1777">
        <v>5.9</v>
      </c>
      <c r="E1777">
        <v>4.37</v>
      </c>
      <c r="F1777" s="3">
        <v>0.2591</v>
      </c>
      <c r="G1777">
        <v>4.3715000000000002</v>
      </c>
      <c r="H1777">
        <v>9.9329999999999998</v>
      </c>
    </row>
    <row r="1778" spans="1:8" x14ac:dyDescent="0.25">
      <c r="A1778" t="s">
        <v>1784</v>
      </c>
      <c r="B1778">
        <v>56046</v>
      </c>
      <c r="C1778">
        <v>7891991014717</v>
      </c>
      <c r="D1778">
        <v>6.9</v>
      </c>
      <c r="E1778">
        <v>5.4</v>
      </c>
      <c r="F1778" s="3">
        <v>0.2165</v>
      </c>
      <c r="G1778">
        <v>5.4062000000000001</v>
      </c>
      <c r="H1778">
        <v>4.9000000000000004</v>
      </c>
    </row>
    <row r="1779" spans="1:8" x14ac:dyDescent="0.25">
      <c r="A1779" t="s">
        <v>1785</v>
      </c>
      <c r="B1779">
        <v>60104</v>
      </c>
      <c r="C1779">
        <v>7891991295116</v>
      </c>
      <c r="D1779">
        <v>11.49</v>
      </c>
      <c r="E1779">
        <v>9.16</v>
      </c>
      <c r="F1779" s="3">
        <v>0.2029</v>
      </c>
      <c r="G1779">
        <v>9.1585999999999999</v>
      </c>
      <c r="H1779">
        <v>0.433</v>
      </c>
    </row>
    <row r="1780" spans="1:8" x14ac:dyDescent="0.25">
      <c r="A1780" t="s">
        <v>1786</v>
      </c>
      <c r="B1780">
        <v>62388</v>
      </c>
      <c r="C1780">
        <v>7898377661145</v>
      </c>
      <c r="D1780">
        <v>12.9</v>
      </c>
      <c r="E1780">
        <v>7.82</v>
      </c>
      <c r="F1780" s="3">
        <v>0.39510000000000001</v>
      </c>
      <c r="G1780">
        <v>7.8032000000000004</v>
      </c>
      <c r="H1780">
        <v>6.1669999999999998</v>
      </c>
    </row>
    <row r="1781" spans="1:8" x14ac:dyDescent="0.25">
      <c r="A1781" t="s">
        <v>1787</v>
      </c>
      <c r="B1781">
        <v>51218</v>
      </c>
      <c r="C1781">
        <v>7898377661039</v>
      </c>
      <c r="D1781">
        <v>12.9</v>
      </c>
      <c r="E1781">
        <v>7.83</v>
      </c>
      <c r="F1781" s="3">
        <v>0.39419999999999999</v>
      </c>
      <c r="G1781">
        <v>7.8152999999999997</v>
      </c>
      <c r="H1781">
        <v>3.367</v>
      </c>
    </row>
    <row r="1782" spans="1:8" x14ac:dyDescent="0.25">
      <c r="A1782" t="s">
        <v>1788</v>
      </c>
      <c r="B1782">
        <v>30401</v>
      </c>
      <c r="C1782">
        <v>7898377660377</v>
      </c>
      <c r="D1782">
        <v>12.9</v>
      </c>
      <c r="E1782">
        <v>7.8</v>
      </c>
      <c r="F1782" s="3">
        <v>0.3957</v>
      </c>
      <c r="G1782">
        <v>7.7953000000000001</v>
      </c>
      <c r="H1782">
        <v>5.4</v>
      </c>
    </row>
    <row r="1783" spans="1:8" x14ac:dyDescent="0.25">
      <c r="A1783" t="s">
        <v>1789</v>
      </c>
      <c r="B1783">
        <v>51215</v>
      </c>
      <c r="C1783">
        <v>7898377660995</v>
      </c>
      <c r="D1783">
        <v>12.9</v>
      </c>
      <c r="E1783">
        <v>7.79</v>
      </c>
      <c r="F1783" s="3">
        <v>0.39579999999999999</v>
      </c>
      <c r="G1783">
        <v>7.7942</v>
      </c>
      <c r="H1783">
        <v>6.9</v>
      </c>
    </row>
    <row r="1784" spans="1:8" x14ac:dyDescent="0.25">
      <c r="A1784" t="s">
        <v>1790</v>
      </c>
      <c r="B1784">
        <v>51217</v>
      </c>
      <c r="C1784">
        <v>7898377660971</v>
      </c>
      <c r="D1784">
        <v>12.9</v>
      </c>
      <c r="E1784">
        <v>7.84</v>
      </c>
      <c r="F1784" s="3">
        <v>0.39490000000000003</v>
      </c>
      <c r="G1784">
        <v>7.8052999999999999</v>
      </c>
      <c r="H1784">
        <v>3.6669999999999998</v>
      </c>
    </row>
    <row r="1785" spans="1:8" x14ac:dyDescent="0.25">
      <c r="A1785" t="s">
        <v>1791</v>
      </c>
      <c r="B1785">
        <v>62387</v>
      </c>
      <c r="C1785">
        <v>7898377661169</v>
      </c>
      <c r="D1785">
        <v>12.9</v>
      </c>
      <c r="E1785">
        <v>7.79</v>
      </c>
      <c r="F1785" s="3">
        <v>0.39579999999999999</v>
      </c>
      <c r="G1785">
        <v>7.7939999999999996</v>
      </c>
      <c r="H1785">
        <v>4.367</v>
      </c>
    </row>
    <row r="1786" spans="1:8" x14ac:dyDescent="0.25">
      <c r="A1786" t="s">
        <v>1792</v>
      </c>
      <c r="B1786">
        <v>51210</v>
      </c>
      <c r="C1786">
        <v>7898377661015</v>
      </c>
      <c r="D1786">
        <v>12.9</v>
      </c>
      <c r="E1786">
        <v>7.8</v>
      </c>
      <c r="F1786" s="3">
        <v>0.3957</v>
      </c>
      <c r="G1786">
        <v>7.7954999999999997</v>
      </c>
      <c r="H1786">
        <v>5.9669999999999996</v>
      </c>
    </row>
    <row r="1787" spans="1:8" x14ac:dyDescent="0.25">
      <c r="A1787" t="s">
        <v>1793</v>
      </c>
      <c r="B1787">
        <v>62542</v>
      </c>
      <c r="C1787">
        <v>7897395000769</v>
      </c>
      <c r="D1787">
        <v>4.79</v>
      </c>
      <c r="E1787">
        <v>3.73</v>
      </c>
      <c r="F1787" s="3">
        <v>0.21989999999999998</v>
      </c>
      <c r="G1787">
        <v>3.7368000000000001</v>
      </c>
      <c r="H1787">
        <v>23</v>
      </c>
    </row>
    <row r="1788" spans="1:8" x14ac:dyDescent="0.25">
      <c r="A1788" t="s">
        <v>1794</v>
      </c>
      <c r="B1788">
        <v>58486</v>
      </c>
      <c r="C1788">
        <v>7898377661060</v>
      </c>
      <c r="D1788">
        <v>4.49</v>
      </c>
      <c r="E1788">
        <v>3.28</v>
      </c>
      <c r="F1788" s="3">
        <v>0.26700000000000002</v>
      </c>
      <c r="G1788">
        <v>3.2911000000000001</v>
      </c>
      <c r="H1788">
        <v>6.2329999999999997</v>
      </c>
    </row>
    <row r="1789" spans="1:8" x14ac:dyDescent="0.25">
      <c r="A1789" t="s">
        <v>1795</v>
      </c>
      <c r="B1789">
        <v>65016</v>
      </c>
      <c r="C1789">
        <v>7896045506514</v>
      </c>
      <c r="D1789">
        <v>12.9</v>
      </c>
      <c r="E1789">
        <v>3.15</v>
      </c>
      <c r="F1789" s="3">
        <v>0.75560000000000005</v>
      </c>
      <c r="G1789">
        <v>3.1534</v>
      </c>
      <c r="H1789">
        <v>11.667</v>
      </c>
    </row>
    <row r="1790" spans="1:8" x14ac:dyDescent="0.25">
      <c r="A1790" t="s">
        <v>1796</v>
      </c>
      <c r="B1790">
        <v>65017</v>
      </c>
      <c r="C1790">
        <v>7896045506507</v>
      </c>
      <c r="D1790">
        <v>7.9</v>
      </c>
      <c r="E1790">
        <v>3.9</v>
      </c>
      <c r="F1790" s="3">
        <v>0.50600000000000001</v>
      </c>
      <c r="G1790">
        <v>3.9022999999999999</v>
      </c>
      <c r="H1790">
        <v>7.6</v>
      </c>
    </row>
    <row r="1791" spans="1:8" x14ac:dyDescent="0.25">
      <c r="A1791" t="s">
        <v>1797</v>
      </c>
      <c r="B1791">
        <v>56971</v>
      </c>
      <c r="C1791">
        <v>7891991010177</v>
      </c>
      <c r="D1791">
        <v>2.99</v>
      </c>
      <c r="E1791">
        <v>2.4900000000000002</v>
      </c>
      <c r="F1791" s="3">
        <v>0.16739999999999999</v>
      </c>
      <c r="G1791">
        <v>2.4895</v>
      </c>
      <c r="H1791">
        <v>11.967000000000001</v>
      </c>
    </row>
    <row r="1792" spans="1:8" x14ac:dyDescent="0.25">
      <c r="A1792" t="s">
        <v>1798</v>
      </c>
      <c r="B1792">
        <v>61177</v>
      </c>
      <c r="C1792">
        <v>7891991295277</v>
      </c>
      <c r="D1792">
        <v>3.19</v>
      </c>
      <c r="E1792">
        <v>2.52</v>
      </c>
      <c r="F1792" s="3">
        <v>0.2107</v>
      </c>
      <c r="G1792">
        <v>2.5179</v>
      </c>
      <c r="H1792">
        <v>176.333</v>
      </c>
    </row>
    <row r="1793" spans="1:8" x14ac:dyDescent="0.25">
      <c r="A1793" t="s">
        <v>1799</v>
      </c>
      <c r="B1793">
        <v>5942</v>
      </c>
      <c r="C1793">
        <v>7891149103270</v>
      </c>
      <c r="D1793">
        <v>2.69</v>
      </c>
      <c r="E1793">
        <v>2.09</v>
      </c>
      <c r="F1793" s="3">
        <v>0.223</v>
      </c>
      <c r="G1793">
        <v>2.09</v>
      </c>
      <c r="H1793">
        <v>185.5</v>
      </c>
    </row>
    <row r="1794" spans="1:8" x14ac:dyDescent="0.25">
      <c r="A1794" t="s">
        <v>1800</v>
      </c>
      <c r="B1794">
        <v>9223</v>
      </c>
      <c r="C1794">
        <v>7891149104932</v>
      </c>
      <c r="D1794">
        <v>3.99</v>
      </c>
      <c r="E1794">
        <v>3.16</v>
      </c>
      <c r="F1794" s="3">
        <v>0.20860000000000001</v>
      </c>
      <c r="G1794">
        <v>3.1577000000000002</v>
      </c>
      <c r="H1794">
        <v>49.1</v>
      </c>
    </row>
    <row r="1795" spans="1:8" x14ac:dyDescent="0.25">
      <c r="A1795" t="s">
        <v>1801</v>
      </c>
      <c r="B1795">
        <v>13291</v>
      </c>
      <c r="C1795">
        <v>7891991014762</v>
      </c>
      <c r="D1795">
        <v>5.19</v>
      </c>
      <c r="E1795">
        <v>4.1900000000000004</v>
      </c>
      <c r="F1795" s="3">
        <v>0.19320000000000001</v>
      </c>
      <c r="G1795">
        <v>4.1875</v>
      </c>
      <c r="H1795">
        <v>17.966999999999999</v>
      </c>
    </row>
    <row r="1796" spans="1:8" x14ac:dyDescent="0.25">
      <c r="A1796" t="s">
        <v>1802</v>
      </c>
      <c r="B1796">
        <v>63726</v>
      </c>
      <c r="C1796">
        <v>7891991298421</v>
      </c>
      <c r="D1796">
        <v>5.49</v>
      </c>
      <c r="E1796">
        <v>4.5599999999999996</v>
      </c>
      <c r="F1796" s="3">
        <v>0.17100000000000001</v>
      </c>
      <c r="G1796">
        <v>4.5511999999999997</v>
      </c>
      <c r="H1796">
        <v>14.733000000000001</v>
      </c>
    </row>
    <row r="1797" spans="1:8" x14ac:dyDescent="0.25">
      <c r="A1797" t="s">
        <v>1803</v>
      </c>
      <c r="B1797">
        <v>39925</v>
      </c>
      <c r="C1797">
        <v>7891991011877</v>
      </c>
      <c r="D1797">
        <v>2.99</v>
      </c>
      <c r="E1797">
        <v>2.35</v>
      </c>
      <c r="F1797" s="3">
        <v>0.2107</v>
      </c>
      <c r="G1797">
        <v>2.3599000000000001</v>
      </c>
      <c r="H1797">
        <v>384.63299999999998</v>
      </c>
    </row>
    <row r="1798" spans="1:8" x14ac:dyDescent="0.25">
      <c r="A1798" t="s">
        <v>1804</v>
      </c>
      <c r="B1798">
        <v>63725</v>
      </c>
      <c r="C1798">
        <v>7891991298407</v>
      </c>
      <c r="D1798">
        <v>4.49</v>
      </c>
      <c r="E1798">
        <v>3.47</v>
      </c>
      <c r="F1798" s="3">
        <v>0.22670000000000001</v>
      </c>
      <c r="G1798">
        <v>3.4719000000000002</v>
      </c>
      <c r="H1798">
        <v>43.7</v>
      </c>
    </row>
    <row r="1799" spans="1:8" x14ac:dyDescent="0.25">
      <c r="A1799" t="s">
        <v>1805</v>
      </c>
      <c r="B1799">
        <v>54281</v>
      </c>
      <c r="C1799">
        <v>7897395007256</v>
      </c>
      <c r="D1799">
        <v>4.29</v>
      </c>
      <c r="E1799">
        <v>3.29</v>
      </c>
      <c r="F1799" s="3">
        <v>0.23309999999999997</v>
      </c>
      <c r="G1799">
        <v>3.29</v>
      </c>
      <c r="H1799">
        <v>3.3000000000000002E-2</v>
      </c>
    </row>
    <row r="1800" spans="1:8" x14ac:dyDescent="0.25">
      <c r="A1800" t="s">
        <v>1806</v>
      </c>
      <c r="B1800">
        <v>54282</v>
      </c>
      <c r="C1800">
        <v>7897395007089</v>
      </c>
      <c r="D1800">
        <v>4.9000000000000004</v>
      </c>
      <c r="E1800">
        <v>4.49</v>
      </c>
      <c r="F1800" s="3">
        <v>8.3499999999999991E-2</v>
      </c>
      <c r="G1800">
        <v>4.4909999999999997</v>
      </c>
      <c r="H1800">
        <v>3.8330000000000002</v>
      </c>
    </row>
    <row r="1801" spans="1:8" x14ac:dyDescent="0.25">
      <c r="A1801" t="s">
        <v>1807</v>
      </c>
      <c r="B1801">
        <v>5957</v>
      </c>
      <c r="C1801">
        <v>7891149210503</v>
      </c>
      <c r="D1801">
        <v>4.99</v>
      </c>
      <c r="E1801">
        <v>4.0599999999999996</v>
      </c>
      <c r="F1801" s="3">
        <v>0.1862</v>
      </c>
      <c r="G1801">
        <v>4.0610999999999997</v>
      </c>
      <c r="H1801">
        <v>30.4</v>
      </c>
    </row>
    <row r="1802" spans="1:8" x14ac:dyDescent="0.25">
      <c r="A1802" t="s">
        <v>1808</v>
      </c>
      <c r="B1802">
        <v>60107</v>
      </c>
      <c r="C1802">
        <v>7898605254132</v>
      </c>
      <c r="D1802">
        <v>6.79</v>
      </c>
      <c r="E1802">
        <v>5.57</v>
      </c>
      <c r="F1802" s="3">
        <v>0.18049999999999999</v>
      </c>
      <c r="G1802">
        <v>5.5643000000000002</v>
      </c>
      <c r="H1802">
        <v>6.1669999999999998</v>
      </c>
    </row>
    <row r="1803" spans="1:8" x14ac:dyDescent="0.25">
      <c r="A1803" t="s">
        <v>1809</v>
      </c>
      <c r="B1803">
        <v>60108</v>
      </c>
      <c r="C1803">
        <v>7898605253272</v>
      </c>
      <c r="D1803">
        <v>6.79</v>
      </c>
      <c r="E1803">
        <v>5.68</v>
      </c>
      <c r="F1803" s="3">
        <v>0.15340000000000001</v>
      </c>
      <c r="G1803">
        <v>5.7484999999999999</v>
      </c>
      <c r="H1803">
        <v>5.4</v>
      </c>
    </row>
    <row r="1804" spans="1:8" x14ac:dyDescent="0.25">
      <c r="A1804" t="s">
        <v>1810</v>
      </c>
      <c r="B1804">
        <v>58016</v>
      </c>
      <c r="C1804">
        <v>7898605253777</v>
      </c>
      <c r="D1804">
        <v>7.9</v>
      </c>
      <c r="E1804">
        <v>6.17</v>
      </c>
      <c r="F1804" s="3">
        <v>0.2089</v>
      </c>
      <c r="G1804">
        <v>6.2500999999999998</v>
      </c>
      <c r="H1804">
        <v>1.5</v>
      </c>
    </row>
    <row r="1805" spans="1:8" x14ac:dyDescent="0.25">
      <c r="A1805" t="s">
        <v>1811</v>
      </c>
      <c r="B1805">
        <v>29729</v>
      </c>
      <c r="C1805">
        <v>7898925943020</v>
      </c>
      <c r="D1805">
        <v>15.9</v>
      </c>
      <c r="E1805">
        <v>11.84</v>
      </c>
      <c r="F1805" s="3">
        <v>0.25340000000000001</v>
      </c>
      <c r="G1805">
        <v>11.8713</v>
      </c>
      <c r="H1805">
        <v>2.867</v>
      </c>
    </row>
    <row r="1806" spans="1:8" x14ac:dyDescent="0.25">
      <c r="A1806" t="s">
        <v>1812</v>
      </c>
      <c r="B1806">
        <v>29731</v>
      </c>
      <c r="C1806">
        <v>7898925943075</v>
      </c>
      <c r="D1806">
        <v>14.99</v>
      </c>
      <c r="E1806">
        <v>10.57</v>
      </c>
      <c r="F1806" s="3">
        <v>0.31280000000000002</v>
      </c>
      <c r="G1806">
        <v>10.3017</v>
      </c>
      <c r="H1806">
        <v>1.4</v>
      </c>
    </row>
    <row r="1807" spans="1:8" x14ac:dyDescent="0.25">
      <c r="A1807" t="s">
        <v>1813</v>
      </c>
      <c r="B1807">
        <v>29732</v>
      </c>
      <c r="C1807">
        <v>7898925943037</v>
      </c>
      <c r="D1807">
        <v>14.99</v>
      </c>
      <c r="E1807">
        <v>11.59</v>
      </c>
      <c r="F1807" s="3">
        <v>0.22699999999999998</v>
      </c>
      <c r="G1807">
        <v>11.5875</v>
      </c>
      <c r="H1807">
        <v>1.3</v>
      </c>
    </row>
    <row r="1808" spans="1:8" x14ac:dyDescent="0.25">
      <c r="A1808" t="s">
        <v>1814</v>
      </c>
      <c r="B1808">
        <v>54576</v>
      </c>
      <c r="C1808">
        <v>7898605251827</v>
      </c>
      <c r="D1808">
        <v>15.9</v>
      </c>
      <c r="E1808">
        <v>11.83</v>
      </c>
      <c r="F1808" s="3">
        <v>0.2661</v>
      </c>
      <c r="G1808">
        <v>11.668799999999999</v>
      </c>
      <c r="H1808">
        <v>2.6</v>
      </c>
    </row>
    <row r="1809" spans="1:8" x14ac:dyDescent="0.25">
      <c r="A1809" t="s">
        <v>1815</v>
      </c>
      <c r="B1809">
        <v>63521</v>
      </c>
      <c r="C1809">
        <v>7891991304184</v>
      </c>
      <c r="D1809">
        <v>6.9</v>
      </c>
      <c r="E1809">
        <v>5.99</v>
      </c>
      <c r="F1809" s="3">
        <v>0.13189999999999999</v>
      </c>
      <c r="G1809">
        <v>5.9897999999999998</v>
      </c>
      <c r="H1809">
        <v>40.767000000000003</v>
      </c>
    </row>
    <row r="1810" spans="1:8" x14ac:dyDescent="0.25">
      <c r="A1810" t="s">
        <v>1816</v>
      </c>
      <c r="B1810">
        <v>69331</v>
      </c>
      <c r="C1810">
        <v>7891991307505</v>
      </c>
      <c r="D1810">
        <v>5.9</v>
      </c>
      <c r="E1810">
        <v>4.55</v>
      </c>
      <c r="F1810" s="3">
        <v>0.22940000000000002</v>
      </c>
      <c r="G1810">
        <v>4.5465</v>
      </c>
      <c r="H1810">
        <v>21.646000000000001</v>
      </c>
    </row>
    <row r="1811" spans="1:8" x14ac:dyDescent="0.25">
      <c r="A1811" t="s">
        <v>1817</v>
      </c>
      <c r="B1811">
        <v>56010</v>
      </c>
      <c r="C1811">
        <v>7891149108718</v>
      </c>
      <c r="D1811">
        <v>6.53</v>
      </c>
      <c r="E1811">
        <v>5.2</v>
      </c>
      <c r="F1811" s="3">
        <v>0.20559999999999998</v>
      </c>
      <c r="G1811">
        <v>5.1909999999999998</v>
      </c>
      <c r="H1811">
        <v>157.86699999999999</v>
      </c>
    </row>
    <row r="1812" spans="1:8" x14ac:dyDescent="0.25">
      <c r="A1812" t="s">
        <v>1818</v>
      </c>
      <c r="B1812">
        <v>67826</v>
      </c>
      <c r="C1812">
        <v>7891991306324</v>
      </c>
      <c r="D1812">
        <v>5.29</v>
      </c>
      <c r="E1812">
        <v>3.83</v>
      </c>
      <c r="F1812" s="3">
        <v>0.2757</v>
      </c>
      <c r="G1812">
        <v>3.8315999999999999</v>
      </c>
      <c r="H1812">
        <v>17.2</v>
      </c>
    </row>
    <row r="1813" spans="1:8" x14ac:dyDescent="0.25">
      <c r="A1813" t="s">
        <v>1819</v>
      </c>
      <c r="B1813">
        <v>62604</v>
      </c>
      <c r="C1813">
        <v>7891991295055</v>
      </c>
      <c r="D1813">
        <v>5.49</v>
      </c>
      <c r="E1813">
        <v>4.3</v>
      </c>
      <c r="F1813" s="3">
        <v>0.2175</v>
      </c>
      <c r="G1813">
        <v>4.2961</v>
      </c>
      <c r="H1813">
        <v>52</v>
      </c>
    </row>
    <row r="1814" spans="1:8" x14ac:dyDescent="0.25">
      <c r="A1814" t="s">
        <v>1820</v>
      </c>
      <c r="B1814">
        <v>61853</v>
      </c>
      <c r="C1814">
        <v>7898942815720</v>
      </c>
      <c r="D1814">
        <v>15.9</v>
      </c>
      <c r="E1814">
        <v>8.0299999999999994</v>
      </c>
      <c r="F1814" s="3">
        <v>0.49340000000000006</v>
      </c>
      <c r="G1814">
        <v>8.0546000000000006</v>
      </c>
      <c r="H1814">
        <v>0.33300000000000002</v>
      </c>
    </row>
    <row r="1815" spans="1:8" x14ac:dyDescent="0.25">
      <c r="A1815" t="s">
        <v>1821</v>
      </c>
      <c r="B1815">
        <v>38886</v>
      </c>
      <c r="C1815">
        <v>7898942815041</v>
      </c>
      <c r="D1815">
        <v>15.9</v>
      </c>
      <c r="E1815">
        <v>11.49</v>
      </c>
      <c r="F1815" s="3">
        <v>0.28149999999999997</v>
      </c>
      <c r="G1815">
        <v>11.4237</v>
      </c>
      <c r="H1815">
        <v>1.0329999999999999</v>
      </c>
    </row>
    <row r="1816" spans="1:8" x14ac:dyDescent="0.25">
      <c r="A1816" t="s">
        <v>1822</v>
      </c>
      <c r="B1816">
        <v>38885</v>
      </c>
      <c r="C1816">
        <v>7898942815331</v>
      </c>
      <c r="D1816">
        <v>15.9</v>
      </c>
      <c r="E1816">
        <v>8.1</v>
      </c>
      <c r="F1816" s="3">
        <v>0.49829999999999997</v>
      </c>
      <c r="G1816">
        <v>7.9763999999999999</v>
      </c>
      <c r="H1816">
        <v>0.76700000000000002</v>
      </c>
    </row>
    <row r="1817" spans="1:8" x14ac:dyDescent="0.25">
      <c r="A1817" t="s">
        <v>1823</v>
      </c>
      <c r="B1817">
        <v>47136</v>
      </c>
      <c r="C1817">
        <v>7898942815508</v>
      </c>
      <c r="D1817">
        <v>15.9</v>
      </c>
      <c r="E1817">
        <v>10.37</v>
      </c>
      <c r="F1817" s="3">
        <v>0.34770000000000001</v>
      </c>
      <c r="G1817">
        <v>10.370799999999999</v>
      </c>
      <c r="H1817">
        <v>0.93300000000000005</v>
      </c>
    </row>
    <row r="1818" spans="1:8" x14ac:dyDescent="0.25">
      <c r="A1818" t="s">
        <v>1824</v>
      </c>
      <c r="B1818">
        <v>61158</v>
      </c>
      <c r="C1818">
        <v>7898942815010</v>
      </c>
      <c r="D1818">
        <v>15.9</v>
      </c>
      <c r="E1818">
        <v>8.43</v>
      </c>
      <c r="F1818" s="3">
        <v>0.47020000000000001</v>
      </c>
      <c r="G1818">
        <v>8.4242000000000008</v>
      </c>
      <c r="H1818">
        <v>0.433</v>
      </c>
    </row>
    <row r="1819" spans="1:8" x14ac:dyDescent="0.25">
      <c r="A1819" t="s">
        <v>1825</v>
      </c>
      <c r="B1819">
        <v>57729</v>
      </c>
      <c r="C1819">
        <v>7898942815744</v>
      </c>
      <c r="D1819">
        <v>8.2799999999999994</v>
      </c>
      <c r="E1819">
        <v>4.4400000000000004</v>
      </c>
      <c r="F1819" s="3">
        <v>0.47149999999999997</v>
      </c>
      <c r="G1819">
        <v>4.3769999999999998</v>
      </c>
      <c r="H1819">
        <v>2.133</v>
      </c>
    </row>
    <row r="1820" spans="1:8" x14ac:dyDescent="0.25">
      <c r="A1820" t="s">
        <v>1826</v>
      </c>
      <c r="B1820">
        <v>57727</v>
      </c>
      <c r="C1820">
        <v>7898942815713</v>
      </c>
      <c r="D1820">
        <v>7.9</v>
      </c>
      <c r="E1820">
        <v>4.5199999999999996</v>
      </c>
      <c r="F1820" s="3">
        <v>0.44020000000000004</v>
      </c>
      <c r="G1820">
        <v>4.4221000000000004</v>
      </c>
      <c r="H1820">
        <v>2.367</v>
      </c>
    </row>
    <row r="1821" spans="1:8" x14ac:dyDescent="0.25">
      <c r="A1821" t="s">
        <v>1827</v>
      </c>
      <c r="B1821">
        <v>57728</v>
      </c>
      <c r="C1821">
        <v>7898942815737</v>
      </c>
      <c r="D1821">
        <v>8.82</v>
      </c>
      <c r="E1821">
        <v>4.3899999999999997</v>
      </c>
      <c r="F1821" s="3">
        <v>0.50390000000000001</v>
      </c>
      <c r="G1821">
        <v>4.3765999999999998</v>
      </c>
      <c r="H1821">
        <v>1.5329999999999999</v>
      </c>
    </row>
    <row r="1822" spans="1:8" x14ac:dyDescent="0.25">
      <c r="A1822" t="s">
        <v>1828</v>
      </c>
      <c r="B1822">
        <v>57723</v>
      </c>
      <c r="C1822">
        <v>7898942815058</v>
      </c>
      <c r="D1822">
        <v>15.9</v>
      </c>
      <c r="E1822">
        <v>10.37</v>
      </c>
      <c r="F1822" s="3">
        <v>0.34789999999999999</v>
      </c>
      <c r="G1822">
        <v>10.3687</v>
      </c>
      <c r="H1822">
        <v>0.46700000000000003</v>
      </c>
    </row>
    <row r="1823" spans="1:8" x14ac:dyDescent="0.25">
      <c r="A1823" t="s">
        <v>1829</v>
      </c>
      <c r="B1823">
        <v>38887</v>
      </c>
      <c r="C1823">
        <v>7898942815492</v>
      </c>
      <c r="D1823">
        <v>19.899999999999999</v>
      </c>
      <c r="E1823">
        <v>18.39</v>
      </c>
      <c r="F1823" s="3">
        <v>7.5800000000000006E-2</v>
      </c>
      <c r="G1823">
        <v>18.392199999999999</v>
      </c>
      <c r="H1823">
        <v>0.1</v>
      </c>
    </row>
    <row r="1824" spans="1:8" x14ac:dyDescent="0.25">
      <c r="A1824" t="s">
        <v>1830</v>
      </c>
      <c r="B1824">
        <v>47137</v>
      </c>
      <c r="C1824">
        <v>7898942815027</v>
      </c>
      <c r="D1824">
        <v>15.9</v>
      </c>
      <c r="E1824">
        <v>11.99</v>
      </c>
      <c r="F1824" s="3">
        <v>0.23829999999999998</v>
      </c>
      <c r="G1824">
        <v>12.1111</v>
      </c>
      <c r="H1824">
        <v>0.33300000000000002</v>
      </c>
    </row>
    <row r="1825" spans="1:8" x14ac:dyDescent="0.25">
      <c r="A1825" t="s">
        <v>1831</v>
      </c>
      <c r="B1825">
        <v>57726</v>
      </c>
      <c r="C1825">
        <v>7898942815621</v>
      </c>
      <c r="D1825">
        <v>15.9</v>
      </c>
      <c r="E1825">
        <v>9.8800000000000008</v>
      </c>
      <c r="F1825" s="3">
        <v>0.37859999999999999</v>
      </c>
      <c r="G1825">
        <v>9.8800000000000008</v>
      </c>
      <c r="H1825">
        <v>0.23300000000000001</v>
      </c>
    </row>
    <row r="1826" spans="1:8" x14ac:dyDescent="0.25">
      <c r="A1826" t="s">
        <v>1832</v>
      </c>
      <c r="B1826">
        <v>54637</v>
      </c>
      <c r="C1826">
        <v>7898367984056</v>
      </c>
      <c r="D1826">
        <v>5.9</v>
      </c>
      <c r="E1826">
        <v>3.67</v>
      </c>
      <c r="F1826" s="3">
        <v>0.36990000000000001</v>
      </c>
      <c r="G1826">
        <v>3.7174</v>
      </c>
      <c r="H1826">
        <v>27.7</v>
      </c>
    </row>
    <row r="1827" spans="1:8" x14ac:dyDescent="0.25">
      <c r="A1827" t="s">
        <v>1833</v>
      </c>
      <c r="B1827">
        <v>54638</v>
      </c>
      <c r="C1827">
        <v>7898367984070</v>
      </c>
      <c r="D1827">
        <v>5.9</v>
      </c>
      <c r="E1827">
        <v>3.56</v>
      </c>
      <c r="F1827" s="3">
        <v>0.3967</v>
      </c>
      <c r="G1827">
        <v>3.5596999999999999</v>
      </c>
      <c r="H1827">
        <v>18.867000000000001</v>
      </c>
    </row>
    <row r="1828" spans="1:8" x14ac:dyDescent="0.25">
      <c r="A1828" t="s">
        <v>1834</v>
      </c>
      <c r="B1828">
        <v>52999</v>
      </c>
      <c r="C1828">
        <v>7898367983813</v>
      </c>
      <c r="D1828">
        <v>6.79</v>
      </c>
      <c r="E1828">
        <v>4.87</v>
      </c>
      <c r="F1828" s="3">
        <v>0.3</v>
      </c>
      <c r="G1828">
        <v>4.7526999999999999</v>
      </c>
      <c r="H1828">
        <v>4.8</v>
      </c>
    </row>
    <row r="1829" spans="1:8" x14ac:dyDescent="0.25">
      <c r="A1829" t="s">
        <v>1835</v>
      </c>
      <c r="B1829">
        <v>29576</v>
      </c>
      <c r="C1829">
        <v>7898367980034</v>
      </c>
      <c r="D1829">
        <v>6.79</v>
      </c>
      <c r="E1829">
        <v>4.1399999999999997</v>
      </c>
      <c r="F1829" s="3">
        <v>0.42049999999999998</v>
      </c>
      <c r="G1829">
        <v>3.9346999999999999</v>
      </c>
      <c r="H1829">
        <v>0.56699999999999995</v>
      </c>
    </row>
    <row r="1830" spans="1:8" x14ac:dyDescent="0.25">
      <c r="A1830" t="s">
        <v>1836</v>
      </c>
      <c r="B1830">
        <v>28726</v>
      </c>
      <c r="C1830">
        <v>7898367980041</v>
      </c>
      <c r="D1830">
        <v>6.49</v>
      </c>
      <c r="E1830">
        <v>5.09</v>
      </c>
      <c r="F1830" s="3">
        <v>0.21660000000000001</v>
      </c>
      <c r="G1830">
        <v>5.0839999999999996</v>
      </c>
      <c r="H1830">
        <v>0.5</v>
      </c>
    </row>
    <row r="1831" spans="1:8" x14ac:dyDescent="0.25">
      <c r="A1831" t="s">
        <v>1837</v>
      </c>
      <c r="B1831">
        <v>62071</v>
      </c>
      <c r="C1831">
        <v>7898367984346</v>
      </c>
      <c r="D1831">
        <v>5.69</v>
      </c>
      <c r="E1831">
        <v>4.1500000000000004</v>
      </c>
      <c r="F1831" s="3">
        <v>0.28260000000000002</v>
      </c>
      <c r="G1831">
        <v>4.0819999999999999</v>
      </c>
      <c r="H1831">
        <v>525.76700000000005</v>
      </c>
    </row>
    <row r="1832" spans="1:8" x14ac:dyDescent="0.25">
      <c r="A1832" t="s">
        <v>1838</v>
      </c>
      <c r="B1832">
        <v>62072</v>
      </c>
      <c r="C1832">
        <v>7898367984377</v>
      </c>
      <c r="D1832">
        <v>3.99</v>
      </c>
      <c r="E1832">
        <v>3.27</v>
      </c>
      <c r="F1832" s="3">
        <v>0.18049999999999999</v>
      </c>
      <c r="G1832">
        <v>3.27</v>
      </c>
      <c r="H1832">
        <v>17.466999999999999</v>
      </c>
    </row>
    <row r="1833" spans="1:8" x14ac:dyDescent="0.25">
      <c r="A1833" t="s">
        <v>1839</v>
      </c>
      <c r="B1833">
        <v>8106</v>
      </c>
      <c r="C1833">
        <v>7898367980010</v>
      </c>
      <c r="D1833">
        <v>5.79</v>
      </c>
      <c r="E1833">
        <v>4.1399999999999997</v>
      </c>
      <c r="F1833" s="3">
        <v>0.28210000000000002</v>
      </c>
      <c r="G1833">
        <v>4.1565000000000003</v>
      </c>
      <c r="H1833">
        <v>3.6</v>
      </c>
    </row>
    <row r="1834" spans="1:8" x14ac:dyDescent="0.25">
      <c r="A1834" t="s">
        <v>1840</v>
      </c>
      <c r="B1834">
        <v>65674</v>
      </c>
      <c r="C1834">
        <v>7898367984285</v>
      </c>
      <c r="D1834">
        <v>2.99</v>
      </c>
      <c r="E1834">
        <v>2.2799999999999998</v>
      </c>
      <c r="F1834" s="3">
        <v>0.2334</v>
      </c>
      <c r="G1834">
        <v>2.2921</v>
      </c>
      <c r="H1834">
        <v>600.73299999999995</v>
      </c>
    </row>
    <row r="1835" spans="1:8" x14ac:dyDescent="0.25">
      <c r="A1835" t="s">
        <v>1841</v>
      </c>
      <c r="B1835">
        <v>50721</v>
      </c>
      <c r="C1835">
        <v>7898367983790</v>
      </c>
      <c r="D1835">
        <v>4.49</v>
      </c>
      <c r="E1835">
        <v>3.3</v>
      </c>
      <c r="F1835" s="3">
        <v>0.26600000000000001</v>
      </c>
      <c r="G1835">
        <v>3.2955000000000001</v>
      </c>
      <c r="H1835">
        <v>32.1</v>
      </c>
    </row>
    <row r="1836" spans="1:8" x14ac:dyDescent="0.25">
      <c r="A1836" t="s">
        <v>1842</v>
      </c>
      <c r="B1836">
        <v>66632</v>
      </c>
      <c r="C1836">
        <v>4005873210255</v>
      </c>
      <c r="D1836">
        <v>29.9</v>
      </c>
      <c r="E1836">
        <v>20.260000000000002</v>
      </c>
      <c r="F1836" s="3">
        <v>0.2913</v>
      </c>
      <c r="G1836">
        <v>18.425599999999999</v>
      </c>
      <c r="H1836">
        <v>20.266999999999999</v>
      </c>
    </row>
    <row r="1837" spans="1:8" x14ac:dyDescent="0.25">
      <c r="A1837" t="s">
        <v>1843</v>
      </c>
      <c r="B1837">
        <v>66988</v>
      </c>
      <c r="C1837">
        <v>4002103292876</v>
      </c>
      <c r="D1837">
        <v>22.9</v>
      </c>
      <c r="E1837">
        <v>14.04</v>
      </c>
      <c r="F1837" s="3">
        <v>0.46429999999999999</v>
      </c>
      <c r="G1837">
        <v>12.2667</v>
      </c>
      <c r="H1837">
        <v>0.5</v>
      </c>
    </row>
    <row r="1838" spans="1:8" x14ac:dyDescent="0.25">
      <c r="A1838" t="s">
        <v>1844</v>
      </c>
      <c r="B1838">
        <v>14524</v>
      </c>
      <c r="C1838">
        <v>4002103267546</v>
      </c>
      <c r="D1838">
        <v>27.9</v>
      </c>
      <c r="E1838">
        <v>20.36</v>
      </c>
      <c r="F1838" s="3">
        <v>0.27329999999999999</v>
      </c>
      <c r="G1838">
        <v>20.2743</v>
      </c>
      <c r="H1838">
        <v>0.26700000000000002</v>
      </c>
    </row>
    <row r="1839" spans="1:8" x14ac:dyDescent="0.25">
      <c r="A1839" t="s">
        <v>1845</v>
      </c>
      <c r="B1839">
        <v>9465</v>
      </c>
      <c r="C1839">
        <v>4002103248675</v>
      </c>
      <c r="D1839">
        <v>29.9</v>
      </c>
      <c r="E1839">
        <v>17.440000000000001</v>
      </c>
      <c r="F1839" s="3">
        <v>0.4914</v>
      </c>
      <c r="G1839">
        <v>15.206799999999999</v>
      </c>
      <c r="H1839">
        <v>435.2</v>
      </c>
    </row>
    <row r="1840" spans="1:8" x14ac:dyDescent="0.25">
      <c r="A1840" t="s">
        <v>1846</v>
      </c>
      <c r="B1840">
        <v>9481</v>
      </c>
      <c r="C1840">
        <v>4002103248712</v>
      </c>
      <c r="D1840">
        <v>29.9</v>
      </c>
      <c r="E1840">
        <v>18.690000000000001</v>
      </c>
      <c r="F1840" s="3">
        <v>0.43969999999999998</v>
      </c>
      <c r="G1840">
        <v>16.754000000000001</v>
      </c>
      <c r="H1840">
        <v>0.16700000000000001</v>
      </c>
    </row>
    <row r="1841" spans="1:8" x14ac:dyDescent="0.25">
      <c r="A1841" t="s">
        <v>1847</v>
      </c>
      <c r="B1841">
        <v>17483</v>
      </c>
      <c r="C1841">
        <v>4002103248699</v>
      </c>
      <c r="D1841">
        <v>23.9</v>
      </c>
      <c r="E1841">
        <v>16.41</v>
      </c>
      <c r="F1841" s="3">
        <v>0.36990000000000001</v>
      </c>
      <c r="G1841">
        <v>15.0593</v>
      </c>
      <c r="H1841">
        <v>3.1669999999999998</v>
      </c>
    </row>
    <row r="1842" spans="1:8" x14ac:dyDescent="0.25">
      <c r="A1842" t="s">
        <v>1848</v>
      </c>
      <c r="B1842">
        <v>20645</v>
      </c>
      <c r="C1842">
        <v>7898953990010</v>
      </c>
      <c r="D1842">
        <v>9.9</v>
      </c>
      <c r="E1842">
        <v>7.32</v>
      </c>
      <c r="F1842" s="3">
        <v>0.33390000000000003</v>
      </c>
      <c r="G1842">
        <v>6.5944000000000003</v>
      </c>
      <c r="H1842">
        <v>1.6</v>
      </c>
    </row>
    <row r="1843" spans="1:8" x14ac:dyDescent="0.25">
      <c r="A1843" t="s">
        <v>1849</v>
      </c>
      <c r="B1843">
        <v>55315</v>
      </c>
      <c r="C1843">
        <v>7898953990140</v>
      </c>
      <c r="D1843">
        <v>6.79</v>
      </c>
      <c r="E1843">
        <v>5.2</v>
      </c>
      <c r="F1843" s="3">
        <v>0.2366</v>
      </c>
      <c r="G1843">
        <v>5.1833999999999998</v>
      </c>
      <c r="H1843">
        <v>0.86699999999999999</v>
      </c>
    </row>
    <row r="1844" spans="1:8" x14ac:dyDescent="0.25">
      <c r="A1844" t="s">
        <v>1850</v>
      </c>
      <c r="B1844">
        <v>61674</v>
      </c>
      <c r="C1844">
        <v>7898953990065</v>
      </c>
      <c r="D1844">
        <v>6</v>
      </c>
      <c r="E1844">
        <v>4.34</v>
      </c>
      <c r="F1844" s="3">
        <v>0.27810000000000001</v>
      </c>
      <c r="G1844">
        <v>4.3326000000000002</v>
      </c>
      <c r="H1844">
        <v>2.4329999999999998</v>
      </c>
    </row>
    <row r="1845" spans="1:8" x14ac:dyDescent="0.25">
      <c r="A1845" t="s">
        <v>1851</v>
      </c>
      <c r="B1845">
        <v>24793</v>
      </c>
      <c r="C1845">
        <v>7898953990027</v>
      </c>
      <c r="D1845">
        <v>3.3</v>
      </c>
      <c r="E1845">
        <v>2.5</v>
      </c>
      <c r="F1845" s="3">
        <v>0.24480000000000002</v>
      </c>
      <c r="G1845">
        <v>2.4939</v>
      </c>
      <c r="H1845">
        <v>142.86699999999999</v>
      </c>
    </row>
    <row r="1846" spans="1:8" x14ac:dyDescent="0.25">
      <c r="A1846" t="s">
        <v>1852</v>
      </c>
      <c r="B1846">
        <v>20661</v>
      </c>
      <c r="C1846">
        <v>8412598000478</v>
      </c>
      <c r="D1846">
        <v>5.49</v>
      </c>
      <c r="E1846">
        <v>4.32</v>
      </c>
      <c r="F1846" s="3">
        <v>0.21629999999999999</v>
      </c>
      <c r="G1846">
        <v>4.3022</v>
      </c>
      <c r="H1846">
        <v>35.966999999999999</v>
      </c>
    </row>
    <row r="1847" spans="1:8" x14ac:dyDescent="0.25">
      <c r="A1847" t="s">
        <v>1853</v>
      </c>
      <c r="B1847">
        <v>53998</v>
      </c>
      <c r="C1847">
        <v>7891149108053</v>
      </c>
      <c r="D1847">
        <v>10.9</v>
      </c>
      <c r="E1847">
        <v>7.19</v>
      </c>
      <c r="F1847" s="3">
        <v>0.34060000000000001</v>
      </c>
      <c r="G1847">
        <v>7.1878000000000002</v>
      </c>
      <c r="H1847">
        <v>0.433</v>
      </c>
    </row>
    <row r="1848" spans="1:8" x14ac:dyDescent="0.25">
      <c r="A1848" t="s">
        <v>1854</v>
      </c>
      <c r="B1848">
        <v>25964</v>
      </c>
      <c r="C1848">
        <v>4005686001293</v>
      </c>
      <c r="D1848">
        <v>27.9</v>
      </c>
      <c r="E1848">
        <v>18.670000000000002</v>
      </c>
      <c r="F1848" s="3">
        <v>0.34639999999999999</v>
      </c>
      <c r="G1848">
        <v>18.235199999999999</v>
      </c>
      <c r="H1848">
        <v>0.7</v>
      </c>
    </row>
    <row r="1849" spans="1:8" x14ac:dyDescent="0.25">
      <c r="A1849" t="s">
        <v>1855</v>
      </c>
      <c r="B1849">
        <v>19308</v>
      </c>
      <c r="C1849">
        <v>78935495</v>
      </c>
      <c r="D1849">
        <v>4.99</v>
      </c>
      <c r="E1849">
        <v>3.85</v>
      </c>
      <c r="F1849" s="3">
        <v>0.22760000000000002</v>
      </c>
      <c r="G1849">
        <v>3.8544</v>
      </c>
      <c r="H1849">
        <v>7.2670000000000003</v>
      </c>
    </row>
    <row r="1850" spans="1:8" x14ac:dyDescent="0.25">
      <c r="A1850" t="s">
        <v>1856</v>
      </c>
      <c r="B1850">
        <v>5961</v>
      </c>
      <c r="C1850">
        <v>78936683</v>
      </c>
      <c r="D1850">
        <v>6.49</v>
      </c>
      <c r="E1850">
        <v>4.9800000000000004</v>
      </c>
      <c r="F1850" s="3">
        <v>0.23350000000000001</v>
      </c>
      <c r="G1850">
        <v>4.9748999999999999</v>
      </c>
      <c r="H1850">
        <v>382.56700000000001</v>
      </c>
    </row>
    <row r="1851" spans="1:8" x14ac:dyDescent="0.25">
      <c r="A1851" t="s">
        <v>1857</v>
      </c>
      <c r="B1851">
        <v>57414</v>
      </c>
      <c r="C1851">
        <v>7896045506040</v>
      </c>
      <c r="D1851">
        <v>6.49</v>
      </c>
      <c r="E1851">
        <v>5.28</v>
      </c>
      <c r="F1851" s="3">
        <v>0.22920000000000001</v>
      </c>
      <c r="G1851">
        <v>5.0026999999999999</v>
      </c>
      <c r="H1851">
        <v>45.966999999999999</v>
      </c>
    </row>
    <row r="1852" spans="1:8" x14ac:dyDescent="0.25">
      <c r="A1852" t="s">
        <v>1858</v>
      </c>
      <c r="B1852">
        <v>57415</v>
      </c>
      <c r="C1852">
        <v>7896045506910</v>
      </c>
      <c r="D1852">
        <v>4.99</v>
      </c>
      <c r="E1852">
        <v>4.01</v>
      </c>
      <c r="F1852" s="3">
        <v>0.19739999999999999</v>
      </c>
      <c r="G1852">
        <v>4.0046999999999997</v>
      </c>
      <c r="H1852">
        <v>94.2</v>
      </c>
    </row>
    <row r="1853" spans="1:8" x14ac:dyDescent="0.25">
      <c r="A1853" t="s">
        <v>1859</v>
      </c>
      <c r="B1853">
        <v>5965</v>
      </c>
      <c r="C1853">
        <v>7896045523412</v>
      </c>
      <c r="D1853">
        <v>5.49</v>
      </c>
      <c r="E1853">
        <v>4.49</v>
      </c>
      <c r="F1853" s="3">
        <v>0.18230000000000002</v>
      </c>
      <c r="G1853">
        <v>4.4892000000000003</v>
      </c>
      <c r="H1853">
        <v>0</v>
      </c>
    </row>
    <row r="1854" spans="1:8" x14ac:dyDescent="0.25">
      <c r="A1854" t="s">
        <v>1860</v>
      </c>
      <c r="B1854">
        <v>65009</v>
      </c>
      <c r="C1854">
        <v>7896045506873</v>
      </c>
      <c r="D1854">
        <v>5.59</v>
      </c>
      <c r="E1854">
        <v>4.0199999999999996</v>
      </c>
      <c r="F1854" s="3">
        <v>0.28260000000000002</v>
      </c>
      <c r="G1854">
        <v>4.0103</v>
      </c>
      <c r="H1854">
        <v>233.1</v>
      </c>
    </row>
    <row r="1855" spans="1:8" x14ac:dyDescent="0.25">
      <c r="A1855" t="s">
        <v>1861</v>
      </c>
      <c r="B1855">
        <v>64078</v>
      </c>
      <c r="C1855">
        <v>7896045506859</v>
      </c>
      <c r="D1855">
        <v>4.29</v>
      </c>
      <c r="E1855">
        <v>3.1</v>
      </c>
      <c r="F1855" s="3">
        <v>0.27699999999999997</v>
      </c>
      <c r="G1855">
        <v>3.1015000000000001</v>
      </c>
      <c r="H1855">
        <v>0</v>
      </c>
    </row>
    <row r="1856" spans="1:8" x14ac:dyDescent="0.25">
      <c r="A1856" t="s">
        <v>1862</v>
      </c>
      <c r="B1856">
        <v>5967</v>
      </c>
      <c r="C1856">
        <v>8712000031671</v>
      </c>
      <c r="D1856">
        <v>11.49</v>
      </c>
      <c r="E1856">
        <v>7.82</v>
      </c>
      <c r="F1856" s="3">
        <v>0.31989999999999996</v>
      </c>
      <c r="G1856">
        <v>7.8141999999999996</v>
      </c>
      <c r="H1856">
        <v>86.167000000000002</v>
      </c>
    </row>
    <row r="1857" spans="1:8" x14ac:dyDescent="0.25">
      <c r="A1857" t="s">
        <v>1863</v>
      </c>
      <c r="B1857">
        <v>63304</v>
      </c>
      <c r="C1857">
        <v>7896045506590</v>
      </c>
      <c r="D1857">
        <v>3.99</v>
      </c>
      <c r="E1857">
        <v>3.12</v>
      </c>
      <c r="F1857" s="3">
        <v>0.21479999999999999</v>
      </c>
      <c r="G1857">
        <v>3.133</v>
      </c>
      <c r="H1857">
        <v>635.56700000000001</v>
      </c>
    </row>
    <row r="1858" spans="1:8" x14ac:dyDescent="0.25">
      <c r="A1858" t="s">
        <v>1864</v>
      </c>
      <c r="B1858">
        <v>38436</v>
      </c>
      <c r="C1858">
        <v>7891149108640</v>
      </c>
      <c r="D1858">
        <v>7.9</v>
      </c>
      <c r="E1858">
        <v>6.39</v>
      </c>
      <c r="F1858" s="3">
        <v>0.19120000000000001</v>
      </c>
      <c r="G1858">
        <v>6.3893000000000004</v>
      </c>
      <c r="H1858">
        <v>5.7</v>
      </c>
    </row>
    <row r="1859" spans="1:8" x14ac:dyDescent="0.25">
      <c r="A1859" t="s">
        <v>1865</v>
      </c>
      <c r="B1859">
        <v>68636</v>
      </c>
      <c r="C1859">
        <v>8714800007580</v>
      </c>
      <c r="D1859">
        <v>14.9</v>
      </c>
      <c r="E1859">
        <v>10.83</v>
      </c>
      <c r="F1859" s="3">
        <v>0.2477</v>
      </c>
      <c r="G1859">
        <v>9.8316999999999997</v>
      </c>
      <c r="H1859">
        <v>0.2</v>
      </c>
    </row>
    <row r="1860" spans="1:8" x14ac:dyDescent="0.25">
      <c r="A1860" t="s">
        <v>1866</v>
      </c>
      <c r="B1860">
        <v>30385</v>
      </c>
      <c r="C1860">
        <v>7897395040307</v>
      </c>
      <c r="D1860">
        <v>2.69</v>
      </c>
      <c r="E1860">
        <v>2.04</v>
      </c>
      <c r="F1860" s="3">
        <v>0.24179999999999999</v>
      </c>
      <c r="G1860">
        <v>2.0394999999999999</v>
      </c>
      <c r="H1860">
        <v>47.2</v>
      </c>
    </row>
    <row r="1861" spans="1:8" x14ac:dyDescent="0.25">
      <c r="A1861" t="s">
        <v>1867</v>
      </c>
      <c r="B1861">
        <v>30383</v>
      </c>
      <c r="C1861">
        <v>7897395020101</v>
      </c>
      <c r="D1861">
        <v>2.99</v>
      </c>
      <c r="E1861">
        <v>2.29</v>
      </c>
      <c r="F1861" s="3">
        <v>0.2089</v>
      </c>
      <c r="G1861">
        <v>2.3654999999999999</v>
      </c>
      <c r="H1861">
        <v>27.632999999999999</v>
      </c>
    </row>
    <row r="1862" spans="1:8" x14ac:dyDescent="0.25">
      <c r="A1862" t="s">
        <v>1868</v>
      </c>
      <c r="B1862">
        <v>30394</v>
      </c>
      <c r="C1862">
        <v>7897395010164</v>
      </c>
      <c r="D1862">
        <v>4.8899999999999997</v>
      </c>
      <c r="E1862">
        <v>3.89</v>
      </c>
      <c r="F1862" s="3">
        <v>0.20399999999999999</v>
      </c>
      <c r="G1862">
        <v>3.8925000000000001</v>
      </c>
      <c r="H1862">
        <v>15.632999999999999</v>
      </c>
    </row>
    <row r="1863" spans="1:8" x14ac:dyDescent="0.25">
      <c r="A1863" t="s">
        <v>1869</v>
      </c>
      <c r="B1863">
        <v>60248</v>
      </c>
      <c r="C1863">
        <v>7897395020194</v>
      </c>
      <c r="D1863">
        <v>4.49</v>
      </c>
      <c r="E1863">
        <v>3.37</v>
      </c>
      <c r="F1863" s="3">
        <v>0.25</v>
      </c>
      <c r="G1863">
        <v>3.3675000000000002</v>
      </c>
      <c r="H1863">
        <v>26.367000000000001</v>
      </c>
    </row>
    <row r="1864" spans="1:8" x14ac:dyDescent="0.25">
      <c r="A1864" t="s">
        <v>1870</v>
      </c>
      <c r="B1864">
        <v>35163</v>
      </c>
      <c r="C1864">
        <v>7897395020217</v>
      </c>
      <c r="D1864">
        <v>3.99</v>
      </c>
      <c r="E1864">
        <v>3.19</v>
      </c>
      <c r="F1864" s="3">
        <v>0.20010000000000003</v>
      </c>
      <c r="G1864">
        <v>3.1917</v>
      </c>
      <c r="H1864">
        <v>1</v>
      </c>
    </row>
    <row r="1865" spans="1:8" x14ac:dyDescent="0.25">
      <c r="A1865" t="s">
        <v>1871</v>
      </c>
      <c r="B1865">
        <v>30395</v>
      </c>
      <c r="C1865">
        <v>7897395040468</v>
      </c>
      <c r="D1865">
        <v>4.6900000000000004</v>
      </c>
      <c r="E1865">
        <v>3.74</v>
      </c>
      <c r="F1865" s="3">
        <v>0.2021</v>
      </c>
      <c r="G1865">
        <v>3.7423000000000002</v>
      </c>
      <c r="H1865">
        <v>3.8</v>
      </c>
    </row>
    <row r="1866" spans="1:8" x14ac:dyDescent="0.25">
      <c r="A1866" t="s">
        <v>1872</v>
      </c>
      <c r="B1866">
        <v>30396</v>
      </c>
      <c r="C1866">
        <v>7897395040390</v>
      </c>
      <c r="D1866">
        <v>3.9</v>
      </c>
      <c r="E1866">
        <v>2.99</v>
      </c>
      <c r="F1866" s="3">
        <v>0.23269999999999999</v>
      </c>
      <c r="G1866">
        <v>2.9925000000000002</v>
      </c>
      <c r="H1866">
        <v>6.1</v>
      </c>
    </row>
    <row r="1867" spans="1:8" x14ac:dyDescent="0.25">
      <c r="A1867" t="s">
        <v>1873</v>
      </c>
      <c r="B1867">
        <v>5970</v>
      </c>
      <c r="C1867">
        <v>7896045512317</v>
      </c>
      <c r="D1867">
        <v>3.29</v>
      </c>
      <c r="E1867">
        <v>2.37</v>
      </c>
      <c r="F1867" s="3">
        <v>0.2838</v>
      </c>
      <c r="G1867">
        <v>2.3561999999999999</v>
      </c>
      <c r="H1867">
        <v>35.200000000000003</v>
      </c>
    </row>
    <row r="1868" spans="1:8" x14ac:dyDescent="0.25">
      <c r="A1868" t="s">
        <v>1874</v>
      </c>
      <c r="B1868">
        <v>66571</v>
      </c>
      <c r="C1868">
        <v>7898953990324</v>
      </c>
      <c r="D1868">
        <v>8.9</v>
      </c>
      <c r="E1868">
        <v>5.27</v>
      </c>
      <c r="F1868" s="3">
        <v>0.37130000000000002</v>
      </c>
      <c r="G1868">
        <v>4.7721999999999998</v>
      </c>
      <c r="H1868">
        <v>10.132999999999999</v>
      </c>
    </row>
    <row r="1869" spans="1:8" x14ac:dyDescent="0.25">
      <c r="A1869" t="s">
        <v>1875</v>
      </c>
      <c r="B1869">
        <v>58522</v>
      </c>
      <c r="C1869">
        <v>7896045506187</v>
      </c>
      <c r="D1869">
        <v>12.9</v>
      </c>
      <c r="E1869">
        <v>6.49</v>
      </c>
      <c r="F1869" s="3">
        <v>0.49680000000000002</v>
      </c>
      <c r="G1869">
        <v>6.4908999999999999</v>
      </c>
      <c r="H1869">
        <v>11.867000000000001</v>
      </c>
    </row>
    <row r="1870" spans="1:8" x14ac:dyDescent="0.25">
      <c r="A1870" t="s">
        <v>1876</v>
      </c>
      <c r="B1870">
        <v>65011</v>
      </c>
      <c r="C1870">
        <v>7896045506682</v>
      </c>
      <c r="D1870">
        <v>8.99</v>
      </c>
      <c r="E1870">
        <v>4.82</v>
      </c>
      <c r="F1870" s="3">
        <v>0.46579999999999999</v>
      </c>
      <c r="G1870">
        <v>4.8028000000000004</v>
      </c>
      <c r="H1870">
        <v>6.4669999999999996</v>
      </c>
    </row>
    <row r="1871" spans="1:8" x14ac:dyDescent="0.25">
      <c r="A1871" t="s">
        <v>1877</v>
      </c>
      <c r="B1871">
        <v>48599</v>
      </c>
      <c r="C1871">
        <v>7898958547226</v>
      </c>
      <c r="D1871">
        <v>15.14</v>
      </c>
      <c r="E1871">
        <v>10.93</v>
      </c>
      <c r="F1871" s="3">
        <v>0.2782</v>
      </c>
      <c r="G1871">
        <v>10.9308</v>
      </c>
      <c r="H1871">
        <v>0.66700000000000004</v>
      </c>
    </row>
    <row r="1872" spans="1:8" x14ac:dyDescent="0.25">
      <c r="A1872" t="s">
        <v>1878</v>
      </c>
      <c r="B1872">
        <v>48597</v>
      </c>
      <c r="C1872">
        <v>7898958547028</v>
      </c>
      <c r="D1872">
        <v>20.9</v>
      </c>
      <c r="E1872">
        <v>15.6</v>
      </c>
      <c r="F1872" s="3">
        <v>0.25359999999999999</v>
      </c>
      <c r="G1872">
        <v>15.599600000000001</v>
      </c>
      <c r="H1872">
        <v>0.13300000000000001</v>
      </c>
    </row>
    <row r="1873" spans="1:8" x14ac:dyDescent="0.25">
      <c r="A1873" t="s">
        <v>1879</v>
      </c>
      <c r="B1873">
        <v>48600</v>
      </c>
      <c r="C1873">
        <v>7898958547059</v>
      </c>
      <c r="D1873">
        <v>14.9</v>
      </c>
      <c r="E1873">
        <v>10.65</v>
      </c>
      <c r="F1873" s="3">
        <v>0.2853</v>
      </c>
      <c r="G1873">
        <v>10.6495</v>
      </c>
      <c r="H1873">
        <v>6.7000000000000004E-2</v>
      </c>
    </row>
    <row r="1874" spans="1:8" x14ac:dyDescent="0.25">
      <c r="A1874" t="s">
        <v>1880</v>
      </c>
      <c r="B1874">
        <v>48598</v>
      </c>
      <c r="C1874">
        <v>7898958547042</v>
      </c>
      <c r="D1874">
        <v>14.9</v>
      </c>
      <c r="E1874">
        <v>11.19</v>
      </c>
      <c r="F1874" s="3">
        <v>0.24909999999999999</v>
      </c>
      <c r="G1874">
        <v>11.1883</v>
      </c>
      <c r="H1874">
        <v>0.56699999999999995</v>
      </c>
    </row>
    <row r="1875" spans="1:8" x14ac:dyDescent="0.25">
      <c r="A1875" t="s">
        <v>1881</v>
      </c>
      <c r="B1875">
        <v>48601</v>
      </c>
      <c r="C1875">
        <v>7898958547127</v>
      </c>
      <c r="D1875">
        <v>14.9</v>
      </c>
      <c r="E1875">
        <v>11.19</v>
      </c>
      <c r="F1875" s="3">
        <v>0.24909999999999999</v>
      </c>
      <c r="G1875">
        <v>11.1882</v>
      </c>
      <c r="H1875">
        <v>0.2</v>
      </c>
    </row>
    <row r="1876" spans="1:8" x14ac:dyDescent="0.25">
      <c r="A1876" t="s">
        <v>1882</v>
      </c>
      <c r="B1876">
        <v>5978</v>
      </c>
      <c r="C1876">
        <v>7891149101528</v>
      </c>
      <c r="D1876">
        <v>4.79</v>
      </c>
      <c r="E1876">
        <v>4.01</v>
      </c>
      <c r="F1876" s="3">
        <v>0.1497</v>
      </c>
      <c r="G1876">
        <v>4.0730000000000004</v>
      </c>
      <c r="H1876">
        <v>35.933</v>
      </c>
    </row>
    <row r="1877" spans="1:8" x14ac:dyDescent="0.25">
      <c r="A1877" t="s">
        <v>1883</v>
      </c>
      <c r="B1877">
        <v>60317</v>
      </c>
      <c r="C1877">
        <v>7891991299619</v>
      </c>
      <c r="D1877">
        <v>5.99</v>
      </c>
      <c r="E1877">
        <v>4.74</v>
      </c>
      <c r="F1877" s="3">
        <v>0.2087</v>
      </c>
      <c r="G1877">
        <v>4.74</v>
      </c>
      <c r="H1877">
        <v>29.167000000000002</v>
      </c>
    </row>
    <row r="1878" spans="1:8" x14ac:dyDescent="0.25">
      <c r="A1878" t="s">
        <v>1884</v>
      </c>
      <c r="B1878">
        <v>61522</v>
      </c>
      <c r="C1878">
        <v>7891991302029</v>
      </c>
      <c r="D1878">
        <v>4.59</v>
      </c>
      <c r="E1878">
        <v>3.83</v>
      </c>
      <c r="F1878" s="3">
        <v>0.1656</v>
      </c>
      <c r="G1878">
        <v>3.8298999999999999</v>
      </c>
      <c r="H1878">
        <v>11.733000000000001</v>
      </c>
    </row>
    <row r="1879" spans="1:8" x14ac:dyDescent="0.25">
      <c r="A1879" t="s">
        <v>1885</v>
      </c>
      <c r="B1879">
        <v>5976</v>
      </c>
      <c r="C1879">
        <v>7896052605255</v>
      </c>
      <c r="D1879">
        <v>2.79</v>
      </c>
      <c r="E1879">
        <v>2.2400000000000002</v>
      </c>
      <c r="F1879" s="3">
        <v>0.19649999999999998</v>
      </c>
      <c r="G1879">
        <v>2.2416999999999998</v>
      </c>
      <c r="H1879">
        <v>0.86699999999999999</v>
      </c>
    </row>
    <row r="1880" spans="1:8" x14ac:dyDescent="0.25">
      <c r="A1880" t="s">
        <v>1886</v>
      </c>
      <c r="B1880">
        <v>59308</v>
      </c>
      <c r="C1880">
        <v>7891991295086</v>
      </c>
      <c r="D1880">
        <v>3.59</v>
      </c>
      <c r="E1880">
        <v>2.8</v>
      </c>
      <c r="F1880" s="3">
        <v>0.21660000000000001</v>
      </c>
      <c r="G1880">
        <v>2.8125</v>
      </c>
      <c r="H1880">
        <v>275.267</v>
      </c>
    </row>
    <row r="1881" spans="1:8" x14ac:dyDescent="0.25">
      <c r="A1881" t="s">
        <v>1887</v>
      </c>
      <c r="B1881">
        <v>5891</v>
      </c>
      <c r="C1881">
        <v>78905351</v>
      </c>
      <c r="D1881">
        <v>10.49</v>
      </c>
      <c r="E1881">
        <v>8.32</v>
      </c>
      <c r="F1881" s="3">
        <v>0.2064</v>
      </c>
      <c r="G1881">
        <v>8.3249999999999993</v>
      </c>
      <c r="H1881">
        <v>11.8</v>
      </c>
    </row>
    <row r="1882" spans="1:8" x14ac:dyDescent="0.25">
      <c r="A1882" t="s">
        <v>1888</v>
      </c>
      <c r="B1882">
        <v>55215</v>
      </c>
      <c r="C1882">
        <v>7891991015493</v>
      </c>
      <c r="D1882">
        <v>4.59</v>
      </c>
      <c r="E1882">
        <v>3.65</v>
      </c>
      <c r="F1882" s="3">
        <v>0.20420000000000002</v>
      </c>
      <c r="G1882">
        <v>3.6526999999999998</v>
      </c>
      <c r="H1882">
        <v>47.832999999999998</v>
      </c>
    </row>
    <row r="1883" spans="1:8" x14ac:dyDescent="0.25">
      <c r="A1883" t="s">
        <v>1889</v>
      </c>
      <c r="B1883">
        <v>61180</v>
      </c>
      <c r="C1883">
        <v>7891991301831</v>
      </c>
      <c r="D1883">
        <v>6.49</v>
      </c>
      <c r="E1883">
        <v>4.66</v>
      </c>
      <c r="F1883" s="3">
        <v>0.27729999999999999</v>
      </c>
      <c r="G1883">
        <v>4.6905000000000001</v>
      </c>
      <c r="H1883">
        <v>7.7329999999999997</v>
      </c>
    </row>
    <row r="1884" spans="1:8" x14ac:dyDescent="0.25">
      <c r="A1884" t="s">
        <v>1890</v>
      </c>
      <c r="B1884">
        <v>58624</v>
      </c>
      <c r="C1884">
        <v>7891149107490</v>
      </c>
      <c r="D1884">
        <v>7.9</v>
      </c>
      <c r="E1884">
        <v>5.74</v>
      </c>
      <c r="F1884" s="3">
        <v>0.27329999999999999</v>
      </c>
      <c r="G1884">
        <v>5.7412000000000001</v>
      </c>
      <c r="H1884">
        <v>0.76700000000000002</v>
      </c>
    </row>
    <row r="1885" spans="1:8" x14ac:dyDescent="0.25">
      <c r="A1885" t="s">
        <v>1891</v>
      </c>
      <c r="B1885">
        <v>58623</v>
      </c>
      <c r="C1885">
        <v>7891149107476</v>
      </c>
      <c r="D1885">
        <v>7.9</v>
      </c>
      <c r="E1885">
        <v>5.73</v>
      </c>
      <c r="F1885" s="3">
        <v>0.27550000000000002</v>
      </c>
      <c r="G1885">
        <v>5.7236000000000002</v>
      </c>
      <c r="H1885">
        <v>0.83299999999999996</v>
      </c>
    </row>
    <row r="1886" spans="1:8" x14ac:dyDescent="0.25">
      <c r="A1886" t="s">
        <v>1892</v>
      </c>
      <c r="B1886">
        <v>61181</v>
      </c>
      <c r="C1886">
        <v>7891991301916</v>
      </c>
      <c r="D1886">
        <v>6.59</v>
      </c>
      <c r="E1886">
        <v>5.35</v>
      </c>
      <c r="F1886" s="3">
        <v>0.18859999999999999</v>
      </c>
      <c r="G1886">
        <v>5.3468999999999998</v>
      </c>
      <c r="H1886">
        <v>11.867000000000001</v>
      </c>
    </row>
    <row r="1887" spans="1:8" x14ac:dyDescent="0.25">
      <c r="A1887" t="s">
        <v>1893</v>
      </c>
      <c r="B1887">
        <v>61183</v>
      </c>
      <c r="C1887">
        <v>7891991301893</v>
      </c>
      <c r="D1887">
        <v>6.59</v>
      </c>
      <c r="E1887">
        <v>5.22</v>
      </c>
      <c r="F1887" s="3">
        <v>0.2147</v>
      </c>
      <c r="G1887">
        <v>5.1753</v>
      </c>
      <c r="H1887">
        <v>7.1</v>
      </c>
    </row>
    <row r="1888" spans="1:8" x14ac:dyDescent="0.25">
      <c r="A1888" t="s">
        <v>1894</v>
      </c>
      <c r="B1888">
        <v>58625</v>
      </c>
      <c r="C1888">
        <v>7891149107513</v>
      </c>
      <c r="D1888">
        <v>7.9</v>
      </c>
      <c r="E1888">
        <v>5.98</v>
      </c>
      <c r="F1888" s="3">
        <v>0.2455</v>
      </c>
      <c r="G1888">
        <v>5.9606000000000003</v>
      </c>
      <c r="H1888">
        <v>2.1669999999999998</v>
      </c>
    </row>
    <row r="1889" spans="1:8" x14ac:dyDescent="0.25">
      <c r="A1889" t="s">
        <v>1895</v>
      </c>
      <c r="B1889">
        <v>38423</v>
      </c>
      <c r="C1889">
        <v>7891149108534</v>
      </c>
      <c r="D1889">
        <v>14.49</v>
      </c>
      <c r="E1889">
        <v>11.59</v>
      </c>
      <c r="F1889" s="3">
        <v>0.20019999999999999</v>
      </c>
      <c r="G1889">
        <v>11.589700000000001</v>
      </c>
      <c r="H1889">
        <v>1.867</v>
      </c>
    </row>
    <row r="1890" spans="1:8" x14ac:dyDescent="0.25">
      <c r="A1890" t="s">
        <v>1896</v>
      </c>
      <c r="B1890">
        <v>5848</v>
      </c>
      <c r="C1890">
        <v>4066600303336</v>
      </c>
      <c r="D1890">
        <v>18.899999999999999</v>
      </c>
      <c r="E1890">
        <v>12.16</v>
      </c>
      <c r="F1890" s="3">
        <v>0.35680000000000001</v>
      </c>
      <c r="G1890">
        <v>12.156000000000001</v>
      </c>
      <c r="H1890">
        <v>1.0669999999999999</v>
      </c>
    </row>
    <row r="1891" spans="1:8" x14ac:dyDescent="0.25">
      <c r="A1891" t="s">
        <v>1897</v>
      </c>
      <c r="B1891">
        <v>9463</v>
      </c>
      <c r="C1891">
        <v>4066600060741</v>
      </c>
      <c r="D1891">
        <v>10.7</v>
      </c>
      <c r="E1891">
        <v>6.39</v>
      </c>
      <c r="F1891" s="3">
        <v>0.40369999999999995</v>
      </c>
      <c r="G1891">
        <v>6.3775000000000004</v>
      </c>
      <c r="H1891">
        <v>255.5</v>
      </c>
    </row>
    <row r="1892" spans="1:8" x14ac:dyDescent="0.25">
      <c r="A1892" t="s">
        <v>1898</v>
      </c>
      <c r="B1892">
        <v>9482</v>
      </c>
      <c r="C1892">
        <v>7898933034086</v>
      </c>
      <c r="D1892">
        <v>14.9</v>
      </c>
      <c r="E1892">
        <v>8.9700000000000006</v>
      </c>
      <c r="F1892" s="3">
        <v>0.39789999999999998</v>
      </c>
      <c r="G1892">
        <v>8.9719999999999995</v>
      </c>
      <c r="H1892">
        <v>0.53300000000000003</v>
      </c>
    </row>
    <row r="1893" spans="1:8" x14ac:dyDescent="0.25">
      <c r="A1893" t="s">
        <v>1899</v>
      </c>
      <c r="B1893">
        <v>57532</v>
      </c>
      <c r="C1893">
        <v>7897395020170</v>
      </c>
      <c r="D1893">
        <v>4.79</v>
      </c>
      <c r="E1893">
        <v>3.86</v>
      </c>
      <c r="F1893" s="3">
        <v>0.19170000000000001</v>
      </c>
      <c r="G1893">
        <v>3.8719000000000001</v>
      </c>
      <c r="H1893">
        <v>8.1999999999999993</v>
      </c>
    </row>
    <row r="1894" spans="1:8" x14ac:dyDescent="0.25">
      <c r="A1894" t="s">
        <v>1900</v>
      </c>
      <c r="B1894">
        <v>30403</v>
      </c>
      <c r="C1894">
        <v>7897395020378</v>
      </c>
      <c r="D1894">
        <v>9.9</v>
      </c>
      <c r="E1894">
        <v>9.6</v>
      </c>
      <c r="F1894" s="3">
        <v>4.8899999999999999E-2</v>
      </c>
      <c r="G1894">
        <v>9.4158000000000008</v>
      </c>
      <c r="H1894">
        <v>8.4670000000000005</v>
      </c>
    </row>
    <row r="1895" spans="1:8" x14ac:dyDescent="0.25">
      <c r="A1895" t="s">
        <v>1901</v>
      </c>
      <c r="B1895">
        <v>54276</v>
      </c>
      <c r="C1895">
        <v>7897395099343</v>
      </c>
      <c r="D1895">
        <v>3.79</v>
      </c>
      <c r="E1895">
        <v>3.06</v>
      </c>
      <c r="F1895" s="3">
        <v>8.5900000000000004E-2</v>
      </c>
      <c r="G1895">
        <v>3.4645999999999999</v>
      </c>
      <c r="H1895">
        <v>0.5</v>
      </c>
    </row>
    <row r="1896" spans="1:8" x14ac:dyDescent="0.25">
      <c r="A1896" t="s">
        <v>1902</v>
      </c>
      <c r="B1896">
        <v>58512</v>
      </c>
      <c r="C1896">
        <v>7897395099299</v>
      </c>
      <c r="D1896">
        <v>2.19</v>
      </c>
      <c r="E1896">
        <v>1.99</v>
      </c>
      <c r="F1896" s="3">
        <v>9.3299999999999994E-2</v>
      </c>
      <c r="G1896">
        <v>1.9857</v>
      </c>
      <c r="H1896">
        <v>744.86699999999996</v>
      </c>
    </row>
    <row r="1897" spans="1:8" x14ac:dyDescent="0.25">
      <c r="A1897" t="s">
        <v>1903</v>
      </c>
      <c r="B1897">
        <v>51216</v>
      </c>
      <c r="C1897">
        <v>7897395099329</v>
      </c>
      <c r="D1897">
        <v>3.39</v>
      </c>
      <c r="E1897">
        <v>2.63</v>
      </c>
      <c r="F1897" s="3">
        <v>0.2238</v>
      </c>
      <c r="G1897">
        <v>2.6313</v>
      </c>
      <c r="H1897">
        <v>54.533000000000001</v>
      </c>
    </row>
    <row r="1898" spans="1:8" x14ac:dyDescent="0.25">
      <c r="A1898" t="s">
        <v>1904</v>
      </c>
      <c r="B1898">
        <v>57871</v>
      </c>
      <c r="C1898">
        <v>7897395020644</v>
      </c>
      <c r="D1898">
        <v>4.29</v>
      </c>
      <c r="E1898">
        <v>3.44</v>
      </c>
      <c r="F1898" s="3">
        <v>0.19760000000000003</v>
      </c>
      <c r="G1898">
        <v>3.4424000000000001</v>
      </c>
      <c r="H1898">
        <v>5.2670000000000003</v>
      </c>
    </row>
    <row r="1899" spans="1:8" x14ac:dyDescent="0.25">
      <c r="A1899" t="s">
        <v>1905</v>
      </c>
      <c r="B1899">
        <v>30406</v>
      </c>
      <c r="C1899">
        <v>7897395020286</v>
      </c>
      <c r="D1899">
        <v>9.9</v>
      </c>
      <c r="E1899">
        <v>9.6</v>
      </c>
      <c r="F1899" s="3">
        <v>6.4299999999999996E-2</v>
      </c>
      <c r="G1899">
        <v>9.2632999999999992</v>
      </c>
      <c r="H1899">
        <v>10.8</v>
      </c>
    </row>
    <row r="1900" spans="1:8" x14ac:dyDescent="0.25">
      <c r="A1900" t="s">
        <v>1906</v>
      </c>
      <c r="B1900">
        <v>47347</v>
      </c>
      <c r="C1900">
        <v>7897395020507</v>
      </c>
      <c r="D1900">
        <v>9.9</v>
      </c>
      <c r="E1900">
        <v>10.28</v>
      </c>
      <c r="F1900" s="3">
        <v>-3.8599999999999995E-2</v>
      </c>
      <c r="G1900">
        <v>10.2822</v>
      </c>
      <c r="H1900">
        <v>31.1</v>
      </c>
    </row>
    <row r="1901" spans="1:8" x14ac:dyDescent="0.25">
      <c r="A1901" t="s">
        <v>1907</v>
      </c>
      <c r="B1901">
        <v>68139</v>
      </c>
      <c r="C1901">
        <v>7898694490398</v>
      </c>
      <c r="D1901">
        <v>8.49</v>
      </c>
      <c r="E1901">
        <v>6.29</v>
      </c>
      <c r="F1901" s="3">
        <v>0.25879999999999997</v>
      </c>
      <c r="G1901">
        <v>6.2926000000000002</v>
      </c>
      <c r="H1901">
        <v>1.2669999999999999</v>
      </c>
    </row>
    <row r="1902" spans="1:8" x14ac:dyDescent="0.25">
      <c r="A1902" t="s">
        <v>1908</v>
      </c>
      <c r="B1902">
        <v>68138</v>
      </c>
      <c r="C1902">
        <v>7898694490411</v>
      </c>
      <c r="D1902">
        <v>13.99</v>
      </c>
      <c r="E1902">
        <v>10.49</v>
      </c>
      <c r="F1902" s="3">
        <v>0.25</v>
      </c>
      <c r="G1902">
        <v>10.4932</v>
      </c>
      <c r="H1902">
        <v>0.26700000000000002</v>
      </c>
    </row>
    <row r="1903" spans="1:8" x14ac:dyDescent="0.25">
      <c r="A1903" t="s">
        <v>1909</v>
      </c>
      <c r="B1903">
        <v>68141</v>
      </c>
      <c r="C1903">
        <v>7898694491487</v>
      </c>
      <c r="D1903">
        <v>6.49</v>
      </c>
      <c r="E1903">
        <v>4.99</v>
      </c>
      <c r="F1903" s="3">
        <v>0.24809999999999999</v>
      </c>
      <c r="G1903">
        <v>4.8795000000000002</v>
      </c>
      <c r="H1903">
        <v>10.933</v>
      </c>
    </row>
    <row r="1904" spans="1:8" x14ac:dyDescent="0.25">
      <c r="A1904" t="s">
        <v>1910</v>
      </c>
      <c r="B1904">
        <v>50662</v>
      </c>
      <c r="C1904">
        <v>7891991014809</v>
      </c>
      <c r="D1904">
        <v>4.49</v>
      </c>
      <c r="E1904">
        <v>3.49</v>
      </c>
      <c r="F1904" s="3">
        <v>0.22270000000000001</v>
      </c>
      <c r="G1904">
        <v>3.49</v>
      </c>
      <c r="H1904">
        <v>43.933</v>
      </c>
    </row>
    <row r="1905" spans="1:8" x14ac:dyDescent="0.25">
      <c r="A1905" t="s">
        <v>1911</v>
      </c>
      <c r="B1905">
        <v>5914</v>
      </c>
      <c r="C1905">
        <v>7891149103102</v>
      </c>
      <c r="D1905">
        <v>2.12</v>
      </c>
      <c r="E1905">
        <v>2.12</v>
      </c>
      <c r="F1905" s="3">
        <v>4.4800000000000006E-2</v>
      </c>
      <c r="G1905">
        <v>2.0283000000000002</v>
      </c>
      <c r="H1905" s="1">
        <v>1760.7670000000001</v>
      </c>
    </row>
    <row r="1906" spans="1:8" x14ac:dyDescent="0.25">
      <c r="A1906" t="s">
        <v>1912</v>
      </c>
      <c r="B1906">
        <v>58382</v>
      </c>
      <c r="C1906">
        <v>7891149109043</v>
      </c>
      <c r="D1906">
        <v>38.85</v>
      </c>
      <c r="E1906">
        <v>33.200000000000003</v>
      </c>
      <c r="F1906" s="3">
        <v>0.14580000000000001</v>
      </c>
      <c r="G1906">
        <v>33.186100000000003</v>
      </c>
      <c r="H1906">
        <v>11.733000000000001</v>
      </c>
    </row>
    <row r="1907" spans="1:8" x14ac:dyDescent="0.25">
      <c r="A1907" t="s">
        <v>1913</v>
      </c>
      <c r="B1907">
        <v>5907</v>
      </c>
      <c r="C1907">
        <v>7891149200504</v>
      </c>
      <c r="D1907">
        <v>4.29</v>
      </c>
      <c r="E1907">
        <v>3.37</v>
      </c>
      <c r="F1907" s="3">
        <v>0.217</v>
      </c>
      <c r="G1907">
        <v>3.3591000000000002</v>
      </c>
      <c r="H1907">
        <v>21.567</v>
      </c>
    </row>
    <row r="1908" spans="1:8" x14ac:dyDescent="0.25">
      <c r="A1908" t="s">
        <v>1914</v>
      </c>
      <c r="B1908">
        <v>5920</v>
      </c>
      <c r="C1908">
        <v>7891149201006</v>
      </c>
      <c r="D1908">
        <v>4.99</v>
      </c>
      <c r="E1908">
        <v>4.08</v>
      </c>
      <c r="F1908" s="3">
        <v>0.18239999999999998</v>
      </c>
      <c r="G1908">
        <v>4.0796000000000001</v>
      </c>
      <c r="H1908">
        <v>21.033000000000001</v>
      </c>
    </row>
    <row r="1909" spans="1:8" x14ac:dyDescent="0.25">
      <c r="A1909" t="s">
        <v>1915</v>
      </c>
      <c r="B1909">
        <v>9468</v>
      </c>
      <c r="C1909">
        <v>78934115</v>
      </c>
      <c r="D1909">
        <v>5.49</v>
      </c>
      <c r="E1909">
        <v>4.18</v>
      </c>
      <c r="F1909" s="3">
        <v>0.24359999999999998</v>
      </c>
      <c r="G1909">
        <v>4.1525999999999996</v>
      </c>
      <c r="H1909">
        <v>30.933</v>
      </c>
    </row>
    <row r="1910" spans="1:8" x14ac:dyDescent="0.25">
      <c r="A1910" t="s">
        <v>1916</v>
      </c>
      <c r="B1910">
        <v>69004</v>
      </c>
      <c r="C1910">
        <v>7896045507191</v>
      </c>
      <c r="D1910">
        <v>14.9</v>
      </c>
      <c r="E1910">
        <v>10.220000000000001</v>
      </c>
      <c r="F1910" s="3">
        <v>0.28449999999999998</v>
      </c>
      <c r="G1910">
        <v>9.2833000000000006</v>
      </c>
      <c r="H1910">
        <v>2.133</v>
      </c>
    </row>
    <row r="1911" spans="1:8" x14ac:dyDescent="0.25">
      <c r="A1911" t="s">
        <v>1917</v>
      </c>
      <c r="B1911">
        <v>68527</v>
      </c>
      <c r="C1911">
        <v>7896045507368</v>
      </c>
      <c r="D1911">
        <v>6.19</v>
      </c>
      <c r="E1911">
        <v>4.7699999999999996</v>
      </c>
      <c r="F1911" s="3">
        <v>0.32770000000000005</v>
      </c>
      <c r="G1911">
        <v>4.1618000000000004</v>
      </c>
      <c r="H1911">
        <v>23.832999999999998</v>
      </c>
    </row>
    <row r="1912" spans="1:8" x14ac:dyDescent="0.25">
      <c r="A1912" t="s">
        <v>1918</v>
      </c>
      <c r="B1912">
        <v>63572</v>
      </c>
      <c r="C1912">
        <v>7891991303347</v>
      </c>
      <c r="D1912">
        <v>3.49</v>
      </c>
      <c r="E1912">
        <v>2.76</v>
      </c>
      <c r="F1912" s="3">
        <v>0.20850000000000002</v>
      </c>
      <c r="G1912">
        <v>2.7624</v>
      </c>
      <c r="H1912">
        <v>173.7</v>
      </c>
    </row>
    <row r="1913" spans="1:8" x14ac:dyDescent="0.25">
      <c r="A1913" t="s">
        <v>1919</v>
      </c>
      <c r="B1913">
        <v>60292</v>
      </c>
      <c r="C1913">
        <v>7891991305440</v>
      </c>
      <c r="D1913">
        <v>5.49</v>
      </c>
      <c r="E1913">
        <v>4.4800000000000004</v>
      </c>
      <c r="F1913" s="3">
        <v>0.18440000000000001</v>
      </c>
      <c r="G1913">
        <v>4.4778000000000002</v>
      </c>
      <c r="H1913">
        <v>9.5329999999999995</v>
      </c>
    </row>
    <row r="1914" spans="1:8" x14ac:dyDescent="0.25">
      <c r="A1914" t="s">
        <v>1920</v>
      </c>
      <c r="B1914">
        <v>60291</v>
      </c>
      <c r="C1914">
        <v>7891991297424</v>
      </c>
      <c r="D1914">
        <v>4.59</v>
      </c>
      <c r="E1914">
        <v>3.9</v>
      </c>
      <c r="F1914" s="3">
        <v>0.1492</v>
      </c>
      <c r="G1914">
        <v>3.9053</v>
      </c>
      <c r="H1914">
        <v>42.332999999999998</v>
      </c>
    </row>
    <row r="1915" spans="1:8" x14ac:dyDescent="0.25">
      <c r="A1915" t="s">
        <v>1921</v>
      </c>
      <c r="B1915">
        <v>60293</v>
      </c>
      <c r="C1915">
        <v>7891991297547</v>
      </c>
      <c r="D1915">
        <v>10.39</v>
      </c>
      <c r="E1915">
        <v>8.33</v>
      </c>
      <c r="F1915" s="3">
        <v>0.19850000000000001</v>
      </c>
      <c r="G1915">
        <v>8.3280999999999992</v>
      </c>
      <c r="H1915">
        <v>4.9000000000000004</v>
      </c>
    </row>
    <row r="1916" spans="1:8" x14ac:dyDescent="0.25">
      <c r="A1916" t="s">
        <v>1922</v>
      </c>
      <c r="B1916">
        <v>56050</v>
      </c>
      <c r="C1916">
        <v>7891991016223</v>
      </c>
      <c r="D1916">
        <v>5.49</v>
      </c>
      <c r="E1916">
        <v>4.16</v>
      </c>
      <c r="F1916" s="3">
        <v>0.24230000000000002</v>
      </c>
      <c r="G1916">
        <v>4.1597999999999997</v>
      </c>
      <c r="H1916">
        <v>9.3670000000000009</v>
      </c>
    </row>
    <row r="1917" spans="1:8" x14ac:dyDescent="0.25">
      <c r="A1917" t="s">
        <v>1923</v>
      </c>
      <c r="B1917">
        <v>42281</v>
      </c>
      <c r="C1917">
        <v>7891991295109</v>
      </c>
      <c r="D1917">
        <v>10.9</v>
      </c>
      <c r="E1917">
        <v>8.33</v>
      </c>
      <c r="F1917" s="3">
        <v>0.2359</v>
      </c>
      <c r="G1917">
        <v>8.3292000000000002</v>
      </c>
      <c r="H1917">
        <v>2.0329999999999999</v>
      </c>
    </row>
    <row r="1918" spans="1:8" x14ac:dyDescent="0.25">
      <c r="A1918" t="s">
        <v>1924</v>
      </c>
      <c r="B1918">
        <v>56052</v>
      </c>
      <c r="C1918">
        <v>7891991015462</v>
      </c>
      <c r="D1918">
        <v>6.79</v>
      </c>
      <c r="E1918">
        <v>4.91</v>
      </c>
      <c r="F1918" s="3">
        <v>0.2797</v>
      </c>
      <c r="G1918">
        <v>4.8909000000000002</v>
      </c>
      <c r="H1918">
        <v>24.332999999999998</v>
      </c>
    </row>
    <row r="1919" spans="1:8" x14ac:dyDescent="0.25">
      <c r="A1919" t="s">
        <v>1925</v>
      </c>
      <c r="B1919">
        <v>9224</v>
      </c>
      <c r="C1919">
        <v>7891149103065</v>
      </c>
      <c r="D1919">
        <v>4.1900000000000004</v>
      </c>
      <c r="E1919">
        <v>3.33</v>
      </c>
      <c r="F1919" s="3">
        <v>0.2054</v>
      </c>
      <c r="G1919">
        <v>3.3296000000000001</v>
      </c>
      <c r="H1919">
        <v>33.832999999999998</v>
      </c>
    </row>
    <row r="1920" spans="1:8" x14ac:dyDescent="0.25">
      <c r="A1920" t="s">
        <v>1926</v>
      </c>
      <c r="B1920">
        <v>65600</v>
      </c>
      <c r="C1920">
        <v>7891991304870</v>
      </c>
      <c r="D1920">
        <v>6.79</v>
      </c>
      <c r="E1920">
        <v>5.12</v>
      </c>
      <c r="F1920" s="3">
        <v>0.24260000000000001</v>
      </c>
      <c r="G1920">
        <v>5.1425000000000001</v>
      </c>
      <c r="H1920">
        <v>37.133000000000003</v>
      </c>
    </row>
    <row r="1921" spans="1:8" x14ac:dyDescent="0.25">
      <c r="A1921" t="s">
        <v>1927</v>
      </c>
      <c r="B1921">
        <v>21689</v>
      </c>
      <c r="C1921">
        <v>7896371000199</v>
      </c>
      <c r="D1921">
        <v>13.49</v>
      </c>
      <c r="E1921">
        <v>10.08</v>
      </c>
      <c r="F1921" s="3">
        <v>0.25280000000000002</v>
      </c>
      <c r="G1921">
        <v>10.08</v>
      </c>
      <c r="H1921">
        <v>0.93300000000000005</v>
      </c>
    </row>
    <row r="1922" spans="1:8" x14ac:dyDescent="0.25">
      <c r="A1922" t="s">
        <v>1928</v>
      </c>
      <c r="B1922">
        <v>21688</v>
      </c>
      <c r="C1922">
        <v>7898377660094</v>
      </c>
      <c r="D1922">
        <v>9.2899999999999991</v>
      </c>
      <c r="E1922">
        <v>8.06</v>
      </c>
      <c r="F1922" s="3">
        <v>0.1323</v>
      </c>
      <c r="G1922">
        <v>8.0618999999999996</v>
      </c>
      <c r="H1922">
        <v>2.5</v>
      </c>
    </row>
    <row r="1923" spans="1:8" x14ac:dyDescent="0.25">
      <c r="A1923" t="s">
        <v>1929</v>
      </c>
      <c r="B1923">
        <v>61573</v>
      </c>
      <c r="C1923">
        <v>7896371000007</v>
      </c>
      <c r="D1923">
        <v>3.79</v>
      </c>
      <c r="E1923">
        <v>2.79</v>
      </c>
      <c r="F1923" s="3">
        <v>0.26329999999999998</v>
      </c>
      <c r="G1923">
        <v>2.7919</v>
      </c>
      <c r="H1923">
        <v>174</v>
      </c>
    </row>
    <row r="1924" spans="1:8" x14ac:dyDescent="0.25">
      <c r="A1924" t="s">
        <v>1930</v>
      </c>
      <c r="B1924">
        <v>63243</v>
      </c>
      <c r="C1924">
        <v>7896371000175</v>
      </c>
      <c r="D1924">
        <v>5.99</v>
      </c>
      <c r="E1924">
        <v>4.43</v>
      </c>
      <c r="F1924" s="3">
        <v>0.26079999999999998</v>
      </c>
      <c r="G1924">
        <v>4.4279999999999999</v>
      </c>
      <c r="H1924">
        <v>0.9</v>
      </c>
    </row>
    <row r="1925" spans="1:8" x14ac:dyDescent="0.25">
      <c r="A1925" t="s">
        <v>1931</v>
      </c>
      <c r="B1925">
        <v>21693</v>
      </c>
      <c r="C1925">
        <v>7896371000212</v>
      </c>
      <c r="D1925">
        <v>11.99</v>
      </c>
      <c r="E1925">
        <v>10.08</v>
      </c>
      <c r="F1925" s="3">
        <v>0.1593</v>
      </c>
      <c r="G1925">
        <v>10.08</v>
      </c>
      <c r="H1925">
        <v>1.5</v>
      </c>
    </row>
    <row r="1926" spans="1:8" x14ac:dyDescent="0.25">
      <c r="A1926" t="s">
        <v>1932</v>
      </c>
      <c r="B1926">
        <v>21692</v>
      </c>
      <c r="C1926">
        <v>7896371000205</v>
      </c>
      <c r="D1926">
        <v>11.99</v>
      </c>
      <c r="E1926">
        <v>10.08</v>
      </c>
      <c r="F1926" s="3">
        <v>0.1593</v>
      </c>
      <c r="G1926">
        <v>10.08</v>
      </c>
      <c r="H1926">
        <v>0.433</v>
      </c>
    </row>
    <row r="1927" spans="1:8" x14ac:dyDescent="0.25">
      <c r="A1927" t="s">
        <v>1933</v>
      </c>
      <c r="B1927">
        <v>69184</v>
      </c>
      <c r="C1927">
        <v>7897395002831</v>
      </c>
      <c r="D1927">
        <v>3.9</v>
      </c>
      <c r="E1927">
        <v>1.98</v>
      </c>
      <c r="F1927" s="3">
        <v>0.2747</v>
      </c>
      <c r="G1927">
        <v>2.8285</v>
      </c>
      <c r="H1927">
        <v>31.832999999999998</v>
      </c>
    </row>
    <row r="1928" spans="1:8" x14ac:dyDescent="0.25">
      <c r="A1928" t="s">
        <v>1934</v>
      </c>
      <c r="B1928">
        <v>4495</v>
      </c>
      <c r="C1928">
        <v>7896024801104</v>
      </c>
      <c r="D1928">
        <v>8.99</v>
      </c>
      <c r="E1928">
        <v>5.12</v>
      </c>
      <c r="F1928" s="3">
        <v>0.30790000000000001</v>
      </c>
      <c r="G1928">
        <v>3.7721</v>
      </c>
      <c r="H1928">
        <v>0.5</v>
      </c>
    </row>
    <row r="1929" spans="1:8" x14ac:dyDescent="0.25">
      <c r="A1929" t="s">
        <v>1935</v>
      </c>
      <c r="B1929">
        <v>61147</v>
      </c>
      <c r="C1929">
        <v>7898070111855</v>
      </c>
      <c r="D1929">
        <v>12.23</v>
      </c>
      <c r="E1929">
        <v>7.52</v>
      </c>
      <c r="F1929" s="3">
        <v>0.34119999999999995</v>
      </c>
      <c r="G1929">
        <v>6.9272999999999998</v>
      </c>
      <c r="H1929">
        <v>0.96699999999999997</v>
      </c>
    </row>
    <row r="1930" spans="1:8" x14ac:dyDescent="0.25">
      <c r="A1930" t="s">
        <v>1936</v>
      </c>
      <c r="B1930">
        <v>43051</v>
      </c>
      <c r="C1930">
        <v>7896931614316</v>
      </c>
      <c r="D1930">
        <v>8.9</v>
      </c>
      <c r="E1930">
        <v>4.87</v>
      </c>
      <c r="F1930" s="3">
        <v>0.45240000000000002</v>
      </c>
      <c r="G1930">
        <v>4.8734999999999999</v>
      </c>
      <c r="H1930">
        <v>16.433</v>
      </c>
    </row>
    <row r="1931" spans="1:8" x14ac:dyDescent="0.25">
      <c r="A1931" t="s">
        <v>1937</v>
      </c>
      <c r="B1931">
        <v>13881</v>
      </c>
      <c r="C1931">
        <v>7891098040565</v>
      </c>
      <c r="D1931">
        <v>7.69</v>
      </c>
      <c r="E1931">
        <v>5.7</v>
      </c>
      <c r="F1931" s="3">
        <v>0.27250000000000002</v>
      </c>
      <c r="G1931">
        <v>5.5946999999999996</v>
      </c>
      <c r="H1931">
        <v>22.033000000000001</v>
      </c>
    </row>
    <row r="1932" spans="1:8" x14ac:dyDescent="0.25">
      <c r="A1932" t="s">
        <v>1938</v>
      </c>
      <c r="B1932">
        <v>5370</v>
      </c>
      <c r="C1932">
        <v>7891098040602</v>
      </c>
      <c r="D1932">
        <v>7.69</v>
      </c>
      <c r="E1932">
        <v>5.67</v>
      </c>
      <c r="F1932" s="3">
        <v>0.25739999999999996</v>
      </c>
      <c r="G1932">
        <v>5.7103000000000002</v>
      </c>
      <c r="H1932">
        <v>31.1</v>
      </c>
    </row>
    <row r="1933" spans="1:8" x14ac:dyDescent="0.25">
      <c r="A1933" t="s">
        <v>1939</v>
      </c>
      <c r="B1933">
        <v>5368</v>
      </c>
      <c r="C1933">
        <v>7891098040572</v>
      </c>
      <c r="D1933">
        <v>5.9</v>
      </c>
      <c r="E1933">
        <v>5.54</v>
      </c>
      <c r="F1933" s="3">
        <v>6.1399999999999996E-2</v>
      </c>
      <c r="G1933">
        <v>5.5373999999999999</v>
      </c>
      <c r="H1933">
        <v>24</v>
      </c>
    </row>
    <row r="1934" spans="1:8" x14ac:dyDescent="0.25">
      <c r="A1934" t="s">
        <v>1940</v>
      </c>
      <c r="B1934">
        <v>4451</v>
      </c>
      <c r="C1934">
        <v>7891098000187</v>
      </c>
      <c r="D1934">
        <v>4.99</v>
      </c>
      <c r="E1934">
        <v>3.37</v>
      </c>
      <c r="F1934" s="3">
        <v>0.2944</v>
      </c>
      <c r="G1934">
        <v>3.0596000000000001</v>
      </c>
      <c r="H1934">
        <v>5.7329999999999997</v>
      </c>
    </row>
    <row r="1935" spans="1:8" x14ac:dyDescent="0.25">
      <c r="A1935" t="s">
        <v>1941</v>
      </c>
      <c r="B1935">
        <v>4458</v>
      </c>
      <c r="C1935">
        <v>7891098000163</v>
      </c>
      <c r="D1935">
        <v>4.99</v>
      </c>
      <c r="E1935">
        <v>2.85</v>
      </c>
      <c r="F1935" s="3">
        <v>0.39159999999999995</v>
      </c>
      <c r="G1935">
        <v>2.5746000000000002</v>
      </c>
      <c r="H1935">
        <v>17.533000000000001</v>
      </c>
    </row>
    <row r="1936" spans="1:8" x14ac:dyDescent="0.25">
      <c r="A1936" t="s">
        <v>1942</v>
      </c>
      <c r="B1936">
        <v>4465</v>
      </c>
      <c r="C1936">
        <v>7891098000156</v>
      </c>
      <c r="D1936">
        <v>4.99</v>
      </c>
      <c r="E1936">
        <v>2.85</v>
      </c>
      <c r="F1936" s="3">
        <v>0.38969999999999999</v>
      </c>
      <c r="G1936">
        <v>2.5840999999999998</v>
      </c>
      <c r="H1936">
        <v>11.266999999999999</v>
      </c>
    </row>
    <row r="1937" spans="1:8" x14ac:dyDescent="0.25">
      <c r="A1937" t="s">
        <v>1943</v>
      </c>
      <c r="B1937">
        <v>4488</v>
      </c>
      <c r="C1937">
        <v>7891098000170</v>
      </c>
      <c r="D1937">
        <v>4.99</v>
      </c>
      <c r="E1937">
        <v>2.89</v>
      </c>
      <c r="F1937" s="3">
        <v>0.37369999999999998</v>
      </c>
      <c r="G1937">
        <v>2.6636000000000002</v>
      </c>
      <c r="H1937">
        <v>7.633</v>
      </c>
    </row>
    <row r="1938" spans="1:8" x14ac:dyDescent="0.25">
      <c r="A1938" t="s">
        <v>1944</v>
      </c>
      <c r="B1938">
        <v>4460</v>
      </c>
      <c r="C1938">
        <v>7891098042033</v>
      </c>
      <c r="D1938">
        <v>7.99</v>
      </c>
      <c r="E1938">
        <v>5.56</v>
      </c>
      <c r="F1938" s="3">
        <v>0.27510000000000001</v>
      </c>
      <c r="G1938">
        <v>5.0529000000000002</v>
      </c>
      <c r="H1938">
        <v>26.6</v>
      </c>
    </row>
    <row r="1939" spans="1:8" x14ac:dyDescent="0.25">
      <c r="A1939" t="s">
        <v>1945</v>
      </c>
      <c r="B1939">
        <v>4462</v>
      </c>
      <c r="C1939">
        <v>7891098042026</v>
      </c>
      <c r="D1939">
        <v>7.99</v>
      </c>
      <c r="E1939">
        <v>5.54</v>
      </c>
      <c r="F1939" s="3">
        <v>0.2762</v>
      </c>
      <c r="G1939">
        <v>5.0439999999999996</v>
      </c>
      <c r="H1939">
        <v>16.033000000000001</v>
      </c>
    </row>
    <row r="1940" spans="1:8" x14ac:dyDescent="0.25">
      <c r="A1940" t="s">
        <v>1946</v>
      </c>
      <c r="B1940">
        <v>4470</v>
      </c>
      <c r="C1940">
        <v>7891098042002</v>
      </c>
      <c r="D1940">
        <v>7.99</v>
      </c>
      <c r="E1940">
        <v>5.56</v>
      </c>
      <c r="F1940" s="3">
        <v>0.27579999999999999</v>
      </c>
      <c r="G1940">
        <v>5.0472000000000001</v>
      </c>
      <c r="H1940">
        <v>7.7</v>
      </c>
    </row>
    <row r="1941" spans="1:8" x14ac:dyDescent="0.25">
      <c r="A1941" t="s">
        <v>1947</v>
      </c>
      <c r="B1941">
        <v>63968</v>
      </c>
      <c r="C1941">
        <v>7891098042286</v>
      </c>
      <c r="D1941">
        <v>11.9</v>
      </c>
      <c r="E1941">
        <v>7.69</v>
      </c>
      <c r="F1941" s="3">
        <v>0.32020000000000004</v>
      </c>
      <c r="G1941">
        <v>6.9889000000000001</v>
      </c>
      <c r="H1941">
        <v>4.8330000000000002</v>
      </c>
    </row>
    <row r="1942" spans="1:8" x14ac:dyDescent="0.25">
      <c r="A1942" t="s">
        <v>1948</v>
      </c>
      <c r="B1942">
        <v>4467</v>
      </c>
      <c r="C1942">
        <v>7891098041524</v>
      </c>
      <c r="D1942">
        <v>11.9</v>
      </c>
      <c r="E1942">
        <v>7.45</v>
      </c>
      <c r="F1942" s="3">
        <v>0.33929999999999999</v>
      </c>
      <c r="G1942">
        <v>6.7613000000000003</v>
      </c>
      <c r="H1942">
        <v>2.5</v>
      </c>
    </row>
    <row r="1943" spans="1:8" x14ac:dyDescent="0.25">
      <c r="A1943" t="s">
        <v>1949</v>
      </c>
      <c r="B1943">
        <v>4474</v>
      </c>
      <c r="C1943">
        <v>7891098001504</v>
      </c>
      <c r="D1943">
        <v>4.99</v>
      </c>
      <c r="E1943">
        <v>2.99</v>
      </c>
      <c r="F1943" s="3">
        <v>0.29210000000000003</v>
      </c>
      <c r="G1943">
        <v>2.1724999999999999</v>
      </c>
      <c r="H1943">
        <v>10.8</v>
      </c>
    </row>
    <row r="1944" spans="1:8" x14ac:dyDescent="0.25">
      <c r="A1944" t="s">
        <v>1950</v>
      </c>
      <c r="B1944">
        <v>53539</v>
      </c>
      <c r="C1944">
        <v>7891098041463</v>
      </c>
      <c r="D1944">
        <v>12.99</v>
      </c>
      <c r="E1944">
        <v>7.91</v>
      </c>
      <c r="F1944" s="3">
        <v>0.28610000000000002</v>
      </c>
      <c r="G1944">
        <v>5.7336</v>
      </c>
      <c r="H1944">
        <v>2.2669999999999999</v>
      </c>
    </row>
    <row r="1945" spans="1:8" x14ac:dyDescent="0.25">
      <c r="A1945" t="s">
        <v>1951</v>
      </c>
      <c r="B1945">
        <v>56890</v>
      </c>
      <c r="C1945">
        <v>7891098041685</v>
      </c>
      <c r="D1945">
        <v>12.9</v>
      </c>
      <c r="E1945">
        <v>8.49</v>
      </c>
      <c r="F1945" s="3">
        <v>0.30990000000000001</v>
      </c>
      <c r="G1945">
        <v>7.7096999999999998</v>
      </c>
      <c r="H1945">
        <v>1</v>
      </c>
    </row>
    <row r="1946" spans="1:8" x14ac:dyDescent="0.25">
      <c r="A1946" t="s">
        <v>1952</v>
      </c>
      <c r="B1946">
        <v>56891</v>
      </c>
      <c r="C1946">
        <v>7891098041746</v>
      </c>
      <c r="D1946">
        <v>12.9</v>
      </c>
      <c r="E1946">
        <v>9.06</v>
      </c>
      <c r="F1946" s="3">
        <v>0.217</v>
      </c>
      <c r="G1946">
        <v>6.5853999999999999</v>
      </c>
      <c r="H1946">
        <v>5</v>
      </c>
    </row>
    <row r="1947" spans="1:8" x14ac:dyDescent="0.25">
      <c r="A1947" t="s">
        <v>1953</v>
      </c>
      <c r="B1947">
        <v>53542</v>
      </c>
      <c r="C1947">
        <v>7891098041470</v>
      </c>
      <c r="D1947">
        <v>12.9</v>
      </c>
      <c r="E1947">
        <v>8.23</v>
      </c>
      <c r="F1947" s="3">
        <v>0.26829999999999998</v>
      </c>
      <c r="G1947">
        <v>5.9242999999999997</v>
      </c>
      <c r="H1947">
        <v>1.2669999999999999</v>
      </c>
    </row>
    <row r="1948" spans="1:8" x14ac:dyDescent="0.25">
      <c r="A1948" t="s">
        <v>1954</v>
      </c>
      <c r="B1948">
        <v>4489</v>
      </c>
      <c r="C1948">
        <v>7891098041494</v>
      </c>
      <c r="D1948">
        <v>11.9</v>
      </c>
      <c r="E1948">
        <v>7.45</v>
      </c>
      <c r="F1948" s="3">
        <v>0.33929999999999999</v>
      </c>
      <c r="G1948">
        <v>6.7613000000000003</v>
      </c>
      <c r="H1948">
        <v>3.0329999999999999</v>
      </c>
    </row>
    <row r="1949" spans="1:8" x14ac:dyDescent="0.25">
      <c r="A1949" t="s">
        <v>1955</v>
      </c>
      <c r="B1949">
        <v>4472</v>
      </c>
      <c r="C1949">
        <v>7891098000194</v>
      </c>
      <c r="D1949">
        <v>9.99</v>
      </c>
      <c r="E1949">
        <v>6.26</v>
      </c>
      <c r="F1949" s="3">
        <v>0.27160000000000001</v>
      </c>
      <c r="G1949">
        <v>4.5545</v>
      </c>
      <c r="H1949">
        <v>1.833</v>
      </c>
    </row>
    <row r="1950" spans="1:8" x14ac:dyDescent="0.25">
      <c r="A1950" t="s">
        <v>1956</v>
      </c>
      <c r="B1950">
        <v>4473</v>
      </c>
      <c r="C1950">
        <v>7891098001511</v>
      </c>
      <c r="D1950">
        <v>9.99</v>
      </c>
      <c r="E1950">
        <v>6.02</v>
      </c>
      <c r="F1950" s="3">
        <v>0.36099999999999999</v>
      </c>
      <c r="G1950">
        <v>5.4596999999999998</v>
      </c>
      <c r="H1950">
        <v>2.2669999999999999</v>
      </c>
    </row>
    <row r="1951" spans="1:8" x14ac:dyDescent="0.25">
      <c r="A1951" t="s">
        <v>1957</v>
      </c>
      <c r="B1951">
        <v>4557</v>
      </c>
      <c r="C1951">
        <v>7891098000415</v>
      </c>
      <c r="D1951">
        <v>4.99</v>
      </c>
      <c r="E1951">
        <v>2.67</v>
      </c>
      <c r="F1951" s="3">
        <v>0.4219</v>
      </c>
      <c r="G1951">
        <v>2.423</v>
      </c>
      <c r="H1951">
        <v>6.867</v>
      </c>
    </row>
    <row r="1952" spans="1:8" x14ac:dyDescent="0.25">
      <c r="A1952" t="s">
        <v>1958</v>
      </c>
      <c r="B1952">
        <v>56888</v>
      </c>
      <c r="C1952">
        <v>7891098041678</v>
      </c>
      <c r="D1952">
        <v>12.9</v>
      </c>
      <c r="E1952">
        <v>8.61</v>
      </c>
      <c r="F1952" s="3">
        <v>0.30380000000000001</v>
      </c>
      <c r="G1952">
        <v>7.7881</v>
      </c>
      <c r="H1952">
        <v>2</v>
      </c>
    </row>
    <row r="1953" spans="1:8" x14ac:dyDescent="0.25">
      <c r="A1953" t="s">
        <v>1959</v>
      </c>
      <c r="B1953">
        <v>63143</v>
      </c>
      <c r="C1953">
        <v>7891098042187</v>
      </c>
      <c r="D1953">
        <v>15.9</v>
      </c>
      <c r="E1953">
        <v>12.55</v>
      </c>
      <c r="F1953" s="3">
        <v>0.1439</v>
      </c>
      <c r="G1953">
        <v>9.2789000000000001</v>
      </c>
      <c r="H1953">
        <v>0.8</v>
      </c>
    </row>
    <row r="1954" spans="1:8" x14ac:dyDescent="0.25">
      <c r="A1954" t="s">
        <v>1960</v>
      </c>
      <c r="B1954">
        <v>56889</v>
      </c>
      <c r="C1954">
        <v>7891098041692</v>
      </c>
      <c r="D1954">
        <v>12.9</v>
      </c>
      <c r="E1954">
        <v>8.4700000000000006</v>
      </c>
      <c r="F1954" s="3">
        <v>0.31180000000000002</v>
      </c>
      <c r="G1954">
        <v>7.6844999999999999</v>
      </c>
      <c r="H1954">
        <v>1.367</v>
      </c>
    </row>
    <row r="1955" spans="1:8" x14ac:dyDescent="0.25">
      <c r="A1955" t="s">
        <v>1961</v>
      </c>
      <c r="B1955">
        <v>63144</v>
      </c>
      <c r="C1955">
        <v>7891098042170</v>
      </c>
      <c r="D1955">
        <v>15.9</v>
      </c>
      <c r="E1955">
        <v>11.4</v>
      </c>
      <c r="F1955" s="3">
        <v>0.21590000000000001</v>
      </c>
      <c r="G1955">
        <v>8.1336999999999993</v>
      </c>
      <c r="H1955">
        <v>0.5</v>
      </c>
    </row>
    <row r="1956" spans="1:8" x14ac:dyDescent="0.25">
      <c r="A1956" t="s">
        <v>1962</v>
      </c>
      <c r="B1956">
        <v>4478</v>
      </c>
      <c r="C1956">
        <v>7891098041500</v>
      </c>
      <c r="D1956">
        <v>11.9</v>
      </c>
      <c r="E1956">
        <v>7.64</v>
      </c>
      <c r="F1956" s="3">
        <v>0.32770000000000005</v>
      </c>
      <c r="G1956">
        <v>6.8993000000000002</v>
      </c>
      <c r="H1956">
        <v>2.8330000000000002</v>
      </c>
    </row>
    <row r="1957" spans="1:8" x14ac:dyDescent="0.25">
      <c r="A1957" t="s">
        <v>1963</v>
      </c>
      <c r="B1957">
        <v>63145</v>
      </c>
      <c r="C1957">
        <v>7891098042194</v>
      </c>
      <c r="D1957">
        <v>18.899999999999999</v>
      </c>
      <c r="E1957">
        <v>12.87</v>
      </c>
      <c r="F1957" s="3">
        <v>0.2414</v>
      </c>
      <c r="G1957">
        <v>9.1880000000000006</v>
      </c>
      <c r="H1957">
        <v>1</v>
      </c>
    </row>
    <row r="1958" spans="1:8" x14ac:dyDescent="0.25">
      <c r="A1958" t="s">
        <v>1964</v>
      </c>
      <c r="B1958">
        <v>67287</v>
      </c>
      <c r="C1958">
        <v>7891098042422</v>
      </c>
      <c r="D1958">
        <v>15.9</v>
      </c>
      <c r="E1958">
        <v>9.51</v>
      </c>
      <c r="F1958" s="3">
        <v>0.29249999999999998</v>
      </c>
      <c r="G1958">
        <v>6.9170999999999996</v>
      </c>
      <c r="H1958">
        <v>6.7000000000000004E-2</v>
      </c>
    </row>
    <row r="1959" spans="1:8" x14ac:dyDescent="0.25">
      <c r="A1959" t="s">
        <v>1965</v>
      </c>
      <c r="B1959">
        <v>63146</v>
      </c>
      <c r="C1959">
        <v>7891098042224</v>
      </c>
      <c r="D1959">
        <v>14.9</v>
      </c>
      <c r="E1959">
        <v>8.1199999999999992</v>
      </c>
      <c r="F1959" s="3">
        <v>0.33159999999999995</v>
      </c>
      <c r="G1959">
        <v>5.899</v>
      </c>
      <c r="H1959">
        <v>1.7669999999999999</v>
      </c>
    </row>
    <row r="1960" spans="1:8" x14ac:dyDescent="0.25">
      <c r="A1960" t="s">
        <v>1966</v>
      </c>
      <c r="B1960">
        <v>63147</v>
      </c>
      <c r="C1960">
        <v>7891098042231</v>
      </c>
      <c r="D1960">
        <v>14.9</v>
      </c>
      <c r="E1960">
        <v>7.93</v>
      </c>
      <c r="F1960" s="3">
        <v>0.3417</v>
      </c>
      <c r="G1960">
        <v>5.7485999999999997</v>
      </c>
      <c r="H1960">
        <v>2.2330000000000001</v>
      </c>
    </row>
    <row r="1961" spans="1:8" x14ac:dyDescent="0.25">
      <c r="A1961" t="s">
        <v>1967</v>
      </c>
      <c r="B1961">
        <v>61908</v>
      </c>
      <c r="C1961">
        <v>7891098041968</v>
      </c>
      <c r="D1961">
        <v>11.9</v>
      </c>
      <c r="E1961">
        <v>8.1</v>
      </c>
      <c r="F1961" s="3">
        <v>0.29870000000000002</v>
      </c>
      <c r="G1961">
        <v>7.2446000000000002</v>
      </c>
      <c r="H1961">
        <v>2.0670000000000002</v>
      </c>
    </row>
    <row r="1962" spans="1:8" x14ac:dyDescent="0.25">
      <c r="A1962" t="s">
        <v>1968</v>
      </c>
      <c r="B1962">
        <v>61909</v>
      </c>
      <c r="C1962">
        <v>7891098041982</v>
      </c>
      <c r="D1962">
        <v>11.9</v>
      </c>
      <c r="E1962">
        <v>8.48</v>
      </c>
      <c r="F1962" s="3">
        <v>0.2107</v>
      </c>
      <c r="G1962">
        <v>6.1494999999999997</v>
      </c>
      <c r="H1962">
        <v>3.3330000000000002</v>
      </c>
    </row>
    <row r="1963" spans="1:8" x14ac:dyDescent="0.25">
      <c r="A1963" t="s">
        <v>1969</v>
      </c>
      <c r="B1963">
        <v>4476</v>
      </c>
      <c r="C1963">
        <v>7891098041999</v>
      </c>
      <c r="D1963">
        <v>9.99</v>
      </c>
      <c r="E1963">
        <v>5.96</v>
      </c>
      <c r="F1963" s="3">
        <v>0.29849999999999999</v>
      </c>
      <c r="G1963">
        <v>4.2854999999999999</v>
      </c>
      <c r="H1963">
        <v>11.867000000000001</v>
      </c>
    </row>
    <row r="1964" spans="1:8" x14ac:dyDescent="0.25">
      <c r="A1964" t="s">
        <v>1970</v>
      </c>
      <c r="B1964">
        <v>58461</v>
      </c>
      <c r="C1964">
        <v>7891098041869</v>
      </c>
      <c r="D1964">
        <v>11.9</v>
      </c>
      <c r="E1964">
        <v>8.5399999999999991</v>
      </c>
      <c r="F1964" s="3">
        <v>0.20860000000000001</v>
      </c>
      <c r="G1964">
        <v>6.1752000000000002</v>
      </c>
      <c r="H1964">
        <v>3</v>
      </c>
    </row>
    <row r="1965" spans="1:8" x14ac:dyDescent="0.25">
      <c r="A1965" t="s">
        <v>1971</v>
      </c>
      <c r="B1965">
        <v>53538</v>
      </c>
      <c r="C1965">
        <v>7891098041432</v>
      </c>
      <c r="D1965">
        <v>11.9</v>
      </c>
      <c r="E1965">
        <v>7.9</v>
      </c>
      <c r="F1965" s="3">
        <v>0.31010000000000004</v>
      </c>
      <c r="G1965">
        <v>7.1087999999999996</v>
      </c>
      <c r="H1965">
        <v>2.1</v>
      </c>
    </row>
    <row r="1966" spans="1:8" x14ac:dyDescent="0.25">
      <c r="A1966" t="s">
        <v>1972</v>
      </c>
      <c r="B1966">
        <v>58460</v>
      </c>
      <c r="C1966">
        <v>7891098041845</v>
      </c>
      <c r="D1966">
        <v>11.9</v>
      </c>
      <c r="E1966">
        <v>7.9</v>
      </c>
      <c r="F1966" s="3">
        <v>0.30099999999999999</v>
      </c>
      <c r="G1966">
        <v>7.2168000000000001</v>
      </c>
      <c r="H1966">
        <v>2.2999999999999998</v>
      </c>
    </row>
    <row r="1967" spans="1:8" x14ac:dyDescent="0.25">
      <c r="A1967" t="s">
        <v>1973</v>
      </c>
      <c r="B1967">
        <v>53537</v>
      </c>
      <c r="C1967">
        <v>7891098041395</v>
      </c>
      <c r="D1967">
        <v>11.9</v>
      </c>
      <c r="E1967">
        <v>7.84</v>
      </c>
      <c r="F1967" s="3">
        <v>0.30959999999999999</v>
      </c>
      <c r="G1967">
        <v>7.1147</v>
      </c>
      <c r="H1967">
        <v>1.667</v>
      </c>
    </row>
    <row r="1968" spans="1:8" x14ac:dyDescent="0.25">
      <c r="A1968" t="s">
        <v>1974</v>
      </c>
      <c r="B1968">
        <v>53536</v>
      </c>
      <c r="C1968">
        <v>7891098041418</v>
      </c>
      <c r="D1968">
        <v>11.9</v>
      </c>
      <c r="E1968">
        <v>8.02</v>
      </c>
      <c r="F1968" s="3">
        <v>0.29199999999999998</v>
      </c>
      <c r="G1968">
        <v>7.3239999999999998</v>
      </c>
      <c r="H1968">
        <v>3.7</v>
      </c>
    </row>
    <row r="1969" spans="1:8" x14ac:dyDescent="0.25">
      <c r="A1969" t="s">
        <v>1975</v>
      </c>
      <c r="B1969">
        <v>57264</v>
      </c>
      <c r="C1969">
        <v>7891098041630</v>
      </c>
      <c r="D1969">
        <v>4.49</v>
      </c>
      <c r="E1969">
        <v>3.1</v>
      </c>
      <c r="F1969" s="3">
        <v>0.31019999999999998</v>
      </c>
      <c r="G1969">
        <v>3.0972</v>
      </c>
      <c r="H1969">
        <v>50.9</v>
      </c>
    </row>
    <row r="1970" spans="1:8" x14ac:dyDescent="0.25">
      <c r="A1970" t="s">
        <v>1976</v>
      </c>
      <c r="B1970">
        <v>65347</v>
      </c>
      <c r="C1970">
        <v>7891098042323</v>
      </c>
      <c r="D1970">
        <v>7.69</v>
      </c>
      <c r="E1970">
        <v>5.58</v>
      </c>
      <c r="F1970" s="3">
        <v>0.2792</v>
      </c>
      <c r="G1970">
        <v>5.5433000000000003</v>
      </c>
      <c r="H1970">
        <v>41.6</v>
      </c>
    </row>
    <row r="1971" spans="1:8" x14ac:dyDescent="0.25">
      <c r="A1971" t="s">
        <v>1977</v>
      </c>
      <c r="B1971">
        <v>65345</v>
      </c>
      <c r="C1971">
        <v>7891098042316</v>
      </c>
      <c r="D1971">
        <v>4.49</v>
      </c>
      <c r="E1971">
        <v>3.02</v>
      </c>
      <c r="F1971" s="3">
        <v>0.36680000000000001</v>
      </c>
      <c r="G1971">
        <v>2.8431000000000002</v>
      </c>
      <c r="H1971">
        <v>8.6999999999999993</v>
      </c>
    </row>
    <row r="1972" spans="1:8" x14ac:dyDescent="0.25">
      <c r="A1972" t="s">
        <v>1978</v>
      </c>
      <c r="B1972">
        <v>65451</v>
      </c>
      <c r="C1972">
        <v>7891098042255</v>
      </c>
      <c r="D1972">
        <v>14.49</v>
      </c>
      <c r="E1972">
        <v>8.98</v>
      </c>
      <c r="F1972" s="3">
        <v>0.28059999999999996</v>
      </c>
      <c r="G1972">
        <v>6.4757999999999996</v>
      </c>
      <c r="H1972">
        <v>0.53300000000000003</v>
      </c>
    </row>
    <row r="1973" spans="1:8" x14ac:dyDescent="0.25">
      <c r="A1973" t="s">
        <v>1979</v>
      </c>
      <c r="B1973">
        <v>65452</v>
      </c>
      <c r="C1973">
        <v>7891098042262</v>
      </c>
      <c r="D1973">
        <v>14.49</v>
      </c>
      <c r="E1973">
        <v>9.18</v>
      </c>
      <c r="F1973" s="3">
        <v>0.27060000000000001</v>
      </c>
      <c r="G1973">
        <v>6.6212</v>
      </c>
      <c r="H1973">
        <v>0.93300000000000005</v>
      </c>
    </row>
    <row r="1974" spans="1:8" x14ac:dyDescent="0.25">
      <c r="A1974" t="s">
        <v>1980</v>
      </c>
      <c r="B1974">
        <v>65453</v>
      </c>
      <c r="C1974">
        <v>7891098042279</v>
      </c>
      <c r="D1974">
        <v>14.49</v>
      </c>
      <c r="E1974">
        <v>9.2799999999999994</v>
      </c>
      <c r="F1974" s="3">
        <v>0.2636</v>
      </c>
      <c r="G1974">
        <v>6.7222</v>
      </c>
      <c r="H1974">
        <v>1.9</v>
      </c>
    </row>
    <row r="1975" spans="1:8" x14ac:dyDescent="0.25">
      <c r="A1975" t="s">
        <v>1981</v>
      </c>
      <c r="B1975">
        <v>65450</v>
      </c>
      <c r="C1975">
        <v>7891098042248</v>
      </c>
      <c r="D1975">
        <v>14.49</v>
      </c>
      <c r="E1975">
        <v>9.1199999999999992</v>
      </c>
      <c r="F1975" s="3">
        <v>0.27339999999999998</v>
      </c>
      <c r="G1975">
        <v>6.5799000000000003</v>
      </c>
      <c r="H1975">
        <v>1.333</v>
      </c>
    </row>
    <row r="1976" spans="1:8" x14ac:dyDescent="0.25">
      <c r="A1976" t="s">
        <v>1982</v>
      </c>
      <c r="B1976">
        <v>5361</v>
      </c>
      <c r="C1976">
        <v>7891098040855</v>
      </c>
      <c r="D1976">
        <v>7.69</v>
      </c>
      <c r="E1976">
        <v>5.19</v>
      </c>
      <c r="F1976" s="3">
        <v>0.34179999999999999</v>
      </c>
      <c r="G1976">
        <v>5.0613999999999999</v>
      </c>
      <c r="H1976">
        <v>39</v>
      </c>
    </row>
    <row r="1977" spans="1:8" x14ac:dyDescent="0.25">
      <c r="A1977" t="s">
        <v>1983</v>
      </c>
      <c r="B1977">
        <v>5362</v>
      </c>
      <c r="C1977">
        <v>7891098040909</v>
      </c>
      <c r="D1977">
        <v>7.69</v>
      </c>
      <c r="E1977">
        <v>4.99</v>
      </c>
      <c r="F1977" s="3">
        <v>0.35049999999999998</v>
      </c>
      <c r="G1977">
        <v>4.9949000000000003</v>
      </c>
      <c r="H1977">
        <v>3.6669999999999998</v>
      </c>
    </row>
    <row r="1978" spans="1:8" x14ac:dyDescent="0.25">
      <c r="A1978" t="s">
        <v>1984</v>
      </c>
      <c r="B1978">
        <v>5359</v>
      </c>
      <c r="C1978">
        <v>7891098041081</v>
      </c>
      <c r="D1978">
        <v>7.69</v>
      </c>
      <c r="E1978">
        <v>5.15</v>
      </c>
      <c r="F1978" s="3">
        <v>0.32729999999999998</v>
      </c>
      <c r="G1978">
        <v>5.1729000000000003</v>
      </c>
      <c r="H1978">
        <v>41.3</v>
      </c>
    </row>
    <row r="1979" spans="1:8" x14ac:dyDescent="0.25">
      <c r="A1979" t="s">
        <v>1985</v>
      </c>
      <c r="B1979">
        <v>5360</v>
      </c>
      <c r="C1979">
        <v>7891098041142</v>
      </c>
      <c r="D1979">
        <v>7.69</v>
      </c>
      <c r="E1979">
        <v>4.99</v>
      </c>
      <c r="F1979" s="3">
        <v>0.35109999999999997</v>
      </c>
      <c r="G1979">
        <v>4.99</v>
      </c>
      <c r="H1979">
        <v>5.867</v>
      </c>
    </row>
    <row r="1980" spans="1:8" x14ac:dyDescent="0.25">
      <c r="A1980" t="s">
        <v>1986</v>
      </c>
      <c r="B1980">
        <v>16527</v>
      </c>
      <c r="C1980">
        <v>7891098002044</v>
      </c>
      <c r="D1980">
        <v>14.49</v>
      </c>
      <c r="E1980">
        <v>9.98</v>
      </c>
      <c r="F1980" s="3">
        <v>0.26829999999999998</v>
      </c>
      <c r="G1980">
        <v>9.2624999999999993</v>
      </c>
      <c r="H1980">
        <v>5.4</v>
      </c>
    </row>
    <row r="1981" spans="1:8" x14ac:dyDescent="0.25">
      <c r="A1981" t="s">
        <v>1987</v>
      </c>
      <c r="B1981">
        <v>52556</v>
      </c>
      <c r="C1981">
        <v>7891098040848</v>
      </c>
      <c r="D1981">
        <v>4.49</v>
      </c>
      <c r="E1981">
        <v>3.26</v>
      </c>
      <c r="F1981" s="3">
        <v>0.2742</v>
      </c>
      <c r="G1981">
        <v>3.2587999999999999</v>
      </c>
      <c r="H1981">
        <v>4.2</v>
      </c>
    </row>
    <row r="1982" spans="1:8" x14ac:dyDescent="0.25">
      <c r="A1982" t="s">
        <v>1988</v>
      </c>
      <c r="B1982">
        <v>52183</v>
      </c>
      <c r="C1982">
        <v>7891098040893</v>
      </c>
      <c r="D1982">
        <v>4.49</v>
      </c>
      <c r="E1982">
        <v>3.14</v>
      </c>
      <c r="F1982" s="3">
        <v>0.31620000000000004</v>
      </c>
      <c r="G1982">
        <v>3.0705</v>
      </c>
      <c r="H1982">
        <v>9.1329999999999991</v>
      </c>
    </row>
    <row r="1983" spans="1:8" x14ac:dyDescent="0.25">
      <c r="A1983" t="s">
        <v>1989</v>
      </c>
      <c r="B1983">
        <v>52181</v>
      </c>
      <c r="C1983">
        <v>7891098041074</v>
      </c>
      <c r="D1983">
        <v>4.49</v>
      </c>
      <c r="E1983">
        <v>3.26</v>
      </c>
      <c r="F1983" s="3">
        <v>0.2742</v>
      </c>
      <c r="G1983">
        <v>3.2587999999999999</v>
      </c>
      <c r="H1983">
        <v>10.199999999999999</v>
      </c>
    </row>
    <row r="1984" spans="1:8" x14ac:dyDescent="0.25">
      <c r="A1984" t="s">
        <v>1990</v>
      </c>
      <c r="B1984">
        <v>52182</v>
      </c>
      <c r="C1984">
        <v>7891098041135</v>
      </c>
      <c r="D1984">
        <v>4.49</v>
      </c>
      <c r="E1984">
        <v>3.25</v>
      </c>
      <c r="F1984" s="3">
        <v>0.27589999999999998</v>
      </c>
      <c r="G1984">
        <v>3.2513000000000001</v>
      </c>
      <c r="H1984">
        <v>25.6</v>
      </c>
    </row>
    <row r="1985" spans="1:8" x14ac:dyDescent="0.25">
      <c r="A1985" t="s">
        <v>1991</v>
      </c>
      <c r="B1985">
        <v>5367</v>
      </c>
      <c r="C1985">
        <v>7891098040589</v>
      </c>
      <c r="D1985">
        <v>7.69</v>
      </c>
      <c r="E1985">
        <v>5.7</v>
      </c>
      <c r="F1985" s="3">
        <v>0.26819999999999999</v>
      </c>
      <c r="G1985">
        <v>5.6276000000000002</v>
      </c>
      <c r="H1985">
        <v>19.466999999999999</v>
      </c>
    </row>
    <row r="1986" spans="1:8" x14ac:dyDescent="0.25">
      <c r="A1986" t="s">
        <v>1992</v>
      </c>
      <c r="B1986">
        <v>55077</v>
      </c>
      <c r="C1986">
        <v>7891098041197</v>
      </c>
      <c r="D1986">
        <v>16.899999999999999</v>
      </c>
      <c r="E1986">
        <v>10.94</v>
      </c>
      <c r="F1986" s="3">
        <v>0.31920000000000004</v>
      </c>
      <c r="G1986">
        <v>9.9423999999999992</v>
      </c>
      <c r="H1986">
        <v>0</v>
      </c>
    </row>
    <row r="1987" spans="1:8" x14ac:dyDescent="0.25">
      <c r="A1987" t="s">
        <v>1993</v>
      </c>
      <c r="B1987">
        <v>61907</v>
      </c>
      <c r="C1987">
        <v>7891098041210</v>
      </c>
      <c r="D1987">
        <v>16.899999999999999</v>
      </c>
      <c r="E1987">
        <v>11.03</v>
      </c>
      <c r="F1987" s="3">
        <v>0.3155</v>
      </c>
      <c r="G1987">
        <v>10.005599999999999</v>
      </c>
      <c r="H1987">
        <v>0</v>
      </c>
    </row>
    <row r="1988" spans="1:8" x14ac:dyDescent="0.25">
      <c r="A1988" t="s">
        <v>1994</v>
      </c>
      <c r="B1988">
        <v>59322</v>
      </c>
      <c r="C1988">
        <v>7891098041883</v>
      </c>
      <c r="D1988">
        <v>7.69</v>
      </c>
      <c r="E1988">
        <v>5.55</v>
      </c>
      <c r="F1988" s="3">
        <v>0.28639999999999999</v>
      </c>
      <c r="G1988">
        <v>5.4873000000000003</v>
      </c>
      <c r="H1988">
        <v>48.167000000000002</v>
      </c>
    </row>
    <row r="1989" spans="1:8" x14ac:dyDescent="0.25">
      <c r="A1989" t="s">
        <v>1995</v>
      </c>
      <c r="B1989">
        <v>60381</v>
      </c>
      <c r="C1989">
        <v>7891098041913</v>
      </c>
      <c r="D1989">
        <v>4.49</v>
      </c>
      <c r="E1989">
        <v>3.19</v>
      </c>
      <c r="F1989" s="3">
        <v>0.36799999999999999</v>
      </c>
      <c r="G1989">
        <v>2.8376999999999999</v>
      </c>
      <c r="H1989">
        <v>9.2669999999999995</v>
      </c>
    </row>
    <row r="1990" spans="1:8" x14ac:dyDescent="0.25">
      <c r="A1990" t="s">
        <v>1996</v>
      </c>
      <c r="B1990">
        <v>61905</v>
      </c>
      <c r="C1990">
        <v>7891098041944</v>
      </c>
      <c r="D1990">
        <v>13.9</v>
      </c>
      <c r="E1990">
        <v>8.4</v>
      </c>
      <c r="F1990" s="3">
        <v>0.28899999999999998</v>
      </c>
      <c r="G1990">
        <v>6.0948000000000002</v>
      </c>
      <c r="H1990">
        <v>1.833</v>
      </c>
    </row>
    <row r="1991" spans="1:8" x14ac:dyDescent="0.25">
      <c r="A1991" t="s">
        <v>1997</v>
      </c>
      <c r="B1991">
        <v>61903</v>
      </c>
      <c r="C1991">
        <v>7891098041920</v>
      </c>
      <c r="D1991">
        <v>13.9</v>
      </c>
      <c r="E1991">
        <v>7.98</v>
      </c>
      <c r="F1991" s="3">
        <v>0.3085</v>
      </c>
      <c r="G1991">
        <v>5.8242000000000003</v>
      </c>
      <c r="H1991">
        <v>0.93300000000000005</v>
      </c>
    </row>
    <row r="1992" spans="1:8" x14ac:dyDescent="0.25">
      <c r="A1992" t="s">
        <v>1998</v>
      </c>
      <c r="B1992">
        <v>61904</v>
      </c>
      <c r="C1992">
        <v>7891098041937</v>
      </c>
      <c r="D1992">
        <v>13.9</v>
      </c>
      <c r="E1992">
        <v>8.5</v>
      </c>
      <c r="F1992" s="3">
        <v>0.28559999999999997</v>
      </c>
      <c r="G1992">
        <v>6.1422999999999996</v>
      </c>
      <c r="H1992">
        <v>2.3330000000000002</v>
      </c>
    </row>
    <row r="1993" spans="1:8" x14ac:dyDescent="0.25">
      <c r="A1993" t="s">
        <v>1999</v>
      </c>
      <c r="B1993">
        <v>17472</v>
      </c>
      <c r="C1993">
        <v>7891042000201</v>
      </c>
      <c r="D1993">
        <v>7.49</v>
      </c>
      <c r="E1993">
        <v>5.35</v>
      </c>
      <c r="F1993" s="3">
        <v>0.28570000000000001</v>
      </c>
      <c r="G1993">
        <v>5.3498999999999999</v>
      </c>
      <c r="H1993">
        <v>25.332999999999998</v>
      </c>
    </row>
    <row r="1994" spans="1:8" x14ac:dyDescent="0.25">
      <c r="A1994" t="s">
        <v>2000</v>
      </c>
      <c r="B1994">
        <v>68137</v>
      </c>
      <c r="C1994">
        <v>7898694491449</v>
      </c>
      <c r="D1994">
        <v>7.9</v>
      </c>
      <c r="E1994">
        <v>5.32</v>
      </c>
      <c r="F1994" s="3">
        <v>0.29609999999999997</v>
      </c>
      <c r="G1994">
        <v>4.83</v>
      </c>
      <c r="H1994">
        <v>0.36699999999999999</v>
      </c>
    </row>
    <row r="1995" spans="1:8" x14ac:dyDescent="0.25">
      <c r="A1995" t="s">
        <v>2001</v>
      </c>
      <c r="B1995">
        <v>68134</v>
      </c>
      <c r="C1995">
        <v>7898694491432</v>
      </c>
      <c r="D1995">
        <v>8.9</v>
      </c>
      <c r="E1995">
        <v>5.99</v>
      </c>
      <c r="F1995" s="3">
        <v>0.29710000000000003</v>
      </c>
      <c r="G1995">
        <v>5.4326999999999996</v>
      </c>
      <c r="H1995">
        <v>1.7669999999999999</v>
      </c>
    </row>
    <row r="1996" spans="1:8" x14ac:dyDescent="0.25">
      <c r="A1996" t="s">
        <v>2002</v>
      </c>
      <c r="B1996">
        <v>16980</v>
      </c>
      <c r="C1996">
        <v>7891098040596</v>
      </c>
      <c r="D1996">
        <v>7.69</v>
      </c>
      <c r="E1996">
        <v>5.55</v>
      </c>
      <c r="F1996" s="3">
        <v>0.27789999999999998</v>
      </c>
      <c r="G1996">
        <v>5.5529999999999999</v>
      </c>
      <c r="H1996">
        <v>24.3</v>
      </c>
    </row>
    <row r="1997" spans="1:8" x14ac:dyDescent="0.25">
      <c r="A1997" t="s">
        <v>2003</v>
      </c>
      <c r="B1997">
        <v>4554</v>
      </c>
      <c r="C1997">
        <v>7891098000026</v>
      </c>
      <c r="D1997">
        <v>6.99</v>
      </c>
      <c r="E1997">
        <v>4.49</v>
      </c>
      <c r="F1997" s="3">
        <v>0.31920000000000004</v>
      </c>
      <c r="G1997">
        <v>4.1120000000000001</v>
      </c>
      <c r="H1997">
        <v>2.9</v>
      </c>
    </row>
    <row r="1998" spans="1:8" x14ac:dyDescent="0.25">
      <c r="A1998" t="s">
        <v>2004</v>
      </c>
      <c r="B1998">
        <v>4556</v>
      </c>
      <c r="C1998">
        <v>7891098038456</v>
      </c>
      <c r="D1998">
        <v>12.99</v>
      </c>
      <c r="E1998">
        <v>9.15</v>
      </c>
      <c r="F1998" s="3">
        <v>0.25700000000000001</v>
      </c>
      <c r="G1998">
        <v>8.4496000000000002</v>
      </c>
      <c r="H1998">
        <v>4.4000000000000004</v>
      </c>
    </row>
    <row r="1999" spans="1:8" x14ac:dyDescent="0.25">
      <c r="A1999" t="s">
        <v>2005</v>
      </c>
      <c r="B1999">
        <v>66887</v>
      </c>
      <c r="C1999">
        <v>7891098041647</v>
      </c>
      <c r="D1999">
        <v>4.29</v>
      </c>
      <c r="E1999">
        <v>3.09</v>
      </c>
      <c r="F1999" s="3">
        <v>0.27850000000000003</v>
      </c>
      <c r="G1999">
        <v>3.0952000000000002</v>
      </c>
      <c r="H1999">
        <v>22.4</v>
      </c>
    </row>
    <row r="2000" spans="1:8" x14ac:dyDescent="0.25">
      <c r="A2000" t="s">
        <v>2006</v>
      </c>
      <c r="B2000">
        <v>4479</v>
      </c>
      <c r="C2000">
        <v>7891098000972</v>
      </c>
      <c r="D2000">
        <v>7.99</v>
      </c>
      <c r="E2000">
        <v>5.0999999999999996</v>
      </c>
      <c r="F2000" s="3">
        <v>0.32270000000000004</v>
      </c>
      <c r="G2000">
        <v>4.6727999999999996</v>
      </c>
      <c r="H2000">
        <v>2.6</v>
      </c>
    </row>
    <row r="2001" spans="1:8" x14ac:dyDescent="0.25">
      <c r="A2001" t="s">
        <v>2007</v>
      </c>
      <c r="B2001">
        <v>4552</v>
      </c>
      <c r="C2001">
        <v>7891098000057</v>
      </c>
      <c r="D2001">
        <v>7.99</v>
      </c>
      <c r="E2001">
        <v>5</v>
      </c>
      <c r="F2001" s="3">
        <v>0.34079999999999999</v>
      </c>
      <c r="G2001">
        <v>4.5279999999999996</v>
      </c>
      <c r="H2001">
        <v>2.7330000000000001</v>
      </c>
    </row>
    <row r="2002" spans="1:8" x14ac:dyDescent="0.25">
      <c r="A2002" t="s">
        <v>2008</v>
      </c>
      <c r="B2002">
        <v>4486</v>
      </c>
      <c r="C2002">
        <v>7891098000040</v>
      </c>
      <c r="D2002">
        <v>7.99</v>
      </c>
      <c r="E2002">
        <v>5.07</v>
      </c>
      <c r="F2002" s="3">
        <v>0.32789999999999997</v>
      </c>
      <c r="G2002">
        <v>4.6307999999999998</v>
      </c>
      <c r="H2002">
        <v>8.7669999999999995</v>
      </c>
    </row>
    <row r="2003" spans="1:8" x14ac:dyDescent="0.25">
      <c r="A2003" t="s">
        <v>2009</v>
      </c>
      <c r="B2003">
        <v>62639</v>
      </c>
      <c r="C2003">
        <v>7891098040749</v>
      </c>
      <c r="D2003">
        <v>4.49</v>
      </c>
      <c r="E2003">
        <v>3.04</v>
      </c>
      <c r="F2003" s="3">
        <v>0.37020000000000003</v>
      </c>
      <c r="G2003">
        <v>2.8277000000000001</v>
      </c>
      <c r="H2003">
        <v>8.8330000000000002</v>
      </c>
    </row>
    <row r="2004" spans="1:8" x14ac:dyDescent="0.25">
      <c r="A2004" t="s">
        <v>2010</v>
      </c>
      <c r="B2004">
        <v>62641</v>
      </c>
      <c r="C2004">
        <v>7891098040688</v>
      </c>
      <c r="D2004">
        <v>4.49</v>
      </c>
      <c r="E2004">
        <v>3.05</v>
      </c>
      <c r="F2004" s="3">
        <v>0.3679</v>
      </c>
      <c r="G2004">
        <v>2.8380999999999998</v>
      </c>
      <c r="H2004">
        <v>5.367</v>
      </c>
    </row>
    <row r="2005" spans="1:8" x14ac:dyDescent="0.25">
      <c r="A2005" t="s">
        <v>2011</v>
      </c>
      <c r="B2005">
        <v>61150</v>
      </c>
      <c r="C2005">
        <v>7898070111848</v>
      </c>
      <c r="D2005">
        <v>16.899999999999999</v>
      </c>
      <c r="E2005">
        <v>7.94</v>
      </c>
      <c r="F2005" s="3">
        <v>0.48109999999999997</v>
      </c>
      <c r="G2005">
        <v>7.2064000000000004</v>
      </c>
      <c r="H2005">
        <v>1.167</v>
      </c>
    </row>
    <row r="2006" spans="1:8" x14ac:dyDescent="0.25">
      <c r="A2006" t="s">
        <v>2012</v>
      </c>
      <c r="B2006">
        <v>61149</v>
      </c>
      <c r="C2006">
        <v>7898070111831</v>
      </c>
      <c r="D2006">
        <v>16.899999999999999</v>
      </c>
      <c r="E2006">
        <v>7.18</v>
      </c>
      <c r="F2006" s="3">
        <v>0.52200000000000002</v>
      </c>
      <c r="G2006">
        <v>6.5141999999999998</v>
      </c>
      <c r="H2006">
        <v>0.73299999999999998</v>
      </c>
    </row>
    <row r="2007" spans="1:8" x14ac:dyDescent="0.25">
      <c r="A2007" t="s">
        <v>2013</v>
      </c>
      <c r="B2007">
        <v>65252</v>
      </c>
      <c r="C2007">
        <v>7898960096880</v>
      </c>
      <c r="D2007">
        <v>12.9</v>
      </c>
      <c r="E2007">
        <v>7.69</v>
      </c>
      <c r="F2007" s="3">
        <v>0.3901</v>
      </c>
      <c r="G2007">
        <v>6.6748000000000003</v>
      </c>
      <c r="H2007">
        <v>2.1669999999999998</v>
      </c>
    </row>
    <row r="2008" spans="1:8" x14ac:dyDescent="0.25">
      <c r="A2008" t="s">
        <v>2014</v>
      </c>
      <c r="B2008">
        <v>67164</v>
      </c>
      <c r="C2008">
        <v>7898960096934</v>
      </c>
      <c r="D2008">
        <v>12.9</v>
      </c>
      <c r="E2008">
        <v>7.61</v>
      </c>
      <c r="F2008" s="3">
        <v>0.37759999999999999</v>
      </c>
      <c r="G2008">
        <v>6.8357000000000001</v>
      </c>
      <c r="H2008">
        <v>2.2669999999999999</v>
      </c>
    </row>
    <row r="2009" spans="1:8" x14ac:dyDescent="0.25">
      <c r="A2009" t="s">
        <v>2015</v>
      </c>
      <c r="B2009">
        <v>65253</v>
      </c>
      <c r="C2009">
        <v>7898960096002</v>
      </c>
      <c r="D2009">
        <v>12.9</v>
      </c>
      <c r="E2009">
        <v>7.59</v>
      </c>
      <c r="F2009" s="3">
        <v>0.40090000000000003</v>
      </c>
      <c r="G2009">
        <v>6.5354000000000001</v>
      </c>
      <c r="H2009">
        <v>3.5329999999999999</v>
      </c>
    </row>
    <row r="2010" spans="1:8" x14ac:dyDescent="0.25">
      <c r="A2010" t="s">
        <v>2016</v>
      </c>
      <c r="B2010">
        <v>43499</v>
      </c>
      <c r="C2010">
        <v>70177197179</v>
      </c>
      <c r="D2010">
        <v>18.899999999999999</v>
      </c>
      <c r="E2010">
        <v>12.51</v>
      </c>
      <c r="F2010" s="3">
        <v>0.30680000000000002</v>
      </c>
      <c r="G2010">
        <v>11.3527</v>
      </c>
      <c r="H2010">
        <v>2.2999999999999998</v>
      </c>
    </row>
    <row r="2011" spans="1:8" x14ac:dyDescent="0.25">
      <c r="A2011" t="s">
        <v>2017</v>
      </c>
      <c r="B2011">
        <v>43483</v>
      </c>
      <c r="C2011">
        <v>70177197315</v>
      </c>
      <c r="D2011">
        <v>19.899999999999999</v>
      </c>
      <c r="E2011">
        <v>12.6</v>
      </c>
      <c r="F2011" s="3">
        <v>0.26649999999999996</v>
      </c>
      <c r="G2011">
        <v>9.1730999999999998</v>
      </c>
      <c r="H2011">
        <v>3.367</v>
      </c>
    </row>
    <row r="2012" spans="1:8" x14ac:dyDescent="0.25">
      <c r="A2012" t="s">
        <v>2018</v>
      </c>
      <c r="B2012">
        <v>43482</v>
      </c>
      <c r="C2012">
        <v>70177197346</v>
      </c>
      <c r="D2012">
        <v>19.899999999999999</v>
      </c>
      <c r="E2012">
        <v>13.02</v>
      </c>
      <c r="F2012" s="3">
        <v>0.26649999999999996</v>
      </c>
      <c r="G2012">
        <v>9.1748999999999992</v>
      </c>
      <c r="H2012">
        <v>1.5669999999999999</v>
      </c>
    </row>
    <row r="2013" spans="1:8" x14ac:dyDescent="0.25">
      <c r="A2013" t="s">
        <v>2019</v>
      </c>
      <c r="B2013">
        <v>43494</v>
      </c>
      <c r="C2013">
        <v>70177169640</v>
      </c>
      <c r="D2013">
        <v>19.899999999999999</v>
      </c>
      <c r="E2013">
        <v>12.53</v>
      </c>
      <c r="F2013" s="3">
        <v>0.27329999999999999</v>
      </c>
      <c r="G2013">
        <v>9.0381999999999998</v>
      </c>
      <c r="H2013">
        <v>0.9</v>
      </c>
    </row>
    <row r="2014" spans="1:8" x14ac:dyDescent="0.25">
      <c r="A2014" t="s">
        <v>2020</v>
      </c>
      <c r="B2014">
        <v>43491</v>
      </c>
      <c r="C2014">
        <v>70177169633</v>
      </c>
      <c r="D2014">
        <v>19.899999999999999</v>
      </c>
      <c r="E2014">
        <v>11.67</v>
      </c>
      <c r="F2014" s="3">
        <v>0.2893</v>
      </c>
      <c r="G2014">
        <v>8.7207000000000008</v>
      </c>
      <c r="H2014">
        <v>0.96699999999999997</v>
      </c>
    </row>
    <row r="2015" spans="1:8" x14ac:dyDescent="0.25">
      <c r="A2015" t="s">
        <v>2021</v>
      </c>
      <c r="B2015">
        <v>43500</v>
      </c>
      <c r="C2015">
        <v>70177197162</v>
      </c>
      <c r="D2015">
        <v>19.899999999999999</v>
      </c>
      <c r="E2015">
        <v>12.32</v>
      </c>
      <c r="F2015" s="3">
        <v>0.34570000000000001</v>
      </c>
      <c r="G2015">
        <v>11.178900000000001</v>
      </c>
      <c r="H2015">
        <v>1.5669999999999999</v>
      </c>
    </row>
    <row r="2016" spans="1:8" x14ac:dyDescent="0.25">
      <c r="A2016" t="s">
        <v>2022</v>
      </c>
      <c r="B2016">
        <v>43496</v>
      </c>
      <c r="C2016">
        <v>70177169619</v>
      </c>
      <c r="D2016">
        <v>19.899999999999999</v>
      </c>
      <c r="E2016">
        <v>13.21</v>
      </c>
      <c r="F2016" s="3">
        <v>0.2475</v>
      </c>
      <c r="G2016">
        <v>9.5521999999999991</v>
      </c>
      <c r="H2016">
        <v>0.86699999999999999</v>
      </c>
    </row>
    <row r="2017" spans="1:8" x14ac:dyDescent="0.25">
      <c r="A2017" t="s">
        <v>2023</v>
      </c>
      <c r="B2017">
        <v>43485</v>
      </c>
      <c r="C2017">
        <v>70177197131</v>
      </c>
      <c r="D2017">
        <v>20.9</v>
      </c>
      <c r="E2017">
        <v>13.74</v>
      </c>
      <c r="F2017" s="3">
        <v>0.30590000000000001</v>
      </c>
      <c r="G2017">
        <v>12.574</v>
      </c>
      <c r="H2017">
        <v>1.5329999999999999</v>
      </c>
    </row>
    <row r="2018" spans="1:8" x14ac:dyDescent="0.25">
      <c r="A2018" t="s">
        <v>2024</v>
      </c>
      <c r="B2018">
        <v>43498</v>
      </c>
      <c r="C2018">
        <v>70177197216</v>
      </c>
      <c r="D2018">
        <v>20.9</v>
      </c>
      <c r="E2018">
        <v>10.7</v>
      </c>
      <c r="F2018" s="3">
        <v>0.35560000000000003</v>
      </c>
      <c r="G2018">
        <v>7.7728999999999999</v>
      </c>
      <c r="H2018">
        <v>1.367</v>
      </c>
    </row>
    <row r="2019" spans="1:8" x14ac:dyDescent="0.25">
      <c r="A2019" t="s">
        <v>2025</v>
      </c>
      <c r="B2019">
        <v>43484</v>
      </c>
      <c r="C2019">
        <v>70177197155</v>
      </c>
      <c r="D2019">
        <v>20.9</v>
      </c>
      <c r="E2019">
        <v>13.56</v>
      </c>
      <c r="F2019" s="3">
        <v>0.30359999999999998</v>
      </c>
      <c r="G2019">
        <v>12.621</v>
      </c>
      <c r="H2019">
        <v>0.9</v>
      </c>
    </row>
    <row r="2020" spans="1:8" x14ac:dyDescent="0.25">
      <c r="A2020" t="s">
        <v>2026</v>
      </c>
      <c r="B2020">
        <v>43481</v>
      </c>
      <c r="C2020">
        <v>70177197360</v>
      </c>
      <c r="D2020">
        <v>20.9</v>
      </c>
      <c r="E2020">
        <v>12.58</v>
      </c>
      <c r="F2020" s="3">
        <v>0.28309999999999996</v>
      </c>
      <c r="G2020">
        <v>9.2874999999999996</v>
      </c>
      <c r="H2020">
        <v>1.5329999999999999</v>
      </c>
    </row>
    <row r="2021" spans="1:8" x14ac:dyDescent="0.25">
      <c r="A2021" t="s">
        <v>2027</v>
      </c>
      <c r="B2021">
        <v>56179</v>
      </c>
      <c r="C2021">
        <v>70177197292</v>
      </c>
      <c r="D2021">
        <v>20.9</v>
      </c>
      <c r="E2021">
        <v>14.06</v>
      </c>
      <c r="F2021" s="3">
        <v>0.2969</v>
      </c>
      <c r="G2021">
        <v>12.7616</v>
      </c>
      <c r="H2021">
        <v>1.7330000000000001</v>
      </c>
    </row>
    <row r="2022" spans="1:8" x14ac:dyDescent="0.25">
      <c r="A2022" t="s">
        <v>2028</v>
      </c>
      <c r="B2022">
        <v>58916</v>
      </c>
      <c r="C2022">
        <v>7896931615238</v>
      </c>
      <c r="D2022">
        <v>7.9</v>
      </c>
      <c r="E2022">
        <v>4.92</v>
      </c>
      <c r="F2022" s="3">
        <v>0.37810000000000005</v>
      </c>
      <c r="G2022">
        <v>4.9130000000000003</v>
      </c>
      <c r="H2022">
        <v>15.467000000000001</v>
      </c>
    </row>
    <row r="2023" spans="1:8" x14ac:dyDescent="0.25">
      <c r="A2023" t="s">
        <v>2029</v>
      </c>
      <c r="B2023">
        <v>43053</v>
      </c>
      <c r="C2023">
        <v>7896931614446</v>
      </c>
      <c r="D2023">
        <v>7.9</v>
      </c>
      <c r="E2023">
        <v>4.96</v>
      </c>
      <c r="F2023" s="3">
        <v>0.37609999999999999</v>
      </c>
      <c r="G2023">
        <v>4.9287000000000001</v>
      </c>
      <c r="H2023">
        <v>10.733000000000001</v>
      </c>
    </row>
    <row r="2024" spans="1:8" x14ac:dyDescent="0.25">
      <c r="A2024" t="s">
        <v>2030</v>
      </c>
      <c r="B2024">
        <v>61148</v>
      </c>
      <c r="C2024">
        <v>7898070111824</v>
      </c>
      <c r="D2024">
        <v>13.77</v>
      </c>
      <c r="E2024">
        <v>7.68</v>
      </c>
      <c r="F2024" s="3">
        <v>0.39520000000000005</v>
      </c>
      <c r="G2024">
        <v>7.0564</v>
      </c>
      <c r="H2024">
        <v>0.93300000000000005</v>
      </c>
    </row>
    <row r="2025" spans="1:8" x14ac:dyDescent="0.25">
      <c r="A2025" t="s">
        <v>2031</v>
      </c>
      <c r="B2025">
        <v>26375</v>
      </c>
      <c r="C2025">
        <v>7898629610464</v>
      </c>
      <c r="D2025">
        <v>3.99</v>
      </c>
      <c r="E2025">
        <v>1.2</v>
      </c>
      <c r="F2025" s="3">
        <v>0.63460000000000005</v>
      </c>
      <c r="G2025">
        <v>1.089</v>
      </c>
      <c r="H2025">
        <v>0.26700000000000002</v>
      </c>
    </row>
    <row r="2026" spans="1:8" x14ac:dyDescent="0.25">
      <c r="A2026" t="s">
        <v>2032</v>
      </c>
      <c r="B2026">
        <v>4564</v>
      </c>
      <c r="C2026">
        <v>7891098000149</v>
      </c>
      <c r="D2026">
        <v>4.99</v>
      </c>
      <c r="E2026">
        <v>3.58</v>
      </c>
      <c r="F2026" s="3">
        <v>0.2432</v>
      </c>
      <c r="G2026">
        <v>3.3149000000000002</v>
      </c>
      <c r="H2026">
        <v>5.7</v>
      </c>
    </row>
    <row r="2027" spans="1:8" x14ac:dyDescent="0.25">
      <c r="A2027" t="s">
        <v>2033</v>
      </c>
      <c r="B2027">
        <v>43488</v>
      </c>
      <c r="C2027">
        <v>70177197230</v>
      </c>
      <c r="D2027">
        <v>20.9</v>
      </c>
      <c r="E2027">
        <v>14.05</v>
      </c>
      <c r="F2027" s="3">
        <v>0.29559999999999997</v>
      </c>
      <c r="G2027">
        <v>12.7882</v>
      </c>
      <c r="H2027">
        <v>0.6</v>
      </c>
    </row>
    <row r="2028" spans="1:8" x14ac:dyDescent="0.25">
      <c r="A2028" t="s">
        <v>2034</v>
      </c>
      <c r="B2028">
        <v>4568</v>
      </c>
      <c r="C2028">
        <v>7898038730036</v>
      </c>
      <c r="D2028">
        <v>14.9</v>
      </c>
      <c r="E2028">
        <v>9.09</v>
      </c>
      <c r="F2028" s="3">
        <v>0.35310000000000002</v>
      </c>
      <c r="G2028">
        <v>8.2606999999999999</v>
      </c>
      <c r="H2028">
        <v>0.6</v>
      </c>
    </row>
    <row r="2029" spans="1:8" x14ac:dyDescent="0.25">
      <c r="A2029" t="s">
        <v>2035</v>
      </c>
      <c r="B2029">
        <v>36185</v>
      </c>
      <c r="C2029">
        <v>7896237901882</v>
      </c>
      <c r="D2029">
        <v>12.9</v>
      </c>
      <c r="E2029">
        <v>8.66</v>
      </c>
      <c r="F2029" s="3">
        <v>0.23350000000000001</v>
      </c>
      <c r="G2029">
        <v>6.3731999999999998</v>
      </c>
      <c r="H2029">
        <v>6.7670000000000003</v>
      </c>
    </row>
    <row r="2030" spans="1:8" x14ac:dyDescent="0.25">
      <c r="A2030" t="s">
        <v>2036</v>
      </c>
      <c r="B2030">
        <v>60692</v>
      </c>
      <c r="C2030">
        <v>7896237901073</v>
      </c>
      <c r="D2030">
        <v>12.9</v>
      </c>
      <c r="E2030">
        <v>8.69</v>
      </c>
      <c r="F2030" s="3">
        <v>0.23649999999999999</v>
      </c>
      <c r="G2030">
        <v>6.3334999999999999</v>
      </c>
      <c r="H2030">
        <v>12.567</v>
      </c>
    </row>
    <row r="2031" spans="1:8" x14ac:dyDescent="0.25">
      <c r="A2031" t="s">
        <v>2037</v>
      </c>
      <c r="B2031">
        <v>6935</v>
      </c>
      <c r="C2031">
        <v>7896096007688</v>
      </c>
      <c r="D2031">
        <v>26.9</v>
      </c>
      <c r="E2031">
        <v>17.57</v>
      </c>
      <c r="F2031" s="3">
        <v>0.25239999999999996</v>
      </c>
      <c r="G2031">
        <v>12.779500000000001</v>
      </c>
      <c r="H2031">
        <v>2.4329999999999998</v>
      </c>
    </row>
    <row r="2032" spans="1:8" x14ac:dyDescent="0.25">
      <c r="A2032" t="s">
        <v>2038</v>
      </c>
      <c r="B2032">
        <v>6941</v>
      </c>
      <c r="C2032">
        <v>7896096013542</v>
      </c>
      <c r="D2032">
        <v>7.52</v>
      </c>
      <c r="E2032">
        <v>5.31</v>
      </c>
      <c r="F2032" s="3">
        <v>0.20850000000000002</v>
      </c>
      <c r="G2032">
        <v>3.9041999999999999</v>
      </c>
      <c r="H2032">
        <v>10.132999999999999</v>
      </c>
    </row>
    <row r="2033" spans="1:8" x14ac:dyDescent="0.25">
      <c r="A2033" t="s">
        <v>2039</v>
      </c>
      <c r="B2033">
        <v>61813</v>
      </c>
      <c r="C2033">
        <v>7896063280199</v>
      </c>
      <c r="D2033">
        <v>19.899999999999999</v>
      </c>
      <c r="E2033">
        <v>11.54</v>
      </c>
      <c r="F2033" s="3">
        <v>0.30570000000000003</v>
      </c>
      <c r="G2033">
        <v>8.3935999999999993</v>
      </c>
      <c r="H2033">
        <v>2.9670000000000001</v>
      </c>
    </row>
    <row r="2034" spans="1:8" x14ac:dyDescent="0.25">
      <c r="A2034" t="s">
        <v>2040</v>
      </c>
      <c r="B2034">
        <v>30443</v>
      </c>
      <c r="C2034">
        <v>7898206502250</v>
      </c>
      <c r="D2034">
        <v>18.899999999999999</v>
      </c>
      <c r="E2034">
        <v>11.56</v>
      </c>
      <c r="F2034" s="3">
        <v>0.31819999999999998</v>
      </c>
      <c r="G2034">
        <v>9.4846000000000004</v>
      </c>
      <c r="H2034">
        <v>6.4669999999999996</v>
      </c>
    </row>
    <row r="2035" spans="1:8" x14ac:dyDescent="0.25">
      <c r="A2035" t="s">
        <v>2041</v>
      </c>
      <c r="B2035">
        <v>60067</v>
      </c>
      <c r="C2035">
        <v>7756830000019</v>
      </c>
      <c r="D2035">
        <v>14.9</v>
      </c>
      <c r="E2035">
        <v>10.79</v>
      </c>
      <c r="F2035" s="3">
        <v>0.21149999999999999</v>
      </c>
      <c r="G2035">
        <v>10.371</v>
      </c>
      <c r="H2035">
        <v>0.433</v>
      </c>
    </row>
    <row r="2036" spans="1:8" x14ac:dyDescent="0.25">
      <c r="A2036" t="s">
        <v>2042</v>
      </c>
      <c r="B2036">
        <v>53466</v>
      </c>
      <c r="C2036">
        <v>7895800116500</v>
      </c>
      <c r="D2036">
        <v>3.59</v>
      </c>
      <c r="E2036">
        <v>2.1</v>
      </c>
      <c r="F2036" s="3">
        <v>0.30280000000000001</v>
      </c>
      <c r="G2036">
        <v>1.5247999999999999</v>
      </c>
      <c r="H2036">
        <v>0</v>
      </c>
    </row>
    <row r="2037" spans="1:8" x14ac:dyDescent="0.25">
      <c r="A2037" t="s">
        <v>2043</v>
      </c>
      <c r="B2037">
        <v>53464</v>
      </c>
      <c r="C2037">
        <v>7895800116258</v>
      </c>
      <c r="D2037">
        <v>3.59</v>
      </c>
      <c r="E2037">
        <v>2.1</v>
      </c>
      <c r="F2037" s="3">
        <v>0.30320000000000003</v>
      </c>
      <c r="G2037">
        <v>1.5232000000000001</v>
      </c>
      <c r="H2037">
        <v>0.3</v>
      </c>
    </row>
    <row r="2038" spans="1:8" x14ac:dyDescent="0.25">
      <c r="A2038" t="s">
        <v>2044</v>
      </c>
      <c r="B2038">
        <v>65122</v>
      </c>
      <c r="C2038">
        <v>45205545</v>
      </c>
      <c r="D2038">
        <v>19.899999999999999</v>
      </c>
      <c r="E2038">
        <v>10.87</v>
      </c>
      <c r="F2038" s="3">
        <v>0.33020000000000005</v>
      </c>
      <c r="G2038">
        <v>7.9059999999999997</v>
      </c>
      <c r="H2038">
        <v>0.46700000000000003</v>
      </c>
    </row>
    <row r="2039" spans="1:8" x14ac:dyDescent="0.25">
      <c r="A2039" t="s">
        <v>2045</v>
      </c>
      <c r="B2039">
        <v>43593</v>
      </c>
      <c r="C2039">
        <v>46572800075</v>
      </c>
      <c r="D2039">
        <v>16.899999999999999</v>
      </c>
      <c r="E2039">
        <v>8.7799999999999994</v>
      </c>
      <c r="F2039" s="3">
        <v>0.34970000000000001</v>
      </c>
      <c r="G2039">
        <v>6.3856000000000002</v>
      </c>
      <c r="H2039">
        <v>0.93300000000000005</v>
      </c>
    </row>
    <row r="2040" spans="1:8" x14ac:dyDescent="0.25">
      <c r="A2040" t="s">
        <v>2046</v>
      </c>
      <c r="B2040">
        <v>22352</v>
      </c>
      <c r="C2040">
        <v>7895800112632</v>
      </c>
      <c r="D2040">
        <v>10.99</v>
      </c>
      <c r="E2040">
        <v>5.8</v>
      </c>
      <c r="F2040" s="3">
        <v>0.34360000000000002</v>
      </c>
      <c r="G2040">
        <v>4.2195</v>
      </c>
      <c r="H2040">
        <v>0.4</v>
      </c>
    </row>
    <row r="2041" spans="1:8" x14ac:dyDescent="0.25">
      <c r="A2041" t="s">
        <v>2047</v>
      </c>
      <c r="B2041">
        <v>22353</v>
      </c>
      <c r="C2041">
        <v>7895800480540</v>
      </c>
      <c r="D2041">
        <v>10.99</v>
      </c>
      <c r="E2041">
        <v>5.8</v>
      </c>
      <c r="F2041" s="3">
        <v>0.34360000000000002</v>
      </c>
      <c r="G2041">
        <v>4.2188999999999997</v>
      </c>
      <c r="H2041">
        <v>0</v>
      </c>
    </row>
    <row r="2042" spans="1:8" x14ac:dyDescent="0.25">
      <c r="A2042" t="s">
        <v>2048</v>
      </c>
      <c r="B2042">
        <v>22406</v>
      </c>
      <c r="C2042">
        <v>7895800480502</v>
      </c>
      <c r="D2042">
        <v>10.99</v>
      </c>
      <c r="E2042">
        <v>5.78</v>
      </c>
      <c r="F2042" s="3">
        <v>0.3458</v>
      </c>
      <c r="G2042">
        <v>4.1951999999999998</v>
      </c>
      <c r="H2042">
        <v>0.33300000000000002</v>
      </c>
    </row>
    <row r="2043" spans="1:8" x14ac:dyDescent="0.25">
      <c r="A2043" t="s">
        <v>2049</v>
      </c>
      <c r="B2043">
        <v>59818</v>
      </c>
      <c r="C2043">
        <v>7895800412794</v>
      </c>
      <c r="D2043">
        <v>10.99</v>
      </c>
      <c r="E2043">
        <v>5.79</v>
      </c>
      <c r="F2043" s="3">
        <v>0.34409999999999996</v>
      </c>
      <c r="G2043">
        <v>4.2134</v>
      </c>
      <c r="H2043">
        <v>0.4</v>
      </c>
    </row>
    <row r="2044" spans="1:8" x14ac:dyDescent="0.25">
      <c r="A2044" t="s">
        <v>2050</v>
      </c>
      <c r="B2044">
        <v>22132</v>
      </c>
      <c r="C2044">
        <v>7895800304235</v>
      </c>
      <c r="D2044">
        <v>3.49</v>
      </c>
      <c r="E2044">
        <v>1.69</v>
      </c>
      <c r="F2044" s="3">
        <v>0.376</v>
      </c>
      <c r="G2044">
        <v>1.2266999999999999</v>
      </c>
      <c r="H2044">
        <v>20.5</v>
      </c>
    </row>
    <row r="2045" spans="1:8" x14ac:dyDescent="0.25">
      <c r="A2045" t="s">
        <v>2051</v>
      </c>
      <c r="B2045">
        <v>22137</v>
      </c>
      <c r="C2045">
        <v>7895800304211</v>
      </c>
      <c r="D2045">
        <v>3.49</v>
      </c>
      <c r="E2045">
        <v>1.73</v>
      </c>
      <c r="F2045" s="3">
        <v>0.36469999999999997</v>
      </c>
      <c r="G2045">
        <v>1.266</v>
      </c>
      <c r="H2045">
        <v>55.9</v>
      </c>
    </row>
    <row r="2046" spans="1:8" x14ac:dyDescent="0.25">
      <c r="A2046" t="s">
        <v>2052</v>
      </c>
      <c r="B2046">
        <v>22143</v>
      </c>
      <c r="C2046">
        <v>7895800309780</v>
      </c>
      <c r="D2046">
        <v>3.49</v>
      </c>
      <c r="E2046">
        <v>1.76</v>
      </c>
      <c r="F2046" s="3">
        <v>0.35960000000000003</v>
      </c>
      <c r="G2046">
        <v>1.284</v>
      </c>
      <c r="H2046">
        <v>45.533000000000001</v>
      </c>
    </row>
    <row r="2047" spans="1:8" x14ac:dyDescent="0.25">
      <c r="A2047" t="s">
        <v>2053</v>
      </c>
      <c r="B2047">
        <v>22144</v>
      </c>
      <c r="C2047">
        <v>7895800304228</v>
      </c>
      <c r="D2047">
        <v>3.49</v>
      </c>
      <c r="E2047">
        <v>1.73</v>
      </c>
      <c r="F2047" s="3">
        <v>0.36570000000000003</v>
      </c>
      <c r="G2047">
        <v>1.2627999999999999</v>
      </c>
      <c r="H2047">
        <v>70.667000000000002</v>
      </c>
    </row>
    <row r="2048" spans="1:8" x14ac:dyDescent="0.25">
      <c r="A2048" t="s">
        <v>2054</v>
      </c>
      <c r="B2048">
        <v>22324</v>
      </c>
      <c r="C2048">
        <v>7895800201503</v>
      </c>
      <c r="D2048">
        <v>3.49</v>
      </c>
      <c r="E2048">
        <v>1.71</v>
      </c>
      <c r="F2048" s="3">
        <v>0.37109999999999999</v>
      </c>
      <c r="G2048">
        <v>1.2438</v>
      </c>
      <c r="H2048">
        <v>27.266999999999999</v>
      </c>
    </row>
    <row r="2049" spans="1:8" x14ac:dyDescent="0.25">
      <c r="A2049" t="s">
        <v>2055</v>
      </c>
      <c r="B2049">
        <v>22408</v>
      </c>
      <c r="C2049">
        <v>7895800430002</v>
      </c>
      <c r="D2049">
        <v>3.49</v>
      </c>
      <c r="E2049">
        <v>1.74</v>
      </c>
      <c r="F2049" s="3">
        <v>0.36359999999999998</v>
      </c>
      <c r="G2049">
        <v>1.2699</v>
      </c>
      <c r="H2049">
        <v>25.1</v>
      </c>
    </row>
    <row r="2050" spans="1:8" x14ac:dyDescent="0.25">
      <c r="A2050" t="s">
        <v>2056</v>
      </c>
      <c r="B2050">
        <v>59825</v>
      </c>
      <c r="C2050">
        <v>7622210563538</v>
      </c>
      <c r="D2050">
        <v>4.9000000000000004</v>
      </c>
      <c r="E2050">
        <v>2.62</v>
      </c>
      <c r="F2050" s="3">
        <v>0.33799999999999997</v>
      </c>
      <c r="G2050">
        <v>1.9086000000000001</v>
      </c>
      <c r="H2050">
        <v>2.4329999999999998</v>
      </c>
    </row>
    <row r="2051" spans="1:8" x14ac:dyDescent="0.25">
      <c r="A2051" t="s">
        <v>2057</v>
      </c>
      <c r="B2051">
        <v>62585</v>
      </c>
      <c r="C2051">
        <v>7622210570406</v>
      </c>
      <c r="D2051">
        <v>13.9</v>
      </c>
      <c r="E2051">
        <v>7.28</v>
      </c>
      <c r="F2051" s="3">
        <v>0.34639999999999999</v>
      </c>
      <c r="G2051">
        <v>5.2976000000000001</v>
      </c>
      <c r="H2051">
        <v>2.1720000000000002</v>
      </c>
    </row>
    <row r="2052" spans="1:8" x14ac:dyDescent="0.25">
      <c r="A2052" t="s">
        <v>2058</v>
      </c>
      <c r="B2052">
        <v>63040</v>
      </c>
      <c r="C2052">
        <v>7622210573261</v>
      </c>
      <c r="D2052">
        <v>13.9</v>
      </c>
      <c r="E2052">
        <v>8.2100000000000009</v>
      </c>
      <c r="F2052" s="3">
        <v>0.29780000000000001</v>
      </c>
      <c r="G2052">
        <v>5.9734999999999996</v>
      </c>
      <c r="H2052">
        <v>9.2330000000000005</v>
      </c>
    </row>
    <row r="2053" spans="1:8" x14ac:dyDescent="0.25">
      <c r="A2053" t="s">
        <v>2059</v>
      </c>
      <c r="B2053">
        <v>69288</v>
      </c>
      <c r="C2053">
        <v>7891098042507</v>
      </c>
      <c r="D2053">
        <v>26.9</v>
      </c>
      <c r="E2053">
        <v>17.79</v>
      </c>
      <c r="F2053" s="3">
        <v>0.30719999999999997</v>
      </c>
      <c r="G2053">
        <v>16.148</v>
      </c>
      <c r="H2053">
        <v>0.13300000000000001</v>
      </c>
    </row>
    <row r="2054" spans="1:8" x14ac:dyDescent="0.25">
      <c r="A2054" t="s">
        <v>2060</v>
      </c>
      <c r="B2054">
        <v>66641</v>
      </c>
      <c r="C2054">
        <v>7898453460334</v>
      </c>
      <c r="D2054">
        <v>22.9</v>
      </c>
      <c r="E2054">
        <v>14.48</v>
      </c>
      <c r="F2054" s="3">
        <v>0.3337</v>
      </c>
      <c r="G2054">
        <v>13.1404</v>
      </c>
      <c r="H2054">
        <v>0.5</v>
      </c>
    </row>
    <row r="2055" spans="1:8" x14ac:dyDescent="0.25">
      <c r="A2055" t="s">
        <v>2061</v>
      </c>
      <c r="B2055">
        <v>26282</v>
      </c>
      <c r="C2055">
        <v>7898629610594</v>
      </c>
      <c r="D2055">
        <v>6.49</v>
      </c>
      <c r="E2055">
        <v>2.7</v>
      </c>
      <c r="F2055" s="3">
        <v>0.53</v>
      </c>
      <c r="G2055">
        <v>2.4502000000000002</v>
      </c>
      <c r="H2055">
        <v>30.667000000000002</v>
      </c>
    </row>
    <row r="2056" spans="1:8" x14ac:dyDescent="0.25">
      <c r="A2056" t="s">
        <v>2062</v>
      </c>
      <c r="B2056">
        <v>33262</v>
      </c>
      <c r="C2056">
        <v>7891095026494</v>
      </c>
      <c r="D2056">
        <v>8.49</v>
      </c>
      <c r="E2056">
        <v>4.04</v>
      </c>
      <c r="F2056" s="3">
        <v>0.48719999999999997</v>
      </c>
      <c r="G2056">
        <v>3.5680999999999998</v>
      </c>
      <c r="H2056">
        <v>7.7329999999999997</v>
      </c>
    </row>
    <row r="2057" spans="1:8" x14ac:dyDescent="0.25">
      <c r="A2057" t="s">
        <v>2063</v>
      </c>
      <c r="B2057">
        <v>67140</v>
      </c>
      <c r="C2057">
        <v>7898629611911</v>
      </c>
      <c r="D2057">
        <v>5.99</v>
      </c>
      <c r="E2057">
        <v>2.7</v>
      </c>
      <c r="F2057" s="3">
        <v>0.49840000000000001</v>
      </c>
      <c r="G2057">
        <v>2.4502000000000002</v>
      </c>
      <c r="H2057">
        <v>13.7</v>
      </c>
    </row>
    <row r="2058" spans="1:8" x14ac:dyDescent="0.25">
      <c r="A2058" t="s">
        <v>2064</v>
      </c>
      <c r="B2058">
        <v>26281</v>
      </c>
      <c r="C2058">
        <v>7898629610600</v>
      </c>
      <c r="D2058">
        <v>6.49</v>
      </c>
      <c r="E2058">
        <v>2.7</v>
      </c>
      <c r="F2058" s="3">
        <v>0.53</v>
      </c>
      <c r="G2058">
        <v>2.4502999999999999</v>
      </c>
      <c r="H2058">
        <v>12.567</v>
      </c>
    </row>
    <row r="2059" spans="1:8" x14ac:dyDescent="0.25">
      <c r="A2059" t="s">
        <v>2065</v>
      </c>
      <c r="B2059">
        <v>65438</v>
      </c>
      <c r="C2059">
        <v>7896256065480</v>
      </c>
      <c r="D2059">
        <v>6.99</v>
      </c>
      <c r="E2059">
        <v>4.4800000000000004</v>
      </c>
      <c r="F2059" s="3">
        <v>0.32350000000000001</v>
      </c>
      <c r="G2059">
        <v>4.0823999999999998</v>
      </c>
      <c r="H2059">
        <v>9.6329999999999991</v>
      </c>
    </row>
    <row r="2060" spans="1:8" x14ac:dyDescent="0.25">
      <c r="A2060" t="s">
        <v>2066</v>
      </c>
      <c r="B2060">
        <v>65439</v>
      </c>
      <c r="C2060">
        <v>7896256065497</v>
      </c>
      <c r="D2060">
        <v>6.99</v>
      </c>
      <c r="E2060">
        <v>4.51</v>
      </c>
      <c r="F2060" s="3">
        <v>0.32150000000000001</v>
      </c>
      <c r="G2060">
        <v>4.0959000000000003</v>
      </c>
      <c r="H2060">
        <v>5.7</v>
      </c>
    </row>
    <row r="2061" spans="1:8" x14ac:dyDescent="0.25">
      <c r="A2061" t="s">
        <v>2067</v>
      </c>
      <c r="B2061">
        <v>65440</v>
      </c>
      <c r="C2061">
        <v>7896256065008</v>
      </c>
      <c r="D2061">
        <v>6.99</v>
      </c>
      <c r="E2061">
        <v>4.47</v>
      </c>
      <c r="F2061" s="3">
        <v>0.32270000000000004</v>
      </c>
      <c r="G2061">
        <v>4.0877999999999997</v>
      </c>
      <c r="H2061">
        <v>4.7329999999999997</v>
      </c>
    </row>
    <row r="2062" spans="1:8" x14ac:dyDescent="0.25">
      <c r="A2062" t="s">
        <v>2068</v>
      </c>
      <c r="B2062">
        <v>67985</v>
      </c>
      <c r="C2062">
        <v>733603094014</v>
      </c>
      <c r="D2062">
        <v>18.899999999999999</v>
      </c>
      <c r="E2062">
        <v>14.33</v>
      </c>
      <c r="F2062" s="3">
        <v>0.21929999999999999</v>
      </c>
      <c r="G2062">
        <v>13.007</v>
      </c>
      <c r="H2062">
        <v>0.73299999999999998</v>
      </c>
    </row>
    <row r="2063" spans="1:8" x14ac:dyDescent="0.25">
      <c r="A2063" t="s">
        <v>2069</v>
      </c>
      <c r="B2063">
        <v>67986</v>
      </c>
      <c r="C2063">
        <v>733603094250</v>
      </c>
      <c r="D2063">
        <v>19.899999999999999</v>
      </c>
      <c r="E2063">
        <v>12.9</v>
      </c>
      <c r="F2063" s="3">
        <v>0.31920000000000004</v>
      </c>
      <c r="G2063">
        <v>11.7067</v>
      </c>
      <c r="H2063">
        <v>0.53300000000000003</v>
      </c>
    </row>
    <row r="2064" spans="1:8" x14ac:dyDescent="0.25">
      <c r="A2064" t="s">
        <v>2070</v>
      </c>
      <c r="B2064">
        <v>67988</v>
      </c>
      <c r="C2064">
        <v>733603099132</v>
      </c>
      <c r="D2064">
        <v>19.899999999999999</v>
      </c>
      <c r="E2064">
        <v>14.9</v>
      </c>
      <c r="F2064" s="3">
        <v>0.22800000000000001</v>
      </c>
      <c r="G2064">
        <v>13.521800000000001</v>
      </c>
      <c r="H2064">
        <v>1.0669999999999999</v>
      </c>
    </row>
    <row r="2065" spans="1:8" x14ac:dyDescent="0.25">
      <c r="A2065" t="s">
        <v>2071</v>
      </c>
      <c r="B2065">
        <v>67987</v>
      </c>
      <c r="C2065">
        <v>733603097541</v>
      </c>
      <c r="D2065">
        <v>19.899999999999999</v>
      </c>
      <c r="E2065">
        <v>14.9</v>
      </c>
      <c r="F2065" s="3">
        <v>0.22800000000000001</v>
      </c>
      <c r="G2065">
        <v>13.521800000000001</v>
      </c>
      <c r="H2065">
        <v>1.367</v>
      </c>
    </row>
    <row r="2066" spans="1:8" x14ac:dyDescent="0.25">
      <c r="A2066" t="s">
        <v>2072</v>
      </c>
      <c r="B2066">
        <v>3920</v>
      </c>
      <c r="C2066">
        <v>78912359</v>
      </c>
      <c r="D2066">
        <v>1.79</v>
      </c>
      <c r="E2066">
        <v>1.1499999999999999</v>
      </c>
      <c r="F2066" s="3">
        <v>0.30399999999999999</v>
      </c>
      <c r="G2066">
        <v>1.0802</v>
      </c>
      <c r="H2066">
        <v>91.1</v>
      </c>
    </row>
    <row r="2067" spans="1:8" x14ac:dyDescent="0.25">
      <c r="A2067" t="s">
        <v>2073</v>
      </c>
      <c r="B2067">
        <v>67616</v>
      </c>
      <c r="C2067">
        <v>7613031425297</v>
      </c>
      <c r="D2067">
        <v>28.9</v>
      </c>
      <c r="E2067">
        <v>25.13</v>
      </c>
      <c r="F2067" s="3">
        <v>0.11199999999999999</v>
      </c>
      <c r="G2067">
        <v>22.988700000000001</v>
      </c>
      <c r="H2067">
        <v>0.1</v>
      </c>
    </row>
    <row r="2068" spans="1:8" x14ac:dyDescent="0.25">
      <c r="A2068" t="s">
        <v>2074</v>
      </c>
      <c r="B2068">
        <v>67614</v>
      </c>
      <c r="C2068">
        <v>7613031084814</v>
      </c>
      <c r="D2068">
        <v>28.9</v>
      </c>
      <c r="E2068">
        <v>21.8</v>
      </c>
      <c r="F2068" s="3">
        <v>0.22289999999999999</v>
      </c>
      <c r="G2068">
        <v>19.785900000000002</v>
      </c>
      <c r="H2068">
        <v>0.2</v>
      </c>
    </row>
    <row r="2069" spans="1:8" x14ac:dyDescent="0.25">
      <c r="A2069" t="s">
        <v>2075</v>
      </c>
      <c r="B2069">
        <v>67617</v>
      </c>
      <c r="C2069">
        <v>7613031080366</v>
      </c>
      <c r="D2069">
        <v>28.9</v>
      </c>
      <c r="E2069">
        <v>17.760000000000002</v>
      </c>
      <c r="F2069" s="3">
        <v>0.34990000000000004</v>
      </c>
      <c r="G2069">
        <v>16.113900000000001</v>
      </c>
      <c r="H2069">
        <v>0.16700000000000001</v>
      </c>
    </row>
    <row r="2070" spans="1:8" x14ac:dyDescent="0.25">
      <c r="A2070" t="s">
        <v>2076</v>
      </c>
      <c r="B2070">
        <v>48383</v>
      </c>
      <c r="C2070">
        <v>7896043014097</v>
      </c>
      <c r="D2070">
        <v>13.9</v>
      </c>
      <c r="E2070">
        <v>8.9700000000000006</v>
      </c>
      <c r="F2070" s="3">
        <v>0.32159999999999994</v>
      </c>
      <c r="G2070">
        <v>8.1446000000000005</v>
      </c>
      <c r="H2070">
        <v>0.63300000000000001</v>
      </c>
    </row>
    <row r="2071" spans="1:8" x14ac:dyDescent="0.25">
      <c r="A2071" t="s">
        <v>2077</v>
      </c>
      <c r="B2071">
        <v>68811</v>
      </c>
      <c r="C2071">
        <v>7891048014561</v>
      </c>
      <c r="D2071">
        <v>19.899999999999999</v>
      </c>
      <c r="E2071">
        <v>13.29</v>
      </c>
      <c r="F2071" s="3">
        <v>0.30170000000000002</v>
      </c>
      <c r="G2071">
        <v>12.0564</v>
      </c>
      <c r="H2071">
        <v>2.1579999999999999</v>
      </c>
    </row>
    <row r="2072" spans="1:8" x14ac:dyDescent="0.25">
      <c r="A2072" t="s">
        <v>2078</v>
      </c>
      <c r="B2072">
        <v>68809</v>
      </c>
      <c r="C2072">
        <v>7891048014547</v>
      </c>
      <c r="D2072">
        <v>17.899999999999999</v>
      </c>
      <c r="E2072">
        <v>13.29</v>
      </c>
      <c r="F2072" s="3">
        <v>0.23399999999999999</v>
      </c>
      <c r="G2072">
        <v>12.0564</v>
      </c>
      <c r="H2072">
        <v>0.66700000000000004</v>
      </c>
    </row>
    <row r="2073" spans="1:8" x14ac:dyDescent="0.25">
      <c r="A2073" t="s">
        <v>2079</v>
      </c>
      <c r="B2073">
        <v>68810</v>
      </c>
      <c r="C2073">
        <v>7891048014554</v>
      </c>
      <c r="D2073">
        <v>17.899999999999999</v>
      </c>
      <c r="E2073">
        <v>11.89</v>
      </c>
      <c r="F2073" s="3">
        <v>0.24429999999999999</v>
      </c>
      <c r="G2073">
        <v>8.6492000000000004</v>
      </c>
      <c r="H2073">
        <v>0.26700000000000002</v>
      </c>
    </row>
    <row r="2074" spans="1:8" x14ac:dyDescent="0.25">
      <c r="A2074" t="s">
        <v>2080</v>
      </c>
      <c r="B2074">
        <v>66583</v>
      </c>
      <c r="C2074">
        <v>7899516203653</v>
      </c>
      <c r="D2074">
        <v>39.9</v>
      </c>
      <c r="E2074">
        <v>26.6</v>
      </c>
      <c r="F2074" s="3">
        <v>0.3024</v>
      </c>
      <c r="G2074">
        <v>24.142700000000001</v>
      </c>
      <c r="H2074">
        <v>0.9</v>
      </c>
    </row>
    <row r="2075" spans="1:8" x14ac:dyDescent="0.25">
      <c r="A2075" t="s">
        <v>2081</v>
      </c>
      <c r="B2075">
        <v>69340</v>
      </c>
      <c r="C2075">
        <v>7898024399261</v>
      </c>
      <c r="D2075">
        <v>21.9</v>
      </c>
      <c r="E2075">
        <v>15.39</v>
      </c>
      <c r="F2075" s="3">
        <v>0.26979999999999998</v>
      </c>
      <c r="G2075">
        <v>13.9663</v>
      </c>
      <c r="H2075">
        <v>7.0970000000000004</v>
      </c>
    </row>
    <row r="2076" spans="1:8" x14ac:dyDescent="0.25">
      <c r="A2076" t="s">
        <v>2082</v>
      </c>
      <c r="B2076">
        <v>61650</v>
      </c>
      <c r="C2076">
        <v>96011683</v>
      </c>
      <c r="D2076">
        <v>7.99</v>
      </c>
      <c r="E2076">
        <v>5.61</v>
      </c>
      <c r="F2076" s="3">
        <v>0.27</v>
      </c>
      <c r="G2076">
        <v>5.0938999999999997</v>
      </c>
      <c r="H2076">
        <v>10</v>
      </c>
    </row>
    <row r="2077" spans="1:8" x14ac:dyDescent="0.25">
      <c r="A2077" t="s">
        <v>2083</v>
      </c>
      <c r="B2077">
        <v>27302</v>
      </c>
      <c r="C2077">
        <v>4000539671104</v>
      </c>
      <c r="D2077">
        <v>48.9</v>
      </c>
      <c r="E2077">
        <v>35.119999999999997</v>
      </c>
      <c r="F2077" s="3">
        <v>0.25579999999999997</v>
      </c>
      <c r="G2077">
        <v>31.867000000000001</v>
      </c>
      <c r="H2077">
        <v>1.833</v>
      </c>
    </row>
    <row r="2078" spans="1:8" x14ac:dyDescent="0.25">
      <c r="A2078" t="s">
        <v>2084</v>
      </c>
      <c r="B2078">
        <v>66315</v>
      </c>
      <c r="C2078">
        <v>4000539670008</v>
      </c>
      <c r="D2078">
        <v>48.9</v>
      </c>
      <c r="E2078">
        <v>35.119999999999997</v>
      </c>
      <c r="F2078" s="3">
        <v>0.25579999999999997</v>
      </c>
      <c r="G2078">
        <v>31.866900000000001</v>
      </c>
      <c r="H2078">
        <v>0.2</v>
      </c>
    </row>
    <row r="2079" spans="1:8" x14ac:dyDescent="0.25">
      <c r="A2079" t="s">
        <v>2085</v>
      </c>
      <c r="B2079">
        <v>36982</v>
      </c>
      <c r="C2079">
        <v>7896001210134</v>
      </c>
      <c r="D2079">
        <v>0</v>
      </c>
      <c r="E2079">
        <v>23.86</v>
      </c>
      <c r="F2079" s="3">
        <v>0</v>
      </c>
      <c r="G2079">
        <v>21.65</v>
      </c>
      <c r="H2079">
        <v>0.1</v>
      </c>
    </row>
    <row r="2080" spans="1:8" x14ac:dyDescent="0.25">
      <c r="A2080" t="s">
        <v>2086</v>
      </c>
      <c r="B2080">
        <v>66081</v>
      </c>
      <c r="C2080">
        <v>7896058599411</v>
      </c>
      <c r="D2080">
        <v>9.9</v>
      </c>
      <c r="E2080">
        <v>6.67</v>
      </c>
      <c r="F2080" s="3">
        <v>0.29649999999999999</v>
      </c>
      <c r="G2080">
        <v>6.0488</v>
      </c>
      <c r="H2080">
        <v>4.633</v>
      </c>
    </row>
    <row r="2081" spans="1:8" x14ac:dyDescent="0.25">
      <c r="A2081" t="s">
        <v>2087</v>
      </c>
      <c r="B2081">
        <v>66079</v>
      </c>
      <c r="C2081">
        <v>7896058599442</v>
      </c>
      <c r="D2081">
        <v>9.9</v>
      </c>
      <c r="E2081">
        <v>6.13</v>
      </c>
      <c r="F2081" s="3">
        <v>0.34689999999999999</v>
      </c>
      <c r="G2081">
        <v>5.5496999999999996</v>
      </c>
      <c r="H2081">
        <v>1.2</v>
      </c>
    </row>
    <row r="2082" spans="1:8" x14ac:dyDescent="0.25">
      <c r="A2082" t="s">
        <v>2088</v>
      </c>
      <c r="B2082">
        <v>66078</v>
      </c>
      <c r="C2082">
        <v>7896058599435</v>
      </c>
      <c r="D2082">
        <v>9.59</v>
      </c>
      <c r="E2082">
        <v>6.86</v>
      </c>
      <c r="F2082" s="3">
        <v>0.25609999999999999</v>
      </c>
      <c r="G2082">
        <v>6.2469999999999999</v>
      </c>
      <c r="H2082">
        <v>2.7669999999999999</v>
      </c>
    </row>
    <row r="2083" spans="1:8" x14ac:dyDescent="0.25">
      <c r="A2083" t="s">
        <v>2089</v>
      </c>
      <c r="B2083">
        <v>65279</v>
      </c>
      <c r="C2083">
        <v>7899516208726</v>
      </c>
      <c r="D2083">
        <v>34.9</v>
      </c>
      <c r="E2083">
        <v>29.65</v>
      </c>
      <c r="F2083" s="3">
        <v>0.13639999999999999</v>
      </c>
      <c r="G2083">
        <v>26.912299999999998</v>
      </c>
      <c r="H2083">
        <v>0.96699999999999997</v>
      </c>
    </row>
    <row r="2084" spans="1:8" x14ac:dyDescent="0.25">
      <c r="A2084" t="s">
        <v>2090</v>
      </c>
      <c r="B2084">
        <v>65283</v>
      </c>
      <c r="C2084">
        <v>7899516206777</v>
      </c>
      <c r="D2084">
        <v>29.9</v>
      </c>
      <c r="E2084">
        <v>26.36</v>
      </c>
      <c r="F2084" s="3">
        <v>0.1075</v>
      </c>
      <c r="G2084">
        <v>23.9191</v>
      </c>
      <c r="H2084">
        <v>0.36699999999999999</v>
      </c>
    </row>
    <row r="2085" spans="1:8" x14ac:dyDescent="0.25">
      <c r="A2085" t="s">
        <v>2091</v>
      </c>
      <c r="B2085">
        <v>69361</v>
      </c>
      <c r="C2085">
        <v>7899516210606</v>
      </c>
      <c r="D2085">
        <v>22.9</v>
      </c>
      <c r="E2085">
        <v>14.9</v>
      </c>
      <c r="F2085" s="3">
        <v>0.31690000000000002</v>
      </c>
      <c r="G2085">
        <v>13.5245</v>
      </c>
      <c r="H2085">
        <v>0.59299999999999997</v>
      </c>
    </row>
    <row r="2086" spans="1:8" x14ac:dyDescent="0.25">
      <c r="A2086" t="s">
        <v>2092</v>
      </c>
      <c r="B2086">
        <v>65261</v>
      </c>
      <c r="C2086">
        <v>7899516210361</v>
      </c>
      <c r="D2086">
        <v>9.9</v>
      </c>
      <c r="E2086">
        <v>7.54</v>
      </c>
      <c r="F2086" s="3">
        <v>0.21590000000000001</v>
      </c>
      <c r="G2086">
        <v>6.8468999999999998</v>
      </c>
      <c r="H2086">
        <v>2.0329999999999999</v>
      </c>
    </row>
    <row r="2087" spans="1:8" x14ac:dyDescent="0.25">
      <c r="A2087" t="s">
        <v>2093</v>
      </c>
      <c r="B2087">
        <v>65262</v>
      </c>
      <c r="C2087">
        <v>7899516210385</v>
      </c>
      <c r="D2087">
        <v>9.9</v>
      </c>
      <c r="E2087">
        <v>7.52</v>
      </c>
      <c r="F2087" s="3">
        <v>0.21899999999999997</v>
      </c>
      <c r="G2087">
        <v>6.8158000000000003</v>
      </c>
      <c r="H2087">
        <v>1.5669999999999999</v>
      </c>
    </row>
    <row r="2088" spans="1:8" x14ac:dyDescent="0.25">
      <c r="A2088" t="s">
        <v>2094</v>
      </c>
      <c r="B2088">
        <v>65265</v>
      </c>
      <c r="C2088">
        <v>7899516210446</v>
      </c>
      <c r="D2088">
        <v>9.9</v>
      </c>
      <c r="E2088">
        <v>7.53</v>
      </c>
      <c r="F2088" s="3">
        <v>0.21690000000000001</v>
      </c>
      <c r="G2088">
        <v>6.8367000000000004</v>
      </c>
      <c r="H2088">
        <v>8.3000000000000007</v>
      </c>
    </row>
    <row r="2089" spans="1:8" x14ac:dyDescent="0.25">
      <c r="A2089" t="s">
        <v>2095</v>
      </c>
      <c r="B2089">
        <v>65264</v>
      </c>
      <c r="C2089">
        <v>7899516210422</v>
      </c>
      <c r="D2089">
        <v>9.9</v>
      </c>
      <c r="E2089">
        <v>7.53</v>
      </c>
      <c r="F2089" s="3">
        <v>0.217</v>
      </c>
      <c r="G2089">
        <v>6.8364000000000003</v>
      </c>
      <c r="H2089">
        <v>0.86699999999999999</v>
      </c>
    </row>
    <row r="2090" spans="1:8" x14ac:dyDescent="0.25">
      <c r="A2090" t="s">
        <v>2096</v>
      </c>
      <c r="B2090">
        <v>65263</v>
      </c>
      <c r="C2090">
        <v>7899516210408</v>
      </c>
      <c r="D2090">
        <v>9.9</v>
      </c>
      <c r="E2090">
        <v>7.55</v>
      </c>
      <c r="F2090" s="3">
        <v>0.21510000000000001</v>
      </c>
      <c r="G2090">
        <v>6.8548</v>
      </c>
      <c r="H2090">
        <v>4.681</v>
      </c>
    </row>
    <row r="2091" spans="1:8" x14ac:dyDescent="0.25">
      <c r="A2091" t="s">
        <v>2097</v>
      </c>
      <c r="B2091">
        <v>65266</v>
      </c>
      <c r="C2091">
        <v>7899516210125</v>
      </c>
      <c r="D2091">
        <v>9.9</v>
      </c>
      <c r="E2091">
        <v>10.199999999999999</v>
      </c>
      <c r="F2091" s="3">
        <v>-2.7300000000000001E-2</v>
      </c>
      <c r="G2091">
        <v>9.2546999999999997</v>
      </c>
      <c r="H2091">
        <v>4.4329999999999998</v>
      </c>
    </row>
    <row r="2092" spans="1:8" x14ac:dyDescent="0.25">
      <c r="A2092" t="s">
        <v>2098</v>
      </c>
      <c r="B2092">
        <v>69362</v>
      </c>
      <c r="C2092">
        <v>7899516210620</v>
      </c>
      <c r="D2092">
        <v>22.9</v>
      </c>
      <c r="E2092">
        <v>12.4</v>
      </c>
      <c r="F2092" s="3">
        <v>0.41600000000000004</v>
      </c>
      <c r="G2092">
        <v>11.2546</v>
      </c>
      <c r="H2092">
        <v>0.74</v>
      </c>
    </row>
    <row r="2093" spans="1:8" x14ac:dyDescent="0.25">
      <c r="A2093" t="s">
        <v>2099</v>
      </c>
      <c r="B2093">
        <v>65274</v>
      </c>
      <c r="C2093">
        <v>7899516210347</v>
      </c>
      <c r="D2093">
        <v>11.9</v>
      </c>
      <c r="E2093">
        <v>8.0399999999999991</v>
      </c>
      <c r="F2093" s="3">
        <v>0.29469999999999996</v>
      </c>
      <c r="G2093">
        <v>7.2922000000000002</v>
      </c>
      <c r="H2093">
        <v>2.9329999999999998</v>
      </c>
    </row>
    <row r="2094" spans="1:8" x14ac:dyDescent="0.25">
      <c r="A2094" t="s">
        <v>2100</v>
      </c>
      <c r="B2094">
        <v>69363</v>
      </c>
      <c r="C2094">
        <v>7899516210644</v>
      </c>
      <c r="D2094">
        <v>22.9</v>
      </c>
      <c r="E2094">
        <v>12.4</v>
      </c>
      <c r="F2094" s="3">
        <v>0.41600000000000004</v>
      </c>
      <c r="G2094">
        <v>11.2546</v>
      </c>
      <c r="H2094">
        <v>1.381</v>
      </c>
    </row>
    <row r="2095" spans="1:8" x14ac:dyDescent="0.25">
      <c r="A2095" t="s">
        <v>2101</v>
      </c>
      <c r="B2095">
        <v>65276</v>
      </c>
      <c r="C2095">
        <v>7899516210323</v>
      </c>
      <c r="D2095">
        <v>17.899999999999999</v>
      </c>
      <c r="E2095">
        <v>11.53</v>
      </c>
      <c r="F2095" s="3">
        <v>0.32299999999999995</v>
      </c>
      <c r="G2095">
        <v>10.4625</v>
      </c>
      <c r="H2095">
        <v>1.3</v>
      </c>
    </row>
    <row r="2096" spans="1:8" x14ac:dyDescent="0.25">
      <c r="A2096" t="s">
        <v>2102</v>
      </c>
      <c r="B2096">
        <v>69364</v>
      </c>
      <c r="C2096">
        <v>7899516210668</v>
      </c>
      <c r="D2096">
        <v>22.9</v>
      </c>
      <c r="E2096">
        <v>15.5</v>
      </c>
      <c r="F2096" s="3">
        <v>0.29330000000000001</v>
      </c>
      <c r="G2096">
        <v>14.0654</v>
      </c>
      <c r="H2096">
        <v>1.0209999999999999</v>
      </c>
    </row>
    <row r="2097" spans="1:8" x14ac:dyDescent="0.25">
      <c r="A2097" t="s">
        <v>2103</v>
      </c>
      <c r="B2097">
        <v>65280</v>
      </c>
      <c r="C2097">
        <v>7899516210286</v>
      </c>
      <c r="D2097">
        <v>11.9</v>
      </c>
      <c r="E2097">
        <v>7.48</v>
      </c>
      <c r="F2097" s="3">
        <v>0.33710000000000001</v>
      </c>
      <c r="G2097">
        <v>6.7881</v>
      </c>
      <c r="H2097">
        <v>1.6</v>
      </c>
    </row>
    <row r="2098" spans="1:8" x14ac:dyDescent="0.25">
      <c r="A2098" t="s">
        <v>2104</v>
      </c>
      <c r="B2098">
        <v>68845</v>
      </c>
      <c r="C2098">
        <v>7899516210750</v>
      </c>
      <c r="D2098">
        <v>13.9</v>
      </c>
      <c r="E2098">
        <v>6.68</v>
      </c>
      <c r="F2098" s="3">
        <v>0.47110000000000002</v>
      </c>
      <c r="G2098">
        <v>6.0663999999999998</v>
      </c>
      <c r="H2098">
        <v>0.19</v>
      </c>
    </row>
    <row r="2099" spans="1:8" x14ac:dyDescent="0.25">
      <c r="A2099" t="s">
        <v>2105</v>
      </c>
      <c r="B2099">
        <v>68841</v>
      </c>
      <c r="C2099">
        <v>7899516210712</v>
      </c>
      <c r="D2099">
        <v>13.9</v>
      </c>
      <c r="E2099">
        <v>8.4700000000000006</v>
      </c>
      <c r="F2099" s="3">
        <v>0.37859999999999999</v>
      </c>
      <c r="G2099">
        <v>7.3521999999999998</v>
      </c>
      <c r="H2099">
        <v>0.41</v>
      </c>
    </row>
    <row r="2100" spans="1:8" x14ac:dyDescent="0.25">
      <c r="A2100" t="s">
        <v>2106</v>
      </c>
      <c r="B2100">
        <v>68844</v>
      </c>
      <c r="C2100">
        <v>7899516210743</v>
      </c>
      <c r="D2100">
        <v>13.9</v>
      </c>
      <c r="E2100">
        <v>6.68</v>
      </c>
      <c r="F2100" s="3">
        <v>0.47110000000000002</v>
      </c>
      <c r="G2100">
        <v>6.0663999999999998</v>
      </c>
      <c r="H2100">
        <v>0.33300000000000002</v>
      </c>
    </row>
    <row r="2101" spans="1:8" x14ac:dyDescent="0.25">
      <c r="A2101" t="s">
        <v>2107</v>
      </c>
      <c r="B2101">
        <v>68842</v>
      </c>
      <c r="C2101">
        <v>7899516210729</v>
      </c>
      <c r="D2101">
        <v>13.9</v>
      </c>
      <c r="E2101">
        <v>7.32</v>
      </c>
      <c r="F2101" s="3">
        <v>0.41749999999999998</v>
      </c>
      <c r="G2101">
        <v>6.8112000000000004</v>
      </c>
      <c r="H2101">
        <v>0.66200000000000003</v>
      </c>
    </row>
    <row r="2102" spans="1:8" x14ac:dyDescent="0.25">
      <c r="A2102" t="s">
        <v>2108</v>
      </c>
      <c r="B2102">
        <v>68843</v>
      </c>
      <c r="C2102">
        <v>7899516210736</v>
      </c>
      <c r="D2102">
        <v>13.9</v>
      </c>
      <c r="E2102">
        <v>7.35</v>
      </c>
      <c r="F2102" s="3">
        <v>0.41729999999999995</v>
      </c>
      <c r="G2102">
        <v>6.8133999999999997</v>
      </c>
      <c r="H2102">
        <v>0.35699999999999998</v>
      </c>
    </row>
    <row r="2103" spans="1:8" x14ac:dyDescent="0.25">
      <c r="A2103" t="s">
        <v>2109</v>
      </c>
      <c r="B2103">
        <v>66488</v>
      </c>
      <c r="C2103">
        <v>4003754081000</v>
      </c>
      <c r="D2103">
        <v>18.989999999999998</v>
      </c>
      <c r="E2103">
        <v>14.86</v>
      </c>
      <c r="F2103" s="3">
        <v>0.18820000000000001</v>
      </c>
      <c r="G2103">
        <v>13.661300000000001</v>
      </c>
      <c r="H2103">
        <v>1.167</v>
      </c>
    </row>
    <row r="2104" spans="1:8" x14ac:dyDescent="0.25">
      <c r="A2104" t="s">
        <v>2110</v>
      </c>
      <c r="B2104">
        <v>65481</v>
      </c>
      <c r="C2104">
        <v>8000500359884</v>
      </c>
      <c r="D2104">
        <v>21.58</v>
      </c>
      <c r="E2104">
        <v>16.760000000000002</v>
      </c>
      <c r="F2104" s="3">
        <v>0.2009</v>
      </c>
      <c r="G2104">
        <v>15.249499999999999</v>
      </c>
      <c r="H2104">
        <v>8.9670000000000005</v>
      </c>
    </row>
    <row r="2105" spans="1:8" x14ac:dyDescent="0.25">
      <c r="A2105" t="s">
        <v>2111</v>
      </c>
      <c r="B2105">
        <v>65480</v>
      </c>
      <c r="C2105">
        <v>8000500359815</v>
      </c>
      <c r="D2105">
        <v>21.33</v>
      </c>
      <c r="E2105">
        <v>17.29</v>
      </c>
      <c r="F2105" s="3">
        <v>0.17149999999999999</v>
      </c>
      <c r="G2105">
        <v>15.700200000000001</v>
      </c>
      <c r="H2105">
        <v>8.6</v>
      </c>
    </row>
    <row r="2106" spans="1:8" x14ac:dyDescent="0.25">
      <c r="A2106" t="s">
        <v>2112</v>
      </c>
      <c r="B2106">
        <v>65479</v>
      </c>
      <c r="C2106">
        <v>8000500359488</v>
      </c>
      <c r="D2106">
        <v>21.9</v>
      </c>
      <c r="E2106">
        <v>17.43</v>
      </c>
      <c r="F2106" s="3">
        <v>0.18479999999999999</v>
      </c>
      <c r="G2106">
        <v>15.8263</v>
      </c>
      <c r="H2106">
        <v>11.2</v>
      </c>
    </row>
    <row r="2107" spans="1:8" x14ac:dyDescent="0.25">
      <c r="A2107" t="s">
        <v>2113</v>
      </c>
      <c r="B2107">
        <v>66713</v>
      </c>
      <c r="C2107">
        <v>7891008125719</v>
      </c>
      <c r="D2107">
        <v>11.9</v>
      </c>
      <c r="E2107">
        <v>8.9</v>
      </c>
      <c r="F2107" s="3">
        <v>0.2286</v>
      </c>
      <c r="G2107">
        <v>8.0785999999999998</v>
      </c>
      <c r="H2107">
        <v>2.867</v>
      </c>
    </row>
    <row r="2108" spans="1:8" x14ac:dyDescent="0.25">
      <c r="A2108" t="s">
        <v>2114</v>
      </c>
      <c r="B2108">
        <v>66714</v>
      </c>
      <c r="C2108">
        <v>7891000395608</v>
      </c>
      <c r="D2108">
        <v>11.9</v>
      </c>
      <c r="E2108">
        <v>8.91</v>
      </c>
      <c r="F2108" s="3">
        <v>0.22820000000000001</v>
      </c>
      <c r="G2108">
        <v>8.0839999999999996</v>
      </c>
      <c r="H2108">
        <v>2.2000000000000002</v>
      </c>
    </row>
    <row r="2109" spans="1:8" x14ac:dyDescent="0.25">
      <c r="A2109" t="s">
        <v>2115</v>
      </c>
      <c r="B2109">
        <v>66715</v>
      </c>
      <c r="C2109">
        <v>7891000395561</v>
      </c>
      <c r="D2109">
        <v>11.9</v>
      </c>
      <c r="E2109">
        <v>8.4</v>
      </c>
      <c r="F2109" s="3">
        <v>0.25829999999999997</v>
      </c>
      <c r="G2109">
        <v>7.7251000000000003</v>
      </c>
      <c r="H2109">
        <v>0.73299999999999998</v>
      </c>
    </row>
    <row r="2110" spans="1:8" x14ac:dyDescent="0.25">
      <c r="A2110" t="s">
        <v>2116</v>
      </c>
      <c r="B2110">
        <v>3933</v>
      </c>
      <c r="C2110">
        <v>7891008299908</v>
      </c>
      <c r="D2110">
        <v>6.49</v>
      </c>
      <c r="E2110">
        <v>5.0199999999999996</v>
      </c>
      <c r="F2110" s="3">
        <v>0.18659999999999999</v>
      </c>
      <c r="G2110">
        <v>4.6787000000000001</v>
      </c>
      <c r="H2110">
        <v>16.399999999999999</v>
      </c>
    </row>
    <row r="2111" spans="1:8" x14ac:dyDescent="0.25">
      <c r="A2111" t="s">
        <v>2117</v>
      </c>
      <c r="B2111">
        <v>3940</v>
      </c>
      <c r="C2111">
        <v>7891008297003</v>
      </c>
      <c r="D2111">
        <v>6.49</v>
      </c>
      <c r="E2111">
        <v>4.57</v>
      </c>
      <c r="F2111" s="3">
        <v>0.25600000000000001</v>
      </c>
      <c r="G2111">
        <v>4.2279999999999998</v>
      </c>
      <c r="H2111">
        <v>9.6</v>
      </c>
    </row>
    <row r="2112" spans="1:8" x14ac:dyDescent="0.25">
      <c r="A2112" t="s">
        <v>2118</v>
      </c>
      <c r="B2112">
        <v>17730</v>
      </c>
      <c r="C2112">
        <v>7891008395808</v>
      </c>
      <c r="D2112">
        <v>6.49</v>
      </c>
      <c r="E2112">
        <v>5.8</v>
      </c>
      <c r="F2112" s="3">
        <v>9.69E-2</v>
      </c>
      <c r="G2112">
        <v>5.2606999999999999</v>
      </c>
      <c r="H2112">
        <v>6.867</v>
      </c>
    </row>
    <row r="2113" spans="1:8" x14ac:dyDescent="0.25">
      <c r="A2113" t="s">
        <v>2119</v>
      </c>
      <c r="B2113">
        <v>66716</v>
      </c>
      <c r="C2113">
        <v>7891000397107</v>
      </c>
      <c r="D2113">
        <v>6.49</v>
      </c>
      <c r="E2113">
        <v>5.84</v>
      </c>
      <c r="F2113" s="3">
        <v>9.0500000000000011E-2</v>
      </c>
      <c r="G2113">
        <v>5.3022999999999998</v>
      </c>
      <c r="H2113">
        <v>9.2669999999999995</v>
      </c>
    </row>
    <row r="2114" spans="1:8" x14ac:dyDescent="0.25">
      <c r="A2114" t="s">
        <v>2120</v>
      </c>
      <c r="B2114">
        <v>3952</v>
      </c>
      <c r="C2114">
        <v>7891008299700</v>
      </c>
      <c r="D2114">
        <v>6.49</v>
      </c>
      <c r="E2114">
        <v>4.84</v>
      </c>
      <c r="F2114" s="3">
        <v>0.23449999999999999</v>
      </c>
      <c r="G2114">
        <v>4.3676000000000004</v>
      </c>
      <c r="H2114">
        <v>18.132999999999999</v>
      </c>
    </row>
    <row r="2115" spans="1:8" x14ac:dyDescent="0.25">
      <c r="A2115" t="s">
        <v>2121</v>
      </c>
      <c r="B2115">
        <v>66712</v>
      </c>
      <c r="C2115">
        <v>7891000395509</v>
      </c>
      <c r="D2115">
        <v>8.9</v>
      </c>
      <c r="E2115">
        <v>6.18</v>
      </c>
      <c r="F2115" s="3">
        <v>0.2903</v>
      </c>
      <c r="G2115">
        <v>5.4930000000000003</v>
      </c>
      <c r="H2115">
        <v>2.0329999999999999</v>
      </c>
    </row>
    <row r="2116" spans="1:8" x14ac:dyDescent="0.25">
      <c r="A2116" t="s">
        <v>2122</v>
      </c>
      <c r="B2116">
        <v>66711</v>
      </c>
      <c r="C2116">
        <v>7891000395417</v>
      </c>
      <c r="D2116">
        <v>8.9</v>
      </c>
      <c r="E2116">
        <v>5.52</v>
      </c>
      <c r="F2116" s="3">
        <v>0.34490000000000004</v>
      </c>
      <c r="G2116">
        <v>5.0072999999999999</v>
      </c>
      <c r="H2116">
        <v>2.3330000000000002</v>
      </c>
    </row>
    <row r="2117" spans="1:8" x14ac:dyDescent="0.25">
      <c r="A2117" t="s">
        <v>2123</v>
      </c>
      <c r="B2117">
        <v>69149</v>
      </c>
      <c r="C2117">
        <v>7891000409640</v>
      </c>
      <c r="D2117">
        <v>8.9</v>
      </c>
      <c r="E2117">
        <v>6.21</v>
      </c>
      <c r="F2117" s="3">
        <v>0.2908</v>
      </c>
      <c r="G2117">
        <v>5.4885000000000002</v>
      </c>
      <c r="H2117">
        <v>6.9939999999999998</v>
      </c>
    </row>
    <row r="2118" spans="1:8" x14ac:dyDescent="0.25">
      <c r="A2118" t="s">
        <v>2124</v>
      </c>
      <c r="B2118">
        <v>41467</v>
      </c>
      <c r="C2118">
        <v>7891008171730</v>
      </c>
      <c r="D2118">
        <v>6.49</v>
      </c>
      <c r="E2118">
        <v>5.17</v>
      </c>
      <c r="F2118" s="3">
        <v>0.1845</v>
      </c>
      <c r="G2118">
        <v>4.6924000000000001</v>
      </c>
      <c r="H2118">
        <v>1.7</v>
      </c>
    </row>
    <row r="2119" spans="1:8" x14ac:dyDescent="0.25">
      <c r="A2119" t="s">
        <v>2125</v>
      </c>
      <c r="B2119">
        <v>3953</v>
      </c>
      <c r="C2119">
        <v>7891008349023</v>
      </c>
      <c r="D2119">
        <v>44.9</v>
      </c>
      <c r="E2119">
        <v>35.58</v>
      </c>
      <c r="F2119" s="3">
        <v>0.19329999999999997</v>
      </c>
      <c r="G2119">
        <v>32.067799999999998</v>
      </c>
      <c r="H2119">
        <v>0.4</v>
      </c>
    </row>
    <row r="2120" spans="1:8" x14ac:dyDescent="0.25">
      <c r="A2120" t="s">
        <v>2126</v>
      </c>
      <c r="B2120">
        <v>3954</v>
      </c>
      <c r="C2120">
        <v>7891008351026</v>
      </c>
      <c r="D2120">
        <v>44.9</v>
      </c>
      <c r="E2120">
        <v>39.4</v>
      </c>
      <c r="F2120" s="3">
        <v>0.1201</v>
      </c>
      <c r="G2120">
        <v>35.354900000000001</v>
      </c>
      <c r="H2120">
        <v>1.5</v>
      </c>
    </row>
    <row r="2121" spans="1:8" x14ac:dyDescent="0.25">
      <c r="A2121" t="s">
        <v>2127</v>
      </c>
      <c r="B2121">
        <v>30490</v>
      </c>
      <c r="C2121">
        <v>7891008040029</v>
      </c>
      <c r="D2121">
        <v>22.9</v>
      </c>
      <c r="E2121">
        <v>17.96</v>
      </c>
      <c r="F2121" s="3">
        <v>0.15689999999999998</v>
      </c>
      <c r="G2121">
        <v>13.0665</v>
      </c>
      <c r="H2121">
        <v>2.7330000000000001</v>
      </c>
    </row>
    <row r="2122" spans="1:8" x14ac:dyDescent="0.25">
      <c r="A2122" t="s">
        <v>2128</v>
      </c>
      <c r="B2122">
        <v>65165</v>
      </c>
      <c r="C2122">
        <v>5900352014555</v>
      </c>
      <c r="D2122">
        <v>32.9</v>
      </c>
      <c r="E2122">
        <v>24.61</v>
      </c>
      <c r="F2122" s="3">
        <v>0.22870000000000001</v>
      </c>
      <c r="G2122">
        <v>22.333600000000001</v>
      </c>
      <c r="H2122">
        <v>0.36699999999999999</v>
      </c>
    </row>
    <row r="2123" spans="1:8" x14ac:dyDescent="0.25">
      <c r="A2123" t="s">
        <v>2129</v>
      </c>
      <c r="B2123">
        <v>67613</v>
      </c>
      <c r="C2123">
        <v>5410976236023</v>
      </c>
      <c r="D2123">
        <v>59.9</v>
      </c>
      <c r="E2123">
        <v>44.64</v>
      </c>
      <c r="F2123" s="3">
        <v>0.23129999999999998</v>
      </c>
      <c r="G2123">
        <v>40.506700000000002</v>
      </c>
      <c r="H2123">
        <v>3.3000000000000002E-2</v>
      </c>
    </row>
    <row r="2124" spans="1:8" x14ac:dyDescent="0.25">
      <c r="A2124" t="s">
        <v>2130</v>
      </c>
      <c r="B2124">
        <v>67611</v>
      </c>
      <c r="C2124">
        <v>5410976321019</v>
      </c>
      <c r="D2124">
        <v>59.9</v>
      </c>
      <c r="E2124">
        <v>52.12</v>
      </c>
      <c r="F2124" s="3">
        <v>0.11789999999999999</v>
      </c>
      <c r="G2124">
        <v>47.299300000000002</v>
      </c>
      <c r="H2124">
        <v>6.7000000000000004E-2</v>
      </c>
    </row>
    <row r="2125" spans="1:8" x14ac:dyDescent="0.25">
      <c r="A2125" t="s">
        <v>2131</v>
      </c>
      <c r="B2125">
        <v>67612</v>
      </c>
      <c r="C2125">
        <v>5410976140122</v>
      </c>
      <c r="D2125">
        <v>99.9</v>
      </c>
      <c r="E2125">
        <v>98.56</v>
      </c>
      <c r="F2125" s="3">
        <v>1.21E-2</v>
      </c>
      <c r="G2125">
        <v>89.446700000000007</v>
      </c>
      <c r="H2125">
        <v>3.3000000000000002E-2</v>
      </c>
    </row>
    <row r="2126" spans="1:8" x14ac:dyDescent="0.25">
      <c r="A2126" t="s">
        <v>2132</v>
      </c>
      <c r="B2126">
        <v>67610</v>
      </c>
      <c r="C2126">
        <v>5410976080428</v>
      </c>
      <c r="D2126">
        <v>36.9</v>
      </c>
      <c r="E2126">
        <v>30.81</v>
      </c>
      <c r="F2126" s="3">
        <v>0.14980000000000002</v>
      </c>
      <c r="G2126">
        <v>27.959199999999999</v>
      </c>
      <c r="H2126">
        <v>0</v>
      </c>
    </row>
    <row r="2127" spans="1:8" x14ac:dyDescent="0.25">
      <c r="A2127" t="s">
        <v>2133</v>
      </c>
      <c r="B2127">
        <v>69395</v>
      </c>
      <c r="C2127">
        <v>34000199464</v>
      </c>
      <c r="D2127">
        <v>39.9</v>
      </c>
      <c r="E2127">
        <v>35.07</v>
      </c>
      <c r="F2127" s="3">
        <v>0.10980000000000001</v>
      </c>
      <c r="G2127">
        <v>31.83</v>
      </c>
      <c r="H2127">
        <v>0.35599999999999998</v>
      </c>
    </row>
    <row r="2128" spans="1:8" x14ac:dyDescent="0.25">
      <c r="A2128" t="s">
        <v>2134</v>
      </c>
      <c r="B2128">
        <v>4028</v>
      </c>
      <c r="C2128">
        <v>80050315</v>
      </c>
      <c r="D2128">
        <v>2.4900000000000002</v>
      </c>
      <c r="E2128">
        <v>1.84</v>
      </c>
      <c r="F2128" s="3">
        <v>0.2429</v>
      </c>
      <c r="G2128">
        <v>1.6549</v>
      </c>
      <c r="H2128">
        <v>58.633000000000003</v>
      </c>
    </row>
    <row r="2129" spans="1:8" x14ac:dyDescent="0.25">
      <c r="A2129" t="s">
        <v>2135</v>
      </c>
      <c r="B2129">
        <v>46553</v>
      </c>
      <c r="C2129">
        <v>80177609</v>
      </c>
      <c r="D2129">
        <v>9.99</v>
      </c>
      <c r="E2129">
        <v>6.99</v>
      </c>
      <c r="F2129" s="3">
        <v>0.27239999999999998</v>
      </c>
      <c r="G2129">
        <v>6.3449</v>
      </c>
      <c r="H2129">
        <v>20.167000000000002</v>
      </c>
    </row>
    <row r="2130" spans="1:8" x14ac:dyDescent="0.25">
      <c r="A2130" t="s">
        <v>2136</v>
      </c>
      <c r="B2130">
        <v>3948</v>
      </c>
      <c r="C2130">
        <v>80761761</v>
      </c>
      <c r="D2130">
        <v>7.9</v>
      </c>
      <c r="E2130">
        <v>5.91</v>
      </c>
      <c r="F2130" s="3">
        <v>0.2286</v>
      </c>
      <c r="G2130">
        <v>5.3630000000000004</v>
      </c>
      <c r="H2130">
        <v>42.466999999999999</v>
      </c>
    </row>
    <row r="2131" spans="1:8" x14ac:dyDescent="0.25">
      <c r="A2131" t="s">
        <v>2137</v>
      </c>
      <c r="B2131">
        <v>3949</v>
      </c>
      <c r="C2131">
        <v>80052760</v>
      </c>
      <c r="D2131">
        <v>7.9</v>
      </c>
      <c r="E2131">
        <v>5.91</v>
      </c>
      <c r="F2131" s="3">
        <v>0.22870000000000001</v>
      </c>
      <c r="G2131">
        <v>5.3628999999999998</v>
      </c>
      <c r="H2131">
        <v>61.667000000000002</v>
      </c>
    </row>
    <row r="2132" spans="1:8" x14ac:dyDescent="0.25">
      <c r="A2132" t="s">
        <v>2138</v>
      </c>
      <c r="B2132">
        <v>50396</v>
      </c>
      <c r="C2132">
        <v>7898024397410</v>
      </c>
      <c r="D2132">
        <v>14.9</v>
      </c>
      <c r="E2132">
        <v>10.37</v>
      </c>
      <c r="F2132" s="3">
        <v>0.27750000000000002</v>
      </c>
      <c r="G2132">
        <v>9.3866999999999994</v>
      </c>
      <c r="H2132">
        <v>14.833</v>
      </c>
    </row>
    <row r="2133" spans="1:8" x14ac:dyDescent="0.25">
      <c r="A2133" t="s">
        <v>2139</v>
      </c>
      <c r="B2133">
        <v>17902</v>
      </c>
      <c r="C2133">
        <v>78940840</v>
      </c>
      <c r="D2133">
        <v>10.9</v>
      </c>
      <c r="E2133">
        <v>7.06</v>
      </c>
      <c r="F2133" s="3">
        <v>0.31900000000000001</v>
      </c>
      <c r="G2133">
        <v>6.4141000000000004</v>
      </c>
      <c r="H2133">
        <v>21.966999999999999</v>
      </c>
    </row>
    <row r="2134" spans="1:8" x14ac:dyDescent="0.25">
      <c r="A2134" t="s">
        <v>2140</v>
      </c>
      <c r="B2134">
        <v>3956</v>
      </c>
      <c r="C2134">
        <v>78940833</v>
      </c>
      <c r="D2134">
        <v>10.9</v>
      </c>
      <c r="E2134">
        <v>7.04</v>
      </c>
      <c r="F2134" s="3">
        <v>0.32289999999999996</v>
      </c>
      <c r="G2134">
        <v>6.3719999999999999</v>
      </c>
      <c r="H2134">
        <v>24.867000000000001</v>
      </c>
    </row>
    <row r="2135" spans="1:8" x14ac:dyDescent="0.25">
      <c r="A2135" t="s">
        <v>2141</v>
      </c>
      <c r="B2135">
        <v>17912</v>
      </c>
      <c r="C2135">
        <v>7898024395867</v>
      </c>
      <c r="D2135">
        <v>19.899999999999999</v>
      </c>
      <c r="E2135">
        <v>13.39</v>
      </c>
      <c r="F2135" s="3">
        <v>0.29370000000000002</v>
      </c>
      <c r="G2135">
        <v>12.213900000000001</v>
      </c>
      <c r="H2135">
        <v>13.7</v>
      </c>
    </row>
    <row r="2136" spans="1:8" x14ac:dyDescent="0.25">
      <c r="A2136" t="s">
        <v>2142</v>
      </c>
      <c r="B2136">
        <v>17903</v>
      </c>
      <c r="C2136">
        <v>7898024395850</v>
      </c>
      <c r="D2136">
        <v>19.899999999999999</v>
      </c>
      <c r="E2136">
        <v>13.48</v>
      </c>
      <c r="F2136" s="3">
        <v>0.29350000000000004</v>
      </c>
      <c r="G2136">
        <v>12.2189</v>
      </c>
      <c r="H2136">
        <v>17.766999999999999</v>
      </c>
    </row>
    <row r="2137" spans="1:8" x14ac:dyDescent="0.25">
      <c r="A2137" t="s">
        <v>2143</v>
      </c>
      <c r="B2137">
        <v>55656</v>
      </c>
      <c r="C2137">
        <v>7898024394938</v>
      </c>
      <c r="D2137">
        <v>19.899999999999999</v>
      </c>
      <c r="E2137">
        <v>14.4</v>
      </c>
      <c r="F2137" s="3">
        <v>0.25069999999999998</v>
      </c>
      <c r="G2137">
        <v>13.07</v>
      </c>
      <c r="H2137">
        <v>9.8000000000000007</v>
      </c>
    </row>
    <row r="2138" spans="1:8" x14ac:dyDescent="0.25">
      <c r="A2138" t="s">
        <v>2144</v>
      </c>
      <c r="B2138">
        <v>63619</v>
      </c>
      <c r="C2138">
        <v>8000500384763</v>
      </c>
      <c r="D2138">
        <v>3.99</v>
      </c>
      <c r="E2138">
        <v>3.38</v>
      </c>
      <c r="F2138" s="3">
        <v>0.1391</v>
      </c>
      <c r="G2138">
        <v>3.0659000000000001</v>
      </c>
      <c r="H2138">
        <v>43.2</v>
      </c>
    </row>
    <row r="2139" spans="1:8" x14ac:dyDescent="0.25">
      <c r="A2139" t="s">
        <v>2145</v>
      </c>
      <c r="B2139">
        <v>67936</v>
      </c>
      <c r="C2139">
        <v>7622210534774</v>
      </c>
      <c r="D2139">
        <v>14.9</v>
      </c>
      <c r="E2139">
        <v>10.69</v>
      </c>
      <c r="F2139" s="3">
        <v>0.25640000000000002</v>
      </c>
      <c r="G2139">
        <v>9.7012</v>
      </c>
      <c r="H2139">
        <v>6.3</v>
      </c>
    </row>
    <row r="2140" spans="1:8" x14ac:dyDescent="0.25">
      <c r="A2140" t="s">
        <v>2146</v>
      </c>
      <c r="B2140">
        <v>56828</v>
      </c>
      <c r="C2140">
        <v>7622210709417</v>
      </c>
      <c r="D2140">
        <v>13.9</v>
      </c>
      <c r="E2140">
        <v>10.76</v>
      </c>
      <c r="F2140" s="3">
        <v>0.20499999999999999</v>
      </c>
      <c r="G2140">
        <v>9.7646999999999995</v>
      </c>
      <c r="H2140">
        <v>15.167</v>
      </c>
    </row>
    <row r="2141" spans="1:8" x14ac:dyDescent="0.25">
      <c r="A2141" t="s">
        <v>2147</v>
      </c>
      <c r="B2141">
        <v>56827</v>
      </c>
      <c r="C2141">
        <v>7622210709363</v>
      </c>
      <c r="D2141">
        <v>13.9</v>
      </c>
      <c r="E2141">
        <v>10.69</v>
      </c>
      <c r="F2141" s="3">
        <v>0.20960000000000001</v>
      </c>
      <c r="G2141">
        <v>9.7012999999999998</v>
      </c>
      <c r="H2141">
        <v>7.5</v>
      </c>
    </row>
    <row r="2142" spans="1:8" x14ac:dyDescent="0.25">
      <c r="A2142" t="s">
        <v>2148</v>
      </c>
      <c r="B2142">
        <v>63035</v>
      </c>
      <c r="C2142">
        <v>7622210573384</v>
      </c>
      <c r="D2142">
        <v>3.9</v>
      </c>
      <c r="E2142">
        <v>2.35</v>
      </c>
      <c r="F2142" s="3">
        <v>0.36070000000000002</v>
      </c>
      <c r="G2142">
        <v>2.1326000000000001</v>
      </c>
      <c r="H2142">
        <v>3.3000000000000002E-2</v>
      </c>
    </row>
    <row r="2143" spans="1:8" x14ac:dyDescent="0.25">
      <c r="A2143" t="s">
        <v>2149</v>
      </c>
      <c r="B2143">
        <v>31623</v>
      </c>
      <c r="C2143">
        <v>7622300867119</v>
      </c>
      <c r="D2143">
        <v>3.9</v>
      </c>
      <c r="E2143">
        <v>2.3199999999999998</v>
      </c>
      <c r="F2143" s="3">
        <v>0.36950000000000005</v>
      </c>
      <c r="G2143">
        <v>2.0983000000000001</v>
      </c>
      <c r="H2143">
        <v>1.2669999999999999</v>
      </c>
    </row>
    <row r="2144" spans="1:8" x14ac:dyDescent="0.25">
      <c r="A2144" t="s">
        <v>2150</v>
      </c>
      <c r="B2144">
        <v>53346</v>
      </c>
      <c r="C2144">
        <v>7622210961716</v>
      </c>
      <c r="D2144">
        <v>7.99</v>
      </c>
      <c r="E2144">
        <v>5.75</v>
      </c>
      <c r="F2144" s="3">
        <v>0.2631</v>
      </c>
      <c r="G2144">
        <v>5.1486999999999998</v>
      </c>
      <c r="H2144">
        <v>15.5</v>
      </c>
    </row>
    <row r="2145" spans="1:8" x14ac:dyDescent="0.25">
      <c r="A2145" t="s">
        <v>2151</v>
      </c>
      <c r="B2145">
        <v>37657</v>
      </c>
      <c r="C2145">
        <v>7622300991456</v>
      </c>
      <c r="D2145">
        <v>7.99</v>
      </c>
      <c r="E2145">
        <v>5.58</v>
      </c>
      <c r="F2145" s="3">
        <v>0.27210000000000001</v>
      </c>
      <c r="G2145">
        <v>5.0766999999999998</v>
      </c>
      <c r="H2145">
        <v>18.367000000000001</v>
      </c>
    </row>
    <row r="2146" spans="1:8" x14ac:dyDescent="0.25">
      <c r="A2146" t="s">
        <v>2152</v>
      </c>
      <c r="B2146">
        <v>53349</v>
      </c>
      <c r="C2146">
        <v>7622210961679</v>
      </c>
      <c r="D2146">
        <v>7.99</v>
      </c>
      <c r="E2146">
        <v>5.92</v>
      </c>
      <c r="F2146" s="3">
        <v>0.2296</v>
      </c>
      <c r="G2146">
        <v>5.4162999999999997</v>
      </c>
      <c r="H2146">
        <v>4.1669999999999998</v>
      </c>
    </row>
    <row r="2147" spans="1:8" x14ac:dyDescent="0.25">
      <c r="A2147" t="s">
        <v>2153</v>
      </c>
      <c r="B2147">
        <v>37661</v>
      </c>
      <c r="C2147">
        <v>7622300991500</v>
      </c>
      <c r="D2147">
        <v>7.99</v>
      </c>
      <c r="E2147">
        <v>5.91</v>
      </c>
      <c r="F2147" s="3">
        <v>0.23280000000000001</v>
      </c>
      <c r="G2147">
        <v>5.3875000000000002</v>
      </c>
      <c r="H2147">
        <v>6.4</v>
      </c>
    </row>
    <row r="2148" spans="1:8" x14ac:dyDescent="0.25">
      <c r="A2148" t="s">
        <v>2154</v>
      </c>
      <c r="B2148">
        <v>37645</v>
      </c>
      <c r="C2148">
        <v>7622300991418</v>
      </c>
      <c r="D2148">
        <v>7.99</v>
      </c>
      <c r="E2148">
        <v>5.63</v>
      </c>
      <c r="F2148" s="3">
        <v>0.26649999999999996</v>
      </c>
      <c r="G2148">
        <v>5.1218000000000004</v>
      </c>
      <c r="H2148">
        <v>19.367000000000001</v>
      </c>
    </row>
    <row r="2149" spans="1:8" x14ac:dyDescent="0.25">
      <c r="A2149" t="s">
        <v>2155</v>
      </c>
      <c r="B2149">
        <v>53345</v>
      </c>
      <c r="C2149">
        <v>7622210936707</v>
      </c>
      <c r="D2149">
        <v>8.9</v>
      </c>
      <c r="E2149">
        <v>6.18</v>
      </c>
      <c r="F2149" s="3">
        <v>0.2225</v>
      </c>
      <c r="G2149">
        <v>4.4942000000000002</v>
      </c>
      <c r="H2149">
        <v>10.266999999999999</v>
      </c>
    </row>
    <row r="2150" spans="1:8" x14ac:dyDescent="0.25">
      <c r="A2150" t="s">
        <v>2156</v>
      </c>
      <c r="B2150">
        <v>59814</v>
      </c>
      <c r="C2150">
        <v>7622210567567</v>
      </c>
      <c r="D2150">
        <v>8.9</v>
      </c>
      <c r="E2150">
        <v>5.93</v>
      </c>
      <c r="F2150" s="3">
        <v>0.29059999999999997</v>
      </c>
      <c r="G2150">
        <v>5.4901</v>
      </c>
      <c r="H2150">
        <v>6.633</v>
      </c>
    </row>
    <row r="2151" spans="1:8" x14ac:dyDescent="0.25">
      <c r="A2151" t="s">
        <v>2157</v>
      </c>
      <c r="B2151">
        <v>64398</v>
      </c>
      <c r="C2151">
        <v>7622210528186</v>
      </c>
      <c r="D2151">
        <v>8.9</v>
      </c>
      <c r="E2151">
        <v>6.04</v>
      </c>
      <c r="F2151" s="3">
        <v>0.2918</v>
      </c>
      <c r="G2151">
        <v>5.4794999999999998</v>
      </c>
      <c r="H2151">
        <v>9.8670000000000009</v>
      </c>
    </row>
    <row r="2152" spans="1:8" x14ac:dyDescent="0.25">
      <c r="A2152" t="s">
        <v>2158</v>
      </c>
      <c r="B2152">
        <v>53342</v>
      </c>
      <c r="C2152">
        <v>7622210833389</v>
      </c>
      <c r="D2152">
        <v>7.49</v>
      </c>
      <c r="E2152">
        <v>4.91</v>
      </c>
      <c r="F2152" s="3">
        <v>0.3125</v>
      </c>
      <c r="G2152">
        <v>4.4561999999999999</v>
      </c>
      <c r="H2152">
        <v>14.766999999999999</v>
      </c>
    </row>
    <row r="2153" spans="1:8" x14ac:dyDescent="0.25">
      <c r="A2153" t="s">
        <v>2159</v>
      </c>
      <c r="B2153">
        <v>64401</v>
      </c>
      <c r="C2153">
        <v>7622210575999</v>
      </c>
      <c r="D2153">
        <v>7.49</v>
      </c>
      <c r="E2153">
        <v>4.84</v>
      </c>
      <c r="F2153" s="3">
        <v>0.32069999999999999</v>
      </c>
      <c r="G2153">
        <v>4.3954000000000004</v>
      </c>
      <c r="H2153">
        <v>22.132999999999999</v>
      </c>
    </row>
    <row r="2154" spans="1:8" x14ac:dyDescent="0.25">
      <c r="A2154" t="s">
        <v>2160</v>
      </c>
      <c r="B2154">
        <v>37662</v>
      </c>
      <c r="C2154">
        <v>7622300989316</v>
      </c>
      <c r="D2154">
        <v>6.9</v>
      </c>
      <c r="E2154">
        <v>4.92</v>
      </c>
      <c r="F2154" s="3">
        <v>0.26200000000000001</v>
      </c>
      <c r="G2154">
        <v>4.4542000000000002</v>
      </c>
      <c r="H2154">
        <v>15.5</v>
      </c>
    </row>
    <row r="2155" spans="1:8" x14ac:dyDescent="0.25">
      <c r="A2155" t="s">
        <v>2161</v>
      </c>
      <c r="B2155">
        <v>64400</v>
      </c>
      <c r="C2155">
        <v>7622210575975</v>
      </c>
      <c r="D2155">
        <v>7.49</v>
      </c>
      <c r="E2155">
        <v>4.8600000000000003</v>
      </c>
      <c r="F2155" s="3">
        <v>0.31859999999999999</v>
      </c>
      <c r="G2155">
        <v>4.4111000000000002</v>
      </c>
      <c r="H2155">
        <v>45.067</v>
      </c>
    </row>
    <row r="2156" spans="1:8" x14ac:dyDescent="0.25">
      <c r="A2156" t="s">
        <v>2162</v>
      </c>
      <c r="B2156">
        <v>64405</v>
      </c>
      <c r="C2156">
        <v>7622210576071</v>
      </c>
      <c r="D2156">
        <v>18.899999999999999</v>
      </c>
      <c r="E2156">
        <v>14.54</v>
      </c>
      <c r="F2156" s="3">
        <v>0.20929999999999999</v>
      </c>
      <c r="G2156">
        <v>13.1951</v>
      </c>
      <c r="H2156">
        <v>2.0329999999999999</v>
      </c>
    </row>
    <row r="2157" spans="1:8" x14ac:dyDescent="0.25">
      <c r="A2157" t="s">
        <v>2163</v>
      </c>
      <c r="B2157">
        <v>59813</v>
      </c>
      <c r="C2157">
        <v>7622210566409</v>
      </c>
      <c r="D2157">
        <v>3.79</v>
      </c>
      <c r="E2157">
        <v>2.59</v>
      </c>
      <c r="F2157" s="3">
        <v>0.27039999999999997</v>
      </c>
      <c r="G2157">
        <v>2.4146999999999998</v>
      </c>
      <c r="H2157">
        <v>15.867000000000001</v>
      </c>
    </row>
    <row r="2158" spans="1:8" x14ac:dyDescent="0.25">
      <c r="A2158" t="s">
        <v>2164</v>
      </c>
      <c r="B2158">
        <v>53463</v>
      </c>
      <c r="C2158">
        <v>7622300988517</v>
      </c>
      <c r="D2158">
        <v>3.79</v>
      </c>
      <c r="E2158">
        <v>2.46</v>
      </c>
      <c r="F2158" s="3">
        <v>0.3029</v>
      </c>
      <c r="G2158">
        <v>2.2913999999999999</v>
      </c>
      <c r="H2158">
        <v>16.100000000000001</v>
      </c>
    </row>
    <row r="2159" spans="1:8" x14ac:dyDescent="0.25">
      <c r="A2159" t="s">
        <v>2165</v>
      </c>
      <c r="B2159">
        <v>22091</v>
      </c>
      <c r="C2159">
        <v>7622300988470</v>
      </c>
      <c r="D2159">
        <v>3.79</v>
      </c>
      <c r="E2159">
        <v>2.58</v>
      </c>
      <c r="F2159" s="3">
        <v>0.2908</v>
      </c>
      <c r="G2159">
        <v>2.3374000000000001</v>
      </c>
      <c r="H2159">
        <v>13.2</v>
      </c>
    </row>
    <row r="2160" spans="1:8" x14ac:dyDescent="0.25">
      <c r="A2160" t="s">
        <v>2166</v>
      </c>
      <c r="B2160">
        <v>62590</v>
      </c>
      <c r="C2160">
        <v>7622210572080</v>
      </c>
      <c r="D2160">
        <v>12.99</v>
      </c>
      <c r="E2160">
        <v>10</v>
      </c>
      <c r="F2160" s="3">
        <v>0.2089</v>
      </c>
      <c r="G2160">
        <v>9.0749999999999993</v>
      </c>
      <c r="H2160">
        <v>17.533000000000001</v>
      </c>
    </row>
    <row r="2161" spans="1:8" x14ac:dyDescent="0.25">
      <c r="A2161" t="s">
        <v>2167</v>
      </c>
      <c r="B2161">
        <v>62591</v>
      </c>
      <c r="C2161">
        <v>7622210572066</v>
      </c>
      <c r="D2161">
        <v>12.99</v>
      </c>
      <c r="E2161">
        <v>10</v>
      </c>
      <c r="F2161" s="3">
        <v>0.2089</v>
      </c>
      <c r="G2161">
        <v>9.0749999999999993</v>
      </c>
      <c r="H2161">
        <v>4.633</v>
      </c>
    </row>
    <row r="2162" spans="1:8" x14ac:dyDescent="0.25">
      <c r="A2162" t="s">
        <v>2168</v>
      </c>
      <c r="B2162">
        <v>24190</v>
      </c>
      <c r="C2162">
        <v>4000539727009</v>
      </c>
      <c r="D2162">
        <v>38.9</v>
      </c>
      <c r="E2162">
        <v>30.9</v>
      </c>
      <c r="F2162" s="3">
        <v>0.18659999999999999</v>
      </c>
      <c r="G2162">
        <v>28.043500000000002</v>
      </c>
      <c r="H2162">
        <v>0</v>
      </c>
    </row>
    <row r="2163" spans="1:8" x14ac:dyDescent="0.25">
      <c r="A2163" t="s">
        <v>2169</v>
      </c>
      <c r="B2163">
        <v>14996</v>
      </c>
      <c r="C2163">
        <v>7610400090193</v>
      </c>
      <c r="D2163">
        <v>26.9</v>
      </c>
      <c r="E2163">
        <v>20.149999999999999</v>
      </c>
      <c r="F2163" s="3">
        <v>0.20960000000000001</v>
      </c>
      <c r="G2163">
        <v>18.772400000000001</v>
      </c>
      <c r="H2163">
        <v>1</v>
      </c>
    </row>
    <row r="2164" spans="1:8" x14ac:dyDescent="0.25">
      <c r="A2164" t="s">
        <v>2170</v>
      </c>
      <c r="B2164">
        <v>8738</v>
      </c>
      <c r="C2164">
        <v>7610400010016</v>
      </c>
      <c r="D2164">
        <v>26.9</v>
      </c>
      <c r="E2164">
        <v>20.6</v>
      </c>
      <c r="F2164" s="3">
        <v>0.21299999999999999</v>
      </c>
      <c r="G2164">
        <v>18.6813</v>
      </c>
      <c r="H2164">
        <v>5.2329999999999997</v>
      </c>
    </row>
    <row r="2165" spans="1:8" x14ac:dyDescent="0.25">
      <c r="A2165" t="s">
        <v>2171</v>
      </c>
      <c r="B2165">
        <v>18143</v>
      </c>
      <c r="C2165">
        <v>7610400010023</v>
      </c>
      <c r="D2165">
        <v>26.9</v>
      </c>
      <c r="E2165">
        <v>22.15</v>
      </c>
      <c r="F2165" s="3">
        <v>0.16109999999999999</v>
      </c>
      <c r="G2165">
        <v>20.078199999999999</v>
      </c>
      <c r="H2165">
        <v>2.367</v>
      </c>
    </row>
    <row r="2166" spans="1:8" x14ac:dyDescent="0.25">
      <c r="A2166" t="s">
        <v>2172</v>
      </c>
      <c r="B2166">
        <v>8737</v>
      </c>
      <c r="C2166">
        <v>7610400014571</v>
      </c>
      <c r="D2166">
        <v>26.59</v>
      </c>
      <c r="E2166">
        <v>21.44</v>
      </c>
      <c r="F2166" s="3">
        <v>0.17550000000000002</v>
      </c>
      <c r="G2166">
        <v>19.461600000000001</v>
      </c>
      <c r="H2166">
        <v>1.2330000000000001</v>
      </c>
    </row>
    <row r="2167" spans="1:8" x14ac:dyDescent="0.25">
      <c r="A2167" t="s">
        <v>2173</v>
      </c>
      <c r="B2167">
        <v>60389</v>
      </c>
      <c r="C2167">
        <v>8003340095332</v>
      </c>
      <c r="D2167">
        <v>14.9</v>
      </c>
      <c r="E2167">
        <v>10.41</v>
      </c>
      <c r="F2167" s="3">
        <v>0.27390000000000003</v>
      </c>
      <c r="G2167">
        <v>9.4413</v>
      </c>
      <c r="H2167">
        <v>2.133</v>
      </c>
    </row>
    <row r="2168" spans="1:8" x14ac:dyDescent="0.25">
      <c r="A2168" t="s">
        <v>2174</v>
      </c>
      <c r="B2168">
        <v>31946</v>
      </c>
      <c r="C2168">
        <v>3046923942765</v>
      </c>
      <c r="D2168">
        <v>37.340000000000003</v>
      </c>
      <c r="E2168">
        <v>30.68</v>
      </c>
      <c r="F2168" s="3">
        <v>0.14499999999999999</v>
      </c>
      <c r="G2168">
        <v>28.470800000000001</v>
      </c>
      <c r="H2168">
        <v>0.53300000000000003</v>
      </c>
    </row>
    <row r="2169" spans="1:8" x14ac:dyDescent="0.25">
      <c r="A2169" t="s">
        <v>2175</v>
      </c>
      <c r="B2169">
        <v>18152</v>
      </c>
      <c r="C2169">
        <v>3046920028004</v>
      </c>
      <c r="D2169">
        <v>29.9</v>
      </c>
      <c r="E2169">
        <v>22.56</v>
      </c>
      <c r="F2169" s="3">
        <v>0.21329999999999999</v>
      </c>
      <c r="G2169">
        <v>20.7578</v>
      </c>
      <c r="H2169">
        <v>7.5330000000000004</v>
      </c>
    </row>
    <row r="2170" spans="1:8" x14ac:dyDescent="0.25">
      <c r="A2170" t="s">
        <v>2176</v>
      </c>
      <c r="B2170">
        <v>18153</v>
      </c>
      <c r="C2170">
        <v>3046920028363</v>
      </c>
      <c r="D2170">
        <v>29.9</v>
      </c>
      <c r="E2170">
        <v>23.01</v>
      </c>
      <c r="F2170" s="3">
        <v>0.20039999999999999</v>
      </c>
      <c r="G2170">
        <v>21.1419</v>
      </c>
      <c r="H2170">
        <v>4.5999999999999996</v>
      </c>
    </row>
    <row r="2171" spans="1:8" x14ac:dyDescent="0.25">
      <c r="A2171" t="s">
        <v>2177</v>
      </c>
      <c r="B2171">
        <v>55658</v>
      </c>
      <c r="C2171">
        <v>3046920029759</v>
      </c>
      <c r="D2171">
        <v>29.9</v>
      </c>
      <c r="E2171">
        <v>23.17</v>
      </c>
      <c r="F2171" s="3">
        <v>0.1807</v>
      </c>
      <c r="G2171">
        <v>21.731300000000001</v>
      </c>
      <c r="H2171">
        <v>2</v>
      </c>
    </row>
    <row r="2172" spans="1:8" x14ac:dyDescent="0.25">
      <c r="A2172" t="s">
        <v>2178</v>
      </c>
      <c r="B2172">
        <v>18151</v>
      </c>
      <c r="C2172">
        <v>7610400010481</v>
      </c>
      <c r="D2172">
        <v>29.9</v>
      </c>
      <c r="E2172">
        <v>23.84</v>
      </c>
      <c r="F2172" s="3">
        <v>0.17859999999999998</v>
      </c>
      <c r="G2172">
        <v>21.793199999999999</v>
      </c>
      <c r="H2172">
        <v>1.4</v>
      </c>
    </row>
    <row r="2173" spans="1:8" x14ac:dyDescent="0.25">
      <c r="A2173" t="s">
        <v>2179</v>
      </c>
      <c r="B2173">
        <v>63041</v>
      </c>
      <c r="C2173">
        <v>4000539045080</v>
      </c>
      <c r="D2173">
        <v>29.9</v>
      </c>
      <c r="E2173">
        <v>23.98</v>
      </c>
      <c r="F2173" s="3">
        <v>0.18100000000000002</v>
      </c>
      <c r="G2173">
        <v>21.723400000000002</v>
      </c>
      <c r="H2173">
        <v>1.367</v>
      </c>
    </row>
    <row r="2174" spans="1:8" x14ac:dyDescent="0.25">
      <c r="A2174" t="s">
        <v>2180</v>
      </c>
      <c r="B2174">
        <v>33288</v>
      </c>
      <c r="C2174">
        <v>3046920028370</v>
      </c>
      <c r="D2174">
        <v>29.9</v>
      </c>
      <c r="E2174">
        <v>23.89</v>
      </c>
      <c r="F2174" s="3">
        <v>0.17780000000000001</v>
      </c>
      <c r="G2174">
        <v>21.818300000000001</v>
      </c>
      <c r="H2174">
        <v>1.667</v>
      </c>
    </row>
    <row r="2175" spans="1:8" x14ac:dyDescent="0.25">
      <c r="A2175" t="s">
        <v>2181</v>
      </c>
      <c r="B2175">
        <v>8740</v>
      </c>
      <c r="C2175">
        <v>7610400074155</v>
      </c>
      <c r="D2175">
        <v>29.9</v>
      </c>
      <c r="E2175">
        <v>23.46</v>
      </c>
      <c r="F2175" s="3">
        <v>0.19670000000000001</v>
      </c>
      <c r="G2175">
        <v>21.251899999999999</v>
      </c>
      <c r="H2175">
        <v>1.2</v>
      </c>
    </row>
    <row r="2176" spans="1:8" x14ac:dyDescent="0.25">
      <c r="A2176" t="s">
        <v>2182</v>
      </c>
      <c r="B2176">
        <v>14916</v>
      </c>
      <c r="C2176">
        <v>7610400068369</v>
      </c>
      <c r="D2176">
        <v>29.9</v>
      </c>
      <c r="E2176">
        <v>22.89</v>
      </c>
      <c r="F2176" s="3">
        <v>0.2006</v>
      </c>
      <c r="G2176">
        <v>21.137599999999999</v>
      </c>
      <c r="H2176">
        <v>1.5</v>
      </c>
    </row>
    <row r="2177" spans="1:8" x14ac:dyDescent="0.25">
      <c r="A2177" t="s">
        <v>2183</v>
      </c>
      <c r="B2177">
        <v>8739</v>
      </c>
      <c r="C2177">
        <v>7610400014649</v>
      </c>
      <c r="D2177">
        <v>29.56</v>
      </c>
      <c r="E2177">
        <v>23.45</v>
      </c>
      <c r="F2177" s="3">
        <v>0.19269999999999998</v>
      </c>
      <c r="G2177">
        <v>21.133600000000001</v>
      </c>
      <c r="H2177">
        <v>4.0670000000000002</v>
      </c>
    </row>
    <row r="2178" spans="1:8" x14ac:dyDescent="0.25">
      <c r="A2178" t="s">
        <v>2184</v>
      </c>
      <c r="B2178">
        <v>33294</v>
      </c>
      <c r="C2178">
        <v>7896053801298</v>
      </c>
      <c r="D2178">
        <v>44.9</v>
      </c>
      <c r="E2178">
        <v>31.54</v>
      </c>
      <c r="F2178" s="3">
        <v>0.27029999999999998</v>
      </c>
      <c r="G2178">
        <v>28.609400000000001</v>
      </c>
      <c r="H2178">
        <v>1.4670000000000001</v>
      </c>
    </row>
    <row r="2179" spans="1:8" x14ac:dyDescent="0.25">
      <c r="A2179" t="s">
        <v>2185</v>
      </c>
      <c r="B2179">
        <v>18155</v>
      </c>
      <c r="C2179">
        <v>7610400090162</v>
      </c>
      <c r="D2179">
        <v>64.900000000000006</v>
      </c>
      <c r="E2179">
        <v>49.56</v>
      </c>
      <c r="F2179" s="3">
        <v>0.24059999999999998</v>
      </c>
      <c r="G2179">
        <v>43.283000000000001</v>
      </c>
      <c r="H2179">
        <v>4.5670000000000002</v>
      </c>
    </row>
    <row r="2180" spans="1:8" x14ac:dyDescent="0.25">
      <c r="A2180" t="s">
        <v>2186</v>
      </c>
      <c r="B2180">
        <v>63663</v>
      </c>
      <c r="C2180">
        <v>8003340096506</v>
      </c>
      <c r="D2180">
        <v>64.900000000000006</v>
      </c>
      <c r="E2180">
        <v>53.88</v>
      </c>
      <c r="F2180" s="3">
        <v>0.16329999999999997</v>
      </c>
      <c r="G2180">
        <v>48.300899999999999</v>
      </c>
      <c r="H2180">
        <v>0.5</v>
      </c>
    </row>
    <row r="2181" spans="1:8" x14ac:dyDescent="0.25">
      <c r="A2181" t="s">
        <v>2187</v>
      </c>
      <c r="B2181">
        <v>69009</v>
      </c>
      <c r="C2181">
        <v>8003340093147</v>
      </c>
      <c r="D2181">
        <v>64.900000000000006</v>
      </c>
      <c r="E2181">
        <v>53.69</v>
      </c>
      <c r="F2181" s="3">
        <v>0.16449999999999998</v>
      </c>
      <c r="G2181">
        <v>48.220399999999998</v>
      </c>
      <c r="H2181">
        <v>0.53300000000000003</v>
      </c>
    </row>
    <row r="2182" spans="1:8" x14ac:dyDescent="0.25">
      <c r="A2182" t="s">
        <v>2188</v>
      </c>
      <c r="B2182">
        <v>18154</v>
      </c>
      <c r="C2182">
        <v>7610400068505</v>
      </c>
      <c r="D2182">
        <v>64.900000000000006</v>
      </c>
      <c r="E2182">
        <v>54.67</v>
      </c>
      <c r="F2182" s="3">
        <v>0.1512</v>
      </c>
      <c r="G2182">
        <v>49.084400000000002</v>
      </c>
      <c r="H2182">
        <v>3.8330000000000002</v>
      </c>
    </row>
    <row r="2183" spans="1:8" x14ac:dyDescent="0.25">
      <c r="A2183" t="s">
        <v>2189</v>
      </c>
      <c r="B2183">
        <v>69008</v>
      </c>
      <c r="C2183">
        <v>8003340097619</v>
      </c>
      <c r="D2183">
        <v>64.900000000000006</v>
      </c>
      <c r="E2183">
        <v>48.78</v>
      </c>
      <c r="F2183" s="3">
        <v>0.26579999999999998</v>
      </c>
      <c r="G2183">
        <v>41.649000000000001</v>
      </c>
      <c r="H2183">
        <v>0.63300000000000001</v>
      </c>
    </row>
    <row r="2184" spans="1:8" x14ac:dyDescent="0.25">
      <c r="A2184" t="s">
        <v>2190</v>
      </c>
      <c r="B2184">
        <v>60390</v>
      </c>
      <c r="C2184">
        <v>8003340098869</v>
      </c>
      <c r="D2184">
        <v>15.18</v>
      </c>
      <c r="E2184">
        <v>11.85</v>
      </c>
      <c r="F2184" s="3">
        <v>0.21410000000000001</v>
      </c>
      <c r="G2184">
        <v>10.527200000000001</v>
      </c>
      <c r="H2184">
        <v>9.7669999999999995</v>
      </c>
    </row>
    <row r="2185" spans="1:8" x14ac:dyDescent="0.25">
      <c r="A2185" t="s">
        <v>2191</v>
      </c>
      <c r="B2185">
        <v>18156</v>
      </c>
      <c r="C2185">
        <v>7896053800109</v>
      </c>
      <c r="D2185">
        <v>29.28</v>
      </c>
      <c r="E2185">
        <v>24.33</v>
      </c>
      <c r="F2185" s="3">
        <v>0.15609999999999999</v>
      </c>
      <c r="G2185">
        <v>22.000599999999999</v>
      </c>
      <c r="H2185">
        <v>1.7669999999999999</v>
      </c>
    </row>
    <row r="2186" spans="1:8" x14ac:dyDescent="0.25">
      <c r="A2186" t="s">
        <v>2192</v>
      </c>
      <c r="B2186">
        <v>55615</v>
      </c>
      <c r="C2186">
        <v>8003340805269</v>
      </c>
      <c r="D2186">
        <v>29.9</v>
      </c>
      <c r="E2186">
        <v>23.64</v>
      </c>
      <c r="F2186" s="3">
        <v>0.1925</v>
      </c>
      <c r="G2186">
        <v>21.3794</v>
      </c>
      <c r="H2186">
        <v>2.0329999999999999</v>
      </c>
    </row>
    <row r="2187" spans="1:8" x14ac:dyDescent="0.25">
      <c r="A2187" t="s">
        <v>2193</v>
      </c>
      <c r="B2187">
        <v>49239</v>
      </c>
      <c r="C2187">
        <v>8003340805252</v>
      </c>
      <c r="D2187">
        <v>29.9</v>
      </c>
      <c r="E2187">
        <v>24.08</v>
      </c>
      <c r="F2187" s="3">
        <v>0.1739</v>
      </c>
      <c r="G2187">
        <v>21.9346</v>
      </c>
      <c r="H2187">
        <v>3.5</v>
      </c>
    </row>
    <row r="2188" spans="1:8" x14ac:dyDescent="0.25">
      <c r="A2188" t="s">
        <v>2194</v>
      </c>
      <c r="B2188">
        <v>60379</v>
      </c>
      <c r="C2188">
        <v>7610400013857</v>
      </c>
      <c r="D2188">
        <v>61.15</v>
      </c>
      <c r="E2188">
        <v>57.48</v>
      </c>
      <c r="F2188" s="3">
        <v>5.45E-2</v>
      </c>
      <c r="G2188">
        <v>52.161900000000003</v>
      </c>
      <c r="H2188">
        <v>2.5</v>
      </c>
    </row>
    <row r="2189" spans="1:8" x14ac:dyDescent="0.25">
      <c r="A2189" t="s">
        <v>2195</v>
      </c>
      <c r="B2189">
        <v>23291</v>
      </c>
      <c r="C2189">
        <v>7896001223530</v>
      </c>
      <c r="D2189">
        <v>0</v>
      </c>
      <c r="E2189">
        <v>5.26</v>
      </c>
      <c r="F2189" s="3">
        <v>0</v>
      </c>
      <c r="G2189">
        <v>4.7747999999999999</v>
      </c>
      <c r="H2189">
        <v>0</v>
      </c>
    </row>
    <row r="2190" spans="1:8" x14ac:dyDescent="0.25">
      <c r="A2190" t="s">
        <v>2196</v>
      </c>
      <c r="B2190">
        <v>54860</v>
      </c>
      <c r="C2190">
        <v>7896001281448</v>
      </c>
      <c r="D2190">
        <v>0</v>
      </c>
      <c r="E2190">
        <v>5.2</v>
      </c>
      <c r="F2190" s="3">
        <v>0</v>
      </c>
      <c r="G2190">
        <v>4.72</v>
      </c>
      <c r="H2190">
        <v>0.26700000000000002</v>
      </c>
    </row>
    <row r="2191" spans="1:8" x14ac:dyDescent="0.25">
      <c r="A2191" t="s">
        <v>2197</v>
      </c>
      <c r="B2191">
        <v>61221</v>
      </c>
      <c r="C2191">
        <v>7896001200128</v>
      </c>
      <c r="D2191">
        <v>0</v>
      </c>
      <c r="E2191">
        <v>5.25</v>
      </c>
      <c r="F2191" s="3">
        <v>0</v>
      </c>
      <c r="G2191">
        <v>4.7640000000000002</v>
      </c>
      <c r="H2191">
        <v>0.2</v>
      </c>
    </row>
    <row r="2192" spans="1:8" x14ac:dyDescent="0.25">
      <c r="A2192" t="s">
        <v>2198</v>
      </c>
      <c r="B2192">
        <v>63891</v>
      </c>
      <c r="C2192">
        <v>7896001282513</v>
      </c>
      <c r="D2192">
        <v>0</v>
      </c>
      <c r="E2192">
        <v>11.43</v>
      </c>
      <c r="F2192" s="3">
        <v>0</v>
      </c>
      <c r="G2192">
        <v>10.3675</v>
      </c>
      <c r="H2192">
        <v>1.0329999999999999</v>
      </c>
    </row>
    <row r="2193" spans="1:8" x14ac:dyDescent="0.25">
      <c r="A2193" t="s">
        <v>2199</v>
      </c>
      <c r="B2193">
        <v>63890</v>
      </c>
      <c r="C2193">
        <v>7896001200142</v>
      </c>
      <c r="D2193">
        <v>0</v>
      </c>
      <c r="E2193">
        <v>11.46</v>
      </c>
      <c r="F2193" s="3">
        <v>0</v>
      </c>
      <c r="G2193">
        <v>10.394600000000001</v>
      </c>
      <c r="H2193">
        <v>0.3</v>
      </c>
    </row>
    <row r="2194" spans="1:8" x14ac:dyDescent="0.25">
      <c r="A2194" t="s">
        <v>2200</v>
      </c>
      <c r="B2194">
        <v>63892</v>
      </c>
      <c r="C2194">
        <v>7896001200159</v>
      </c>
      <c r="D2194">
        <v>3.5</v>
      </c>
      <c r="E2194">
        <v>11.46</v>
      </c>
      <c r="F2194" s="3">
        <v>-2.0577999999999999</v>
      </c>
      <c r="G2194">
        <v>10.3848</v>
      </c>
      <c r="H2194">
        <v>0.76700000000000002</v>
      </c>
    </row>
    <row r="2195" spans="1:8" x14ac:dyDescent="0.25">
      <c r="A2195" t="s">
        <v>2201</v>
      </c>
      <c r="B2195">
        <v>66780</v>
      </c>
      <c r="C2195">
        <v>7898994554813</v>
      </c>
      <c r="D2195">
        <v>24.9</v>
      </c>
      <c r="E2195">
        <v>16.2</v>
      </c>
      <c r="F2195" s="3">
        <v>0.31690000000000002</v>
      </c>
      <c r="G2195">
        <v>14.706</v>
      </c>
      <c r="H2195">
        <v>0</v>
      </c>
    </row>
    <row r="2196" spans="1:8" x14ac:dyDescent="0.25">
      <c r="A2196" t="s">
        <v>2202</v>
      </c>
      <c r="B2196">
        <v>66776</v>
      </c>
      <c r="C2196">
        <v>7898960562149</v>
      </c>
      <c r="D2196">
        <v>24.9</v>
      </c>
      <c r="E2196">
        <v>18.309999999999999</v>
      </c>
      <c r="F2196" s="3">
        <v>0.23960000000000001</v>
      </c>
      <c r="G2196">
        <v>16.631399999999999</v>
      </c>
      <c r="H2196">
        <v>0.46700000000000003</v>
      </c>
    </row>
    <row r="2197" spans="1:8" x14ac:dyDescent="0.25">
      <c r="A2197" t="s">
        <v>2203</v>
      </c>
      <c r="B2197">
        <v>66779</v>
      </c>
      <c r="C2197">
        <v>7898960562200</v>
      </c>
      <c r="D2197">
        <v>24.9</v>
      </c>
      <c r="E2197">
        <v>18.38</v>
      </c>
      <c r="F2197" s="3">
        <v>0.23749999999999999</v>
      </c>
      <c r="G2197">
        <v>16.682099999999998</v>
      </c>
      <c r="H2197">
        <v>0.1</v>
      </c>
    </row>
    <row r="2198" spans="1:8" x14ac:dyDescent="0.25">
      <c r="A2198" t="s">
        <v>2204</v>
      </c>
      <c r="B2198">
        <v>66781</v>
      </c>
      <c r="C2198">
        <v>7898994554820</v>
      </c>
      <c r="D2198">
        <v>24.9</v>
      </c>
      <c r="E2198">
        <v>19.2</v>
      </c>
      <c r="F2198" s="3">
        <v>0.20760000000000001</v>
      </c>
      <c r="G2198">
        <v>17.427499999999998</v>
      </c>
      <c r="H2198">
        <v>0</v>
      </c>
    </row>
    <row r="2199" spans="1:8" x14ac:dyDescent="0.25">
      <c r="A2199" t="s">
        <v>2205</v>
      </c>
      <c r="B2199">
        <v>66782</v>
      </c>
      <c r="C2199">
        <v>7898960562132</v>
      </c>
      <c r="D2199">
        <v>24.9</v>
      </c>
      <c r="E2199">
        <v>19.2</v>
      </c>
      <c r="F2199" s="3">
        <v>0.20760000000000001</v>
      </c>
      <c r="G2199">
        <v>17.427499999999998</v>
      </c>
      <c r="H2199">
        <v>0</v>
      </c>
    </row>
    <row r="2200" spans="1:8" x14ac:dyDescent="0.25">
      <c r="A2200" t="s">
        <v>2206</v>
      </c>
      <c r="B2200">
        <v>66777</v>
      </c>
      <c r="C2200">
        <v>7898960562217</v>
      </c>
      <c r="D2200">
        <v>24.9</v>
      </c>
      <c r="E2200">
        <v>18.38</v>
      </c>
      <c r="F2200" s="3">
        <v>0.23749999999999999</v>
      </c>
      <c r="G2200">
        <v>16.682099999999998</v>
      </c>
      <c r="H2200">
        <v>6.7000000000000004E-2</v>
      </c>
    </row>
    <row r="2201" spans="1:8" x14ac:dyDescent="0.25">
      <c r="A2201" t="s">
        <v>2207</v>
      </c>
      <c r="B2201">
        <v>66765</v>
      </c>
      <c r="C2201">
        <v>7898960562231</v>
      </c>
      <c r="D2201">
        <v>24.9</v>
      </c>
      <c r="E2201">
        <v>18.37</v>
      </c>
      <c r="F2201" s="3">
        <v>0.23800000000000002</v>
      </c>
      <c r="G2201">
        <v>16.670999999999999</v>
      </c>
      <c r="H2201">
        <v>0.36699999999999999</v>
      </c>
    </row>
    <row r="2202" spans="1:8" x14ac:dyDescent="0.25">
      <c r="A2202" t="s">
        <v>2208</v>
      </c>
      <c r="B2202">
        <v>66767</v>
      </c>
      <c r="C2202">
        <v>7898960562354</v>
      </c>
      <c r="D2202">
        <v>24.9</v>
      </c>
      <c r="E2202">
        <v>17.84</v>
      </c>
      <c r="F2202" s="3">
        <v>0.25750000000000001</v>
      </c>
      <c r="G2202">
        <v>16.185199999999998</v>
      </c>
      <c r="H2202">
        <v>0.1</v>
      </c>
    </row>
    <row r="2203" spans="1:8" x14ac:dyDescent="0.25">
      <c r="A2203" t="s">
        <v>2209</v>
      </c>
      <c r="B2203">
        <v>66766</v>
      </c>
      <c r="C2203">
        <v>7898960562644</v>
      </c>
      <c r="D2203">
        <v>24.9</v>
      </c>
      <c r="E2203">
        <v>23.37</v>
      </c>
      <c r="F2203" s="3">
        <v>5.57E-2</v>
      </c>
      <c r="G2203">
        <v>21.2088</v>
      </c>
      <c r="H2203">
        <v>0.56699999999999995</v>
      </c>
    </row>
    <row r="2204" spans="1:8" x14ac:dyDescent="0.25">
      <c r="A2204" t="s">
        <v>2210</v>
      </c>
      <c r="B2204">
        <v>66773</v>
      </c>
      <c r="C2204">
        <v>7898960562224</v>
      </c>
      <c r="D2204">
        <v>22.34</v>
      </c>
      <c r="E2204">
        <v>20.63</v>
      </c>
      <c r="F2204" s="3">
        <v>6.9699999999999998E-2</v>
      </c>
      <c r="G2204">
        <v>18.717600000000001</v>
      </c>
      <c r="H2204">
        <v>0.1</v>
      </c>
    </row>
    <row r="2205" spans="1:8" x14ac:dyDescent="0.25">
      <c r="A2205" t="s">
        <v>2211</v>
      </c>
      <c r="B2205">
        <v>66771</v>
      </c>
      <c r="C2205">
        <v>7898960562163</v>
      </c>
      <c r="D2205">
        <v>15.47</v>
      </c>
      <c r="E2205">
        <v>19.5</v>
      </c>
      <c r="F2205" s="3">
        <v>-0.2364</v>
      </c>
      <c r="G2205">
        <v>17.697800000000001</v>
      </c>
      <c r="H2205">
        <v>0.23300000000000001</v>
      </c>
    </row>
    <row r="2206" spans="1:8" x14ac:dyDescent="0.25">
      <c r="A2206" t="s">
        <v>2212</v>
      </c>
      <c r="B2206">
        <v>66769</v>
      </c>
      <c r="C2206">
        <v>7898960562798</v>
      </c>
      <c r="D2206">
        <v>24.9</v>
      </c>
      <c r="E2206">
        <v>25.85</v>
      </c>
      <c r="F2206" s="3">
        <v>-3.4700000000000002E-2</v>
      </c>
      <c r="G2206">
        <v>23.46</v>
      </c>
      <c r="H2206">
        <v>0</v>
      </c>
    </row>
    <row r="2207" spans="1:8" x14ac:dyDescent="0.25">
      <c r="A2207" t="s">
        <v>2213</v>
      </c>
      <c r="B2207">
        <v>66775</v>
      </c>
      <c r="C2207">
        <v>7898960562170</v>
      </c>
      <c r="D2207">
        <v>24.9</v>
      </c>
      <c r="E2207">
        <v>19.5</v>
      </c>
      <c r="F2207" s="3">
        <v>0.19670000000000001</v>
      </c>
      <c r="G2207">
        <v>17.697900000000001</v>
      </c>
      <c r="H2207">
        <v>0.1</v>
      </c>
    </row>
    <row r="2208" spans="1:8" x14ac:dyDescent="0.25">
      <c r="A2208" t="s">
        <v>2214</v>
      </c>
      <c r="B2208">
        <v>68216</v>
      </c>
      <c r="C2208">
        <v>7896423423914</v>
      </c>
      <c r="D2208">
        <v>11.9</v>
      </c>
      <c r="E2208">
        <v>9.64</v>
      </c>
      <c r="F2208" s="3">
        <v>0.16899999999999998</v>
      </c>
      <c r="G2208">
        <v>8.7881</v>
      </c>
      <c r="H2208">
        <v>15.433</v>
      </c>
    </row>
    <row r="2209" spans="1:8" x14ac:dyDescent="0.25">
      <c r="A2209" t="s">
        <v>2215</v>
      </c>
      <c r="B2209">
        <v>54066</v>
      </c>
      <c r="C2209">
        <v>7896423406054</v>
      </c>
      <c r="D2209">
        <v>11.9</v>
      </c>
      <c r="E2209">
        <v>9.73</v>
      </c>
      <c r="F2209" s="3">
        <v>0.16440000000000002</v>
      </c>
      <c r="G2209">
        <v>8.8429000000000002</v>
      </c>
      <c r="H2209">
        <v>21.9</v>
      </c>
    </row>
    <row r="2210" spans="1:8" x14ac:dyDescent="0.25">
      <c r="A2210" t="s">
        <v>2216</v>
      </c>
      <c r="B2210">
        <v>54065</v>
      </c>
      <c r="C2210">
        <v>7896423471564</v>
      </c>
      <c r="D2210">
        <v>11.9</v>
      </c>
      <c r="E2210">
        <v>9.73</v>
      </c>
      <c r="F2210" s="3">
        <v>0.16500000000000001</v>
      </c>
      <c r="G2210">
        <v>8.8362999999999996</v>
      </c>
      <c r="H2210">
        <v>35.700000000000003</v>
      </c>
    </row>
    <row r="2211" spans="1:8" x14ac:dyDescent="0.25">
      <c r="A2211" t="s">
        <v>2217</v>
      </c>
      <c r="B2211">
        <v>40804</v>
      </c>
      <c r="C2211">
        <v>7896423419276</v>
      </c>
      <c r="D2211">
        <v>4.99</v>
      </c>
      <c r="E2211">
        <v>3.24</v>
      </c>
      <c r="F2211" s="3">
        <v>0.30760000000000004</v>
      </c>
      <c r="G2211">
        <v>2.9937</v>
      </c>
      <c r="H2211">
        <v>30.433</v>
      </c>
    </row>
    <row r="2212" spans="1:8" x14ac:dyDescent="0.25">
      <c r="A2212" t="s">
        <v>2218</v>
      </c>
      <c r="B2212">
        <v>68215</v>
      </c>
      <c r="C2212">
        <v>7896423442564</v>
      </c>
      <c r="D2212">
        <v>4.99</v>
      </c>
      <c r="E2212">
        <v>3.19</v>
      </c>
      <c r="F2212" s="3">
        <v>0.3196</v>
      </c>
      <c r="G2212">
        <v>2.9336000000000002</v>
      </c>
      <c r="H2212">
        <v>14.9</v>
      </c>
    </row>
    <row r="2213" spans="1:8" x14ac:dyDescent="0.25">
      <c r="A2213" t="s">
        <v>2219</v>
      </c>
      <c r="B2213">
        <v>40785</v>
      </c>
      <c r="C2213">
        <v>7896423469820</v>
      </c>
      <c r="D2213">
        <v>4.54</v>
      </c>
      <c r="E2213">
        <v>3.28</v>
      </c>
      <c r="F2213" s="3">
        <v>0.2457</v>
      </c>
      <c r="G2213">
        <v>3.0057999999999998</v>
      </c>
      <c r="H2213">
        <v>39.933</v>
      </c>
    </row>
    <row r="2214" spans="1:8" x14ac:dyDescent="0.25">
      <c r="A2214" t="s">
        <v>2220</v>
      </c>
      <c r="B2214">
        <v>56826</v>
      </c>
      <c r="C2214">
        <v>7896423406108</v>
      </c>
      <c r="D2214">
        <v>6.99</v>
      </c>
      <c r="E2214">
        <v>5.4</v>
      </c>
      <c r="F2214" s="3">
        <v>0.2051</v>
      </c>
      <c r="G2214">
        <v>4.9099000000000004</v>
      </c>
      <c r="H2214">
        <v>10.733000000000001</v>
      </c>
    </row>
    <row r="2215" spans="1:8" x14ac:dyDescent="0.25">
      <c r="A2215" t="s">
        <v>2221</v>
      </c>
      <c r="B2215">
        <v>56820</v>
      </c>
      <c r="C2215">
        <v>7896423406078</v>
      </c>
      <c r="D2215">
        <v>6.71</v>
      </c>
      <c r="E2215">
        <v>5.25</v>
      </c>
      <c r="F2215" s="3">
        <v>0.19440000000000002</v>
      </c>
      <c r="G2215">
        <v>4.7866999999999997</v>
      </c>
      <c r="H2215">
        <v>18.033000000000001</v>
      </c>
    </row>
    <row r="2216" spans="1:8" x14ac:dyDescent="0.25">
      <c r="A2216" t="s">
        <v>2222</v>
      </c>
      <c r="B2216">
        <v>40784</v>
      </c>
      <c r="C2216">
        <v>7896423470697</v>
      </c>
      <c r="D2216">
        <v>4.99</v>
      </c>
      <c r="E2216">
        <v>3.27</v>
      </c>
      <c r="F2216" s="3">
        <v>0.30969999999999998</v>
      </c>
      <c r="G2216">
        <v>2.9832000000000001</v>
      </c>
      <c r="H2216">
        <v>39.966999999999999</v>
      </c>
    </row>
    <row r="2217" spans="1:8" x14ac:dyDescent="0.25">
      <c r="A2217" t="s">
        <v>2223</v>
      </c>
      <c r="B2217">
        <v>61439</v>
      </c>
      <c r="C2217">
        <v>7896423402223</v>
      </c>
      <c r="D2217">
        <v>11.9</v>
      </c>
      <c r="E2217">
        <v>9.76</v>
      </c>
      <c r="F2217" s="3">
        <v>0.16260000000000002</v>
      </c>
      <c r="G2217">
        <v>8.8645999999999994</v>
      </c>
      <c r="H2217">
        <v>6.8</v>
      </c>
    </row>
    <row r="2218" spans="1:8" x14ac:dyDescent="0.25">
      <c r="A2218" t="s">
        <v>2224</v>
      </c>
      <c r="B2218">
        <v>58843</v>
      </c>
      <c r="C2218">
        <v>7896423401066</v>
      </c>
      <c r="D2218">
        <v>4.99</v>
      </c>
      <c r="E2218">
        <v>3.24</v>
      </c>
      <c r="F2218" s="3">
        <v>0.31209999999999999</v>
      </c>
      <c r="G2218">
        <v>2.9712000000000001</v>
      </c>
      <c r="H2218">
        <v>7.2329999999999997</v>
      </c>
    </row>
    <row r="2219" spans="1:8" x14ac:dyDescent="0.25">
      <c r="A2219" t="s">
        <v>2225</v>
      </c>
      <c r="B2219">
        <v>65232</v>
      </c>
      <c r="C2219">
        <v>7898996113520</v>
      </c>
      <c r="D2219">
        <v>25.14</v>
      </c>
      <c r="E2219">
        <v>22.19</v>
      </c>
      <c r="F2219" s="3">
        <v>0.1066</v>
      </c>
      <c r="G2219">
        <v>20.137</v>
      </c>
      <c r="H2219">
        <v>0</v>
      </c>
    </row>
    <row r="2220" spans="1:8" x14ac:dyDescent="0.25">
      <c r="A2220" t="s">
        <v>2226</v>
      </c>
      <c r="B2220">
        <v>65233</v>
      </c>
      <c r="C2220">
        <v>7898996113537</v>
      </c>
      <c r="D2220">
        <v>27.61</v>
      </c>
      <c r="E2220">
        <v>23.44</v>
      </c>
      <c r="F2220" s="3">
        <v>0.13730000000000001</v>
      </c>
      <c r="G2220">
        <v>21.2684</v>
      </c>
      <c r="H2220">
        <v>0.3</v>
      </c>
    </row>
    <row r="2221" spans="1:8" x14ac:dyDescent="0.25">
      <c r="A2221" t="s">
        <v>2227</v>
      </c>
      <c r="B2221">
        <v>65230</v>
      </c>
      <c r="C2221">
        <v>7898996113506</v>
      </c>
      <c r="D2221">
        <v>29.9</v>
      </c>
      <c r="E2221">
        <v>22.46</v>
      </c>
      <c r="F2221" s="3">
        <v>0.22570000000000001</v>
      </c>
      <c r="G2221">
        <v>20.386900000000001</v>
      </c>
      <c r="H2221">
        <v>0</v>
      </c>
    </row>
    <row r="2222" spans="1:8" x14ac:dyDescent="0.25">
      <c r="A2222" t="s">
        <v>2228</v>
      </c>
      <c r="B2222">
        <v>65231</v>
      </c>
      <c r="C2222">
        <v>7898996113513</v>
      </c>
      <c r="D2222">
        <v>29.9</v>
      </c>
      <c r="E2222">
        <v>22.42</v>
      </c>
      <c r="F2222" s="3">
        <v>0.2271</v>
      </c>
      <c r="G2222">
        <v>20.3446</v>
      </c>
      <c r="H2222">
        <v>0.2</v>
      </c>
    </row>
    <row r="2223" spans="1:8" x14ac:dyDescent="0.25">
      <c r="A2223" t="s">
        <v>2229</v>
      </c>
      <c r="B2223">
        <v>67757</v>
      </c>
      <c r="C2223">
        <v>7898950738356</v>
      </c>
      <c r="D2223">
        <v>12.9</v>
      </c>
      <c r="E2223">
        <v>7.16</v>
      </c>
      <c r="F2223" s="3">
        <v>0.40369999999999995</v>
      </c>
      <c r="G2223">
        <v>6.4984000000000002</v>
      </c>
      <c r="H2223">
        <v>0.13300000000000001</v>
      </c>
    </row>
    <row r="2224" spans="1:8" x14ac:dyDescent="0.25">
      <c r="A2224" t="s">
        <v>2230</v>
      </c>
      <c r="B2224">
        <v>65317</v>
      </c>
      <c r="C2224">
        <v>7898606180874</v>
      </c>
      <c r="D2224">
        <v>22.9</v>
      </c>
      <c r="E2224">
        <v>16.61</v>
      </c>
      <c r="F2224" s="3">
        <v>0.247</v>
      </c>
      <c r="G2224">
        <v>15.1257</v>
      </c>
      <c r="H2224">
        <v>0.23300000000000001</v>
      </c>
    </row>
    <row r="2225" spans="1:8" x14ac:dyDescent="0.25">
      <c r="A2225" t="s">
        <v>2231</v>
      </c>
      <c r="B2225">
        <v>65319</v>
      </c>
      <c r="C2225">
        <v>7898606180270</v>
      </c>
      <c r="D2225">
        <v>12.9</v>
      </c>
      <c r="E2225">
        <v>20.260000000000002</v>
      </c>
      <c r="F2225" s="3">
        <v>-0.51749999999999996</v>
      </c>
      <c r="G2225">
        <v>18.382000000000001</v>
      </c>
      <c r="H2225">
        <v>0.2</v>
      </c>
    </row>
    <row r="2226" spans="1:8" x14ac:dyDescent="0.25">
      <c r="A2226" t="s">
        <v>2232</v>
      </c>
      <c r="B2226">
        <v>65323</v>
      </c>
      <c r="C2226">
        <v>7898950738370</v>
      </c>
      <c r="D2226">
        <v>22.9</v>
      </c>
      <c r="E2226">
        <v>19.059999999999999</v>
      </c>
      <c r="F2226" s="3">
        <v>0.1522</v>
      </c>
      <c r="G2226">
        <v>17.2956</v>
      </c>
      <c r="H2226">
        <v>0.53300000000000003</v>
      </c>
    </row>
    <row r="2227" spans="1:8" x14ac:dyDescent="0.25">
      <c r="A2227" t="s">
        <v>2233</v>
      </c>
      <c r="B2227">
        <v>65324</v>
      </c>
      <c r="C2227">
        <v>7898606181222</v>
      </c>
      <c r="D2227">
        <v>22.9</v>
      </c>
      <c r="E2227">
        <v>19.510000000000002</v>
      </c>
      <c r="F2227" s="3">
        <v>0.1343</v>
      </c>
      <c r="G2227">
        <v>17.707000000000001</v>
      </c>
      <c r="H2227">
        <v>0.5</v>
      </c>
    </row>
    <row r="2228" spans="1:8" x14ac:dyDescent="0.25">
      <c r="A2228" t="s">
        <v>2234</v>
      </c>
      <c r="B2228">
        <v>65329</v>
      </c>
      <c r="C2228">
        <v>7898606180553</v>
      </c>
      <c r="D2228">
        <v>14.87</v>
      </c>
      <c r="E2228">
        <v>12.86</v>
      </c>
      <c r="F2228" s="3">
        <v>0.1244</v>
      </c>
      <c r="G2228">
        <v>11.641299999999999</v>
      </c>
      <c r="H2228">
        <v>3.5329999999999999</v>
      </c>
    </row>
    <row r="2229" spans="1:8" x14ac:dyDescent="0.25">
      <c r="A2229" t="s">
        <v>2235</v>
      </c>
      <c r="B2229">
        <v>65328</v>
      </c>
      <c r="C2229">
        <v>7898606180577</v>
      </c>
      <c r="D2229">
        <v>14.74</v>
      </c>
      <c r="E2229">
        <v>13.19</v>
      </c>
      <c r="F2229" s="3">
        <v>9.5199999999999993E-2</v>
      </c>
      <c r="G2229">
        <v>11.9733</v>
      </c>
      <c r="H2229">
        <v>0.73299999999999998</v>
      </c>
    </row>
    <row r="2230" spans="1:8" x14ac:dyDescent="0.25">
      <c r="A2230" t="s">
        <v>2236</v>
      </c>
      <c r="B2230">
        <v>22121</v>
      </c>
      <c r="C2230">
        <v>7622210999221</v>
      </c>
      <c r="D2230">
        <v>13.9</v>
      </c>
      <c r="E2230">
        <v>10.7</v>
      </c>
      <c r="F2230" s="3">
        <v>0.2082</v>
      </c>
      <c r="G2230">
        <v>9.7208000000000006</v>
      </c>
      <c r="H2230">
        <v>64.433000000000007</v>
      </c>
    </row>
    <row r="2231" spans="1:8" x14ac:dyDescent="0.25">
      <c r="A2231" t="s">
        <v>2237</v>
      </c>
      <c r="B2231">
        <v>35722</v>
      </c>
      <c r="C2231">
        <v>7622210371706</v>
      </c>
      <c r="D2231">
        <v>13.9</v>
      </c>
      <c r="E2231">
        <v>10.54</v>
      </c>
      <c r="F2231" s="3">
        <v>0.23269999999999999</v>
      </c>
      <c r="G2231">
        <v>9.3793000000000006</v>
      </c>
      <c r="H2231">
        <v>14.2</v>
      </c>
    </row>
    <row r="2232" spans="1:8" x14ac:dyDescent="0.25">
      <c r="A2232" t="s">
        <v>2238</v>
      </c>
      <c r="B2232">
        <v>22119</v>
      </c>
      <c r="C2232">
        <v>7622201050757</v>
      </c>
      <c r="D2232">
        <v>13.68</v>
      </c>
      <c r="E2232">
        <v>10.54</v>
      </c>
      <c r="F2232" s="3">
        <v>0.20989999999999998</v>
      </c>
      <c r="G2232">
        <v>9.5458999999999996</v>
      </c>
      <c r="H2232">
        <v>17.100000000000001</v>
      </c>
    </row>
    <row r="2233" spans="1:8" x14ac:dyDescent="0.25">
      <c r="A2233" t="s">
        <v>2239</v>
      </c>
      <c r="B2233">
        <v>35690</v>
      </c>
      <c r="C2233">
        <v>7622300674595</v>
      </c>
      <c r="D2233">
        <v>13.9</v>
      </c>
      <c r="E2233">
        <v>11.15</v>
      </c>
      <c r="F2233" s="3">
        <v>0.17949999999999999</v>
      </c>
      <c r="G2233">
        <v>10.118600000000001</v>
      </c>
      <c r="H2233">
        <v>8.1</v>
      </c>
    </row>
    <row r="2234" spans="1:8" x14ac:dyDescent="0.25">
      <c r="A2234" t="s">
        <v>2240</v>
      </c>
      <c r="B2234">
        <v>35688</v>
      </c>
      <c r="C2234">
        <v>7622210442086</v>
      </c>
      <c r="D2234">
        <v>13.67</v>
      </c>
      <c r="E2234">
        <v>10.24</v>
      </c>
      <c r="F2234" s="3">
        <v>0.22500000000000001</v>
      </c>
      <c r="G2234">
        <v>9.3265999999999991</v>
      </c>
      <c r="H2234">
        <v>4.7329999999999997</v>
      </c>
    </row>
    <row r="2235" spans="1:8" x14ac:dyDescent="0.25">
      <c r="A2235" t="s">
        <v>2241</v>
      </c>
      <c r="B2235">
        <v>35726</v>
      </c>
      <c r="C2235">
        <v>7622300185015</v>
      </c>
      <c r="D2235">
        <v>13.9</v>
      </c>
      <c r="E2235">
        <v>10.53</v>
      </c>
      <c r="F2235" s="3">
        <v>0.21559999999999999</v>
      </c>
      <c r="G2235">
        <v>9.6178000000000008</v>
      </c>
      <c r="H2235">
        <v>9.9329999999999998</v>
      </c>
    </row>
    <row r="2236" spans="1:8" x14ac:dyDescent="0.25">
      <c r="A2236" t="s">
        <v>2242</v>
      </c>
      <c r="B2236">
        <v>35689</v>
      </c>
      <c r="C2236">
        <v>4025700001023</v>
      </c>
      <c r="D2236">
        <v>13.38</v>
      </c>
      <c r="E2236">
        <v>10.54</v>
      </c>
      <c r="F2236" s="3">
        <v>0.17949999999999999</v>
      </c>
      <c r="G2236">
        <v>9.7431000000000001</v>
      </c>
      <c r="H2236">
        <v>37.966999999999999</v>
      </c>
    </row>
    <row r="2237" spans="1:8" x14ac:dyDescent="0.25">
      <c r="A2237" t="s">
        <v>2243</v>
      </c>
      <c r="B2237">
        <v>35687</v>
      </c>
      <c r="C2237">
        <v>7622300617820</v>
      </c>
      <c r="D2237">
        <v>13.9</v>
      </c>
      <c r="E2237">
        <v>10.38</v>
      </c>
      <c r="F2237" s="3">
        <v>0.21820000000000001</v>
      </c>
      <c r="G2237">
        <v>9.5815999999999999</v>
      </c>
      <c r="H2237">
        <v>37.466999999999999</v>
      </c>
    </row>
    <row r="2238" spans="1:8" x14ac:dyDescent="0.25">
      <c r="A2238" t="s">
        <v>2244</v>
      </c>
      <c r="B2238">
        <v>57801</v>
      </c>
      <c r="C2238">
        <v>7622210956163</v>
      </c>
      <c r="D2238">
        <v>13.9</v>
      </c>
      <c r="E2238">
        <v>10.33</v>
      </c>
      <c r="F2238" s="3">
        <v>0.22010000000000002</v>
      </c>
      <c r="G2238">
        <v>9.5545000000000009</v>
      </c>
      <c r="H2238">
        <v>19.966999999999999</v>
      </c>
    </row>
    <row r="2239" spans="1:8" x14ac:dyDescent="0.25">
      <c r="A2239" t="s">
        <v>2245</v>
      </c>
      <c r="B2239">
        <v>43955</v>
      </c>
      <c r="C2239">
        <v>3045140280902</v>
      </c>
      <c r="D2239">
        <v>13.88</v>
      </c>
      <c r="E2239">
        <v>10.59</v>
      </c>
      <c r="F2239" s="3">
        <v>0.2097</v>
      </c>
      <c r="G2239">
        <v>9.6859999999999999</v>
      </c>
      <c r="H2239">
        <v>15.032999999999999</v>
      </c>
    </row>
    <row r="2240" spans="1:8" x14ac:dyDescent="0.25">
      <c r="A2240" t="s">
        <v>2246</v>
      </c>
      <c r="B2240">
        <v>55101</v>
      </c>
      <c r="C2240">
        <v>7622300590062</v>
      </c>
      <c r="D2240">
        <v>13.82</v>
      </c>
      <c r="E2240">
        <v>10.81</v>
      </c>
      <c r="F2240" s="3">
        <v>0.19670000000000001</v>
      </c>
      <c r="G2240">
        <v>9.8213000000000008</v>
      </c>
      <c r="H2240">
        <v>13.5</v>
      </c>
    </row>
    <row r="2241" spans="1:8" x14ac:dyDescent="0.25">
      <c r="A2241" t="s">
        <v>2247</v>
      </c>
      <c r="B2241">
        <v>35686</v>
      </c>
      <c r="C2241">
        <v>7622300498429</v>
      </c>
      <c r="D2241">
        <v>13.9</v>
      </c>
      <c r="E2241">
        <v>11.03</v>
      </c>
      <c r="F2241" s="3">
        <v>0.18609999999999999</v>
      </c>
      <c r="G2241">
        <v>10.0282</v>
      </c>
      <c r="H2241">
        <v>23.2</v>
      </c>
    </row>
    <row r="2242" spans="1:8" x14ac:dyDescent="0.25">
      <c r="A2242" t="s">
        <v>2248</v>
      </c>
      <c r="B2242">
        <v>57779</v>
      </c>
      <c r="C2242">
        <v>7622210597380</v>
      </c>
      <c r="D2242">
        <v>29.9</v>
      </c>
      <c r="E2242">
        <v>21.85</v>
      </c>
      <c r="F2242" s="3">
        <v>0.25940000000000002</v>
      </c>
      <c r="G2242">
        <v>19.378900000000002</v>
      </c>
      <c r="H2242">
        <v>2.4670000000000001</v>
      </c>
    </row>
    <row r="2243" spans="1:8" x14ac:dyDescent="0.25">
      <c r="A2243" t="s">
        <v>2249</v>
      </c>
      <c r="B2243">
        <v>69337</v>
      </c>
      <c r="C2243">
        <v>7622210598011</v>
      </c>
      <c r="D2243">
        <v>29.9</v>
      </c>
      <c r="E2243">
        <v>22.97</v>
      </c>
      <c r="F2243" s="3">
        <v>0.21030000000000001</v>
      </c>
      <c r="G2243">
        <v>20.845300000000002</v>
      </c>
      <c r="H2243">
        <v>1.6439999999999999</v>
      </c>
    </row>
    <row r="2244" spans="1:8" x14ac:dyDescent="0.25">
      <c r="A2244" t="s">
        <v>2250</v>
      </c>
      <c r="B2244">
        <v>35727</v>
      </c>
      <c r="C2244">
        <v>7622300292508</v>
      </c>
      <c r="D2244">
        <v>28.9</v>
      </c>
      <c r="E2244">
        <v>15.08</v>
      </c>
      <c r="F2244" s="3">
        <v>0.434</v>
      </c>
      <c r="G2244">
        <v>13.6851</v>
      </c>
      <c r="H2244">
        <v>1.8</v>
      </c>
    </row>
    <row r="2245" spans="1:8" x14ac:dyDescent="0.25">
      <c r="A2245" t="s">
        <v>2251</v>
      </c>
      <c r="B2245">
        <v>35691</v>
      </c>
      <c r="C2245">
        <v>7622300200237</v>
      </c>
      <c r="D2245">
        <v>36.9</v>
      </c>
      <c r="E2245">
        <v>29.13</v>
      </c>
      <c r="F2245" s="3">
        <v>0.18530000000000002</v>
      </c>
      <c r="G2245">
        <v>26.648299999999999</v>
      </c>
      <c r="H2245">
        <v>6.2</v>
      </c>
    </row>
    <row r="2246" spans="1:8" x14ac:dyDescent="0.25">
      <c r="A2246" t="s">
        <v>2252</v>
      </c>
      <c r="B2246">
        <v>35695</v>
      </c>
      <c r="C2246">
        <v>7622400717055</v>
      </c>
      <c r="D2246">
        <v>36.9</v>
      </c>
      <c r="E2246">
        <v>29.96</v>
      </c>
      <c r="F2246" s="3">
        <v>0.17069999999999999</v>
      </c>
      <c r="G2246">
        <v>27.188700000000001</v>
      </c>
      <c r="H2246">
        <v>1.367</v>
      </c>
    </row>
    <row r="2247" spans="1:8" x14ac:dyDescent="0.25">
      <c r="A2247" t="s">
        <v>2253</v>
      </c>
      <c r="B2247">
        <v>35692</v>
      </c>
      <c r="C2247">
        <v>7622210384362</v>
      </c>
      <c r="D2247">
        <v>36.9</v>
      </c>
      <c r="E2247">
        <v>28.52</v>
      </c>
      <c r="F2247" s="3">
        <v>0.1968</v>
      </c>
      <c r="G2247">
        <v>26.2258</v>
      </c>
      <c r="H2247">
        <v>2.867</v>
      </c>
    </row>
    <row r="2248" spans="1:8" x14ac:dyDescent="0.25">
      <c r="A2248" t="s">
        <v>2254</v>
      </c>
      <c r="B2248">
        <v>57781</v>
      </c>
      <c r="C2248">
        <v>7622300313357</v>
      </c>
      <c r="D2248">
        <v>36.9</v>
      </c>
      <c r="E2248">
        <v>29.76</v>
      </c>
      <c r="F2248" s="3">
        <v>0.17600000000000002</v>
      </c>
      <c r="G2248">
        <v>26.992599999999999</v>
      </c>
      <c r="H2248">
        <v>4</v>
      </c>
    </row>
    <row r="2249" spans="1:8" x14ac:dyDescent="0.25">
      <c r="A2249" t="s">
        <v>2255</v>
      </c>
      <c r="B2249">
        <v>35721</v>
      </c>
      <c r="C2249">
        <v>7622210371638</v>
      </c>
      <c r="D2249">
        <v>14.9</v>
      </c>
      <c r="E2249">
        <v>10.68</v>
      </c>
      <c r="F2249" s="3">
        <v>0.2576</v>
      </c>
      <c r="G2249">
        <v>9.6839999999999993</v>
      </c>
      <c r="H2249">
        <v>15.833</v>
      </c>
    </row>
    <row r="2250" spans="1:8" x14ac:dyDescent="0.25">
      <c r="A2250" t="s">
        <v>2256</v>
      </c>
      <c r="B2250">
        <v>57789</v>
      </c>
      <c r="C2250">
        <v>7622210615084</v>
      </c>
      <c r="D2250">
        <v>14.9</v>
      </c>
      <c r="E2250">
        <v>9.61</v>
      </c>
      <c r="F2250" s="3">
        <v>0.32229999999999998</v>
      </c>
      <c r="G2250">
        <v>8.7200000000000006</v>
      </c>
      <c r="H2250">
        <v>3.4</v>
      </c>
    </row>
    <row r="2251" spans="1:8" x14ac:dyDescent="0.25">
      <c r="A2251" t="s">
        <v>2257</v>
      </c>
      <c r="B2251">
        <v>57791</v>
      </c>
      <c r="C2251">
        <v>7622210999658</v>
      </c>
      <c r="D2251">
        <v>14.65</v>
      </c>
      <c r="E2251">
        <v>10.85</v>
      </c>
      <c r="F2251" s="3">
        <v>0.2334</v>
      </c>
      <c r="G2251">
        <v>9.8793000000000006</v>
      </c>
      <c r="H2251">
        <v>23.933</v>
      </c>
    </row>
    <row r="2252" spans="1:8" x14ac:dyDescent="0.25">
      <c r="A2252" t="s">
        <v>2258</v>
      </c>
      <c r="B2252">
        <v>22118</v>
      </c>
      <c r="C2252">
        <v>7622400005190</v>
      </c>
      <c r="D2252">
        <v>13.9</v>
      </c>
      <c r="E2252">
        <v>10.59</v>
      </c>
      <c r="F2252" s="3">
        <v>0.22239999999999999</v>
      </c>
      <c r="G2252">
        <v>9.5223999999999993</v>
      </c>
      <c r="H2252">
        <v>14.032999999999999</v>
      </c>
    </row>
    <row r="2253" spans="1:8" x14ac:dyDescent="0.25">
      <c r="A2253" t="s">
        <v>2259</v>
      </c>
      <c r="B2253">
        <v>40891</v>
      </c>
      <c r="C2253">
        <v>7622300108137</v>
      </c>
      <c r="D2253">
        <v>14.9</v>
      </c>
      <c r="E2253">
        <v>11.48</v>
      </c>
      <c r="F2253" s="3">
        <v>0.20809999999999998</v>
      </c>
      <c r="G2253">
        <v>10.420400000000001</v>
      </c>
      <c r="H2253">
        <v>5.2670000000000003</v>
      </c>
    </row>
    <row r="2254" spans="1:8" x14ac:dyDescent="0.25">
      <c r="A2254" t="s">
        <v>2260</v>
      </c>
      <c r="B2254">
        <v>55602</v>
      </c>
      <c r="C2254">
        <v>7891000258507</v>
      </c>
      <c r="D2254">
        <v>9.9</v>
      </c>
      <c r="E2254">
        <v>8.09</v>
      </c>
      <c r="F2254" s="3">
        <v>0.18239999999999998</v>
      </c>
      <c r="G2254">
        <v>7.1783999999999999</v>
      </c>
      <c r="H2254">
        <v>7.6669999999999998</v>
      </c>
    </row>
    <row r="2255" spans="1:8" x14ac:dyDescent="0.25">
      <c r="A2255" t="s">
        <v>2261</v>
      </c>
      <c r="B2255">
        <v>55600</v>
      </c>
      <c r="C2255">
        <v>7891000258460</v>
      </c>
      <c r="D2255">
        <v>9.9</v>
      </c>
      <c r="E2255">
        <v>7.89</v>
      </c>
      <c r="F2255" s="3">
        <v>0.18170000000000003</v>
      </c>
      <c r="G2255">
        <v>7.1856</v>
      </c>
      <c r="H2255">
        <v>16.2</v>
      </c>
    </row>
    <row r="2256" spans="1:8" x14ac:dyDescent="0.25">
      <c r="A2256" t="s">
        <v>2262</v>
      </c>
      <c r="B2256">
        <v>55601</v>
      </c>
      <c r="C2256">
        <v>7891000258484</v>
      </c>
      <c r="D2256">
        <v>10.9</v>
      </c>
      <c r="E2256">
        <v>7.73</v>
      </c>
      <c r="F2256" s="3">
        <v>0.2631</v>
      </c>
      <c r="G2256">
        <v>7.0237999999999996</v>
      </c>
      <c r="H2256">
        <v>4.7329999999999997</v>
      </c>
    </row>
    <row r="2257" spans="1:8" x14ac:dyDescent="0.25">
      <c r="A2257" t="s">
        <v>2263</v>
      </c>
      <c r="B2257">
        <v>55867</v>
      </c>
      <c r="C2257">
        <v>7891000259818</v>
      </c>
      <c r="D2257">
        <v>44.9</v>
      </c>
      <c r="E2257">
        <v>38.950000000000003</v>
      </c>
      <c r="F2257" s="3">
        <v>0.11550000000000001</v>
      </c>
      <c r="G2257">
        <v>35.561</v>
      </c>
      <c r="H2257">
        <v>1.5669999999999999</v>
      </c>
    </row>
    <row r="2258" spans="1:8" x14ac:dyDescent="0.25">
      <c r="A2258" t="s">
        <v>2264</v>
      </c>
      <c r="B2258">
        <v>52061</v>
      </c>
      <c r="C2258">
        <v>7891000067253</v>
      </c>
      <c r="D2258">
        <v>22.9</v>
      </c>
      <c r="E2258">
        <v>18.11</v>
      </c>
      <c r="F2258" s="3">
        <v>0.1857</v>
      </c>
      <c r="G2258">
        <v>16.529800000000002</v>
      </c>
      <c r="H2258">
        <v>24.233000000000001</v>
      </c>
    </row>
    <row r="2259" spans="1:8" x14ac:dyDescent="0.25">
      <c r="A2259" t="s">
        <v>2265</v>
      </c>
      <c r="B2259">
        <v>3970</v>
      </c>
      <c r="C2259">
        <v>7891000336373</v>
      </c>
      <c r="D2259">
        <v>6.99</v>
      </c>
      <c r="E2259">
        <v>5.83</v>
      </c>
      <c r="F2259" s="3">
        <v>0.14800000000000002</v>
      </c>
      <c r="G2259">
        <v>5.3090999999999999</v>
      </c>
      <c r="H2259">
        <v>158.36699999999999</v>
      </c>
    </row>
    <row r="2260" spans="1:8" x14ac:dyDescent="0.25">
      <c r="A2260" t="s">
        <v>2266</v>
      </c>
      <c r="B2260">
        <v>33044</v>
      </c>
      <c r="C2260">
        <v>7891000336311</v>
      </c>
      <c r="D2260">
        <v>6.99</v>
      </c>
      <c r="E2260">
        <v>5.45</v>
      </c>
      <c r="F2260" s="3">
        <v>0.19989999999999999</v>
      </c>
      <c r="G2260">
        <v>4.9459</v>
      </c>
      <c r="H2260">
        <v>4.1669999999999998</v>
      </c>
    </row>
    <row r="2261" spans="1:8" x14ac:dyDescent="0.25">
      <c r="A2261" t="s">
        <v>2267</v>
      </c>
      <c r="B2261">
        <v>64372</v>
      </c>
      <c r="C2261">
        <v>7891000377642</v>
      </c>
      <c r="D2261">
        <v>8.9</v>
      </c>
      <c r="E2261">
        <v>6.41</v>
      </c>
      <c r="F2261" s="3">
        <v>0.25390000000000001</v>
      </c>
      <c r="G2261">
        <v>5.8167</v>
      </c>
      <c r="H2261">
        <v>26.4</v>
      </c>
    </row>
    <row r="2262" spans="1:8" x14ac:dyDescent="0.25">
      <c r="A2262" t="s">
        <v>2268</v>
      </c>
      <c r="B2262">
        <v>64371</v>
      </c>
      <c r="C2262">
        <v>7891000377543</v>
      </c>
      <c r="D2262">
        <v>8.9</v>
      </c>
      <c r="E2262">
        <v>6.56</v>
      </c>
      <c r="F2262" s="3">
        <v>0.24710000000000001</v>
      </c>
      <c r="G2262">
        <v>5.8777999999999997</v>
      </c>
      <c r="H2262">
        <v>43.9</v>
      </c>
    </row>
    <row r="2263" spans="1:8" x14ac:dyDescent="0.25">
      <c r="A2263" t="s">
        <v>2269</v>
      </c>
      <c r="B2263">
        <v>69529</v>
      </c>
      <c r="C2263">
        <v>7891000422083</v>
      </c>
      <c r="D2263">
        <v>8.9</v>
      </c>
      <c r="E2263">
        <v>6.62</v>
      </c>
      <c r="F2263" s="3">
        <v>0.23260000000000003</v>
      </c>
      <c r="G2263">
        <v>6.0064000000000002</v>
      </c>
      <c r="H2263">
        <v>32.715000000000003</v>
      </c>
    </row>
    <row r="2264" spans="1:8" x14ac:dyDescent="0.25">
      <c r="A2264" t="s">
        <v>2270</v>
      </c>
      <c r="B2264">
        <v>64373</v>
      </c>
      <c r="C2264">
        <v>7891000377598</v>
      </c>
      <c r="D2264">
        <v>8.9</v>
      </c>
      <c r="E2264">
        <v>5.47</v>
      </c>
      <c r="F2264" s="3">
        <v>0.31819999999999998</v>
      </c>
      <c r="G2264">
        <v>5.2450999999999999</v>
      </c>
      <c r="H2264">
        <v>39.366999999999997</v>
      </c>
    </row>
    <row r="2265" spans="1:8" x14ac:dyDescent="0.25">
      <c r="A2265" t="s">
        <v>2271</v>
      </c>
      <c r="B2265">
        <v>62622</v>
      </c>
      <c r="C2265">
        <v>7891000358887</v>
      </c>
      <c r="D2265">
        <v>11.9</v>
      </c>
      <c r="E2265">
        <v>9.58</v>
      </c>
      <c r="F2265" s="3">
        <v>0.17699999999999999</v>
      </c>
      <c r="G2265">
        <v>8.6928000000000001</v>
      </c>
      <c r="H2265">
        <v>2.4329999999999998</v>
      </c>
    </row>
    <row r="2266" spans="1:8" x14ac:dyDescent="0.25">
      <c r="A2266" t="s">
        <v>2272</v>
      </c>
      <c r="B2266">
        <v>62621</v>
      </c>
      <c r="C2266">
        <v>7891000361214</v>
      </c>
      <c r="D2266">
        <v>11.9</v>
      </c>
      <c r="E2266">
        <v>8.98</v>
      </c>
      <c r="F2266" s="3">
        <v>0.2132</v>
      </c>
      <c r="G2266">
        <v>8.2624999999999993</v>
      </c>
      <c r="H2266">
        <v>55.966999999999999</v>
      </c>
    </row>
    <row r="2267" spans="1:8" x14ac:dyDescent="0.25">
      <c r="A2267" t="s">
        <v>2273</v>
      </c>
      <c r="B2267">
        <v>62623</v>
      </c>
      <c r="C2267">
        <v>7891000359006</v>
      </c>
      <c r="D2267">
        <v>11.9</v>
      </c>
      <c r="E2267">
        <v>9.42</v>
      </c>
      <c r="F2267" s="3">
        <v>0.19109999999999999</v>
      </c>
      <c r="G2267">
        <v>8.5248000000000008</v>
      </c>
      <c r="H2267">
        <v>10.067</v>
      </c>
    </row>
    <row r="2268" spans="1:8" x14ac:dyDescent="0.25">
      <c r="A2268" t="s">
        <v>2274</v>
      </c>
      <c r="B2268">
        <v>3983</v>
      </c>
      <c r="C2268">
        <v>7891000369098</v>
      </c>
      <c r="D2268">
        <v>6.99</v>
      </c>
      <c r="E2268">
        <v>5.31</v>
      </c>
      <c r="F2268" s="3">
        <v>0.19899999999999998</v>
      </c>
      <c r="G2268">
        <v>4.9522000000000004</v>
      </c>
      <c r="H2268">
        <v>103</v>
      </c>
    </row>
    <row r="2269" spans="1:8" x14ac:dyDescent="0.25">
      <c r="A2269" t="s">
        <v>2275</v>
      </c>
      <c r="B2269">
        <v>4003</v>
      </c>
      <c r="C2269">
        <v>7891000368893</v>
      </c>
      <c r="D2269">
        <v>6.99</v>
      </c>
      <c r="E2269">
        <v>6.35</v>
      </c>
      <c r="F2269" s="3">
        <v>8.3400000000000002E-2</v>
      </c>
      <c r="G2269">
        <v>5.7603999999999997</v>
      </c>
      <c r="H2269">
        <v>8.0329999999999995</v>
      </c>
    </row>
    <row r="2270" spans="1:8" x14ac:dyDescent="0.25">
      <c r="A2270" t="s">
        <v>2276</v>
      </c>
      <c r="B2270">
        <v>3981</v>
      </c>
      <c r="C2270">
        <v>7891000368992</v>
      </c>
      <c r="D2270">
        <v>6.99</v>
      </c>
      <c r="E2270">
        <v>7.14</v>
      </c>
      <c r="F2270" s="3">
        <v>-6.4000000000000003E-3</v>
      </c>
      <c r="G2270">
        <v>6.3884999999999996</v>
      </c>
      <c r="H2270">
        <v>12.6</v>
      </c>
    </row>
    <row r="2271" spans="1:8" x14ac:dyDescent="0.25">
      <c r="A2271" t="s">
        <v>2277</v>
      </c>
      <c r="B2271">
        <v>3985</v>
      </c>
      <c r="C2271">
        <v>7891000368572</v>
      </c>
      <c r="D2271">
        <v>6.99</v>
      </c>
      <c r="E2271">
        <v>5.65</v>
      </c>
      <c r="F2271" s="3">
        <v>0.15740000000000001</v>
      </c>
      <c r="G2271">
        <v>5.2431000000000001</v>
      </c>
      <c r="H2271">
        <v>91.167000000000002</v>
      </c>
    </row>
    <row r="2272" spans="1:8" x14ac:dyDescent="0.25">
      <c r="A2272" t="s">
        <v>2278</v>
      </c>
      <c r="B2272">
        <v>51881</v>
      </c>
      <c r="C2272">
        <v>7891000368947</v>
      </c>
      <c r="D2272">
        <v>6.99</v>
      </c>
      <c r="E2272">
        <v>6.32</v>
      </c>
      <c r="F2272" s="3">
        <v>0.1007</v>
      </c>
      <c r="G2272">
        <v>5.6391999999999998</v>
      </c>
      <c r="H2272">
        <v>17.832999999999998</v>
      </c>
    </row>
    <row r="2273" spans="1:8" x14ac:dyDescent="0.25">
      <c r="A2273" t="s">
        <v>2279</v>
      </c>
      <c r="B2273">
        <v>3990</v>
      </c>
      <c r="C2273">
        <v>7891000369371</v>
      </c>
      <c r="D2273">
        <v>7.9</v>
      </c>
      <c r="E2273">
        <v>5.26</v>
      </c>
      <c r="F2273" s="3">
        <v>0.30519999999999997</v>
      </c>
      <c r="G2273">
        <v>4.7584999999999997</v>
      </c>
      <c r="H2273">
        <v>49.2</v>
      </c>
    </row>
    <row r="2274" spans="1:8" x14ac:dyDescent="0.25">
      <c r="A2274" t="s">
        <v>2280</v>
      </c>
      <c r="B2274">
        <v>3993</v>
      </c>
      <c r="C2274">
        <v>7891000368626</v>
      </c>
      <c r="D2274">
        <v>7.9</v>
      </c>
      <c r="E2274">
        <v>5.0599999999999996</v>
      </c>
      <c r="F2274" s="3">
        <v>0.33169999999999999</v>
      </c>
      <c r="G2274">
        <v>4.5488</v>
      </c>
      <c r="H2274">
        <v>45.732999999999997</v>
      </c>
    </row>
    <row r="2275" spans="1:8" x14ac:dyDescent="0.25">
      <c r="A2275" t="s">
        <v>2281</v>
      </c>
      <c r="B2275">
        <v>61681</v>
      </c>
      <c r="C2275">
        <v>7891000376072</v>
      </c>
      <c r="D2275">
        <v>17.899999999999999</v>
      </c>
      <c r="E2275">
        <v>16.350000000000001</v>
      </c>
      <c r="F2275" s="3">
        <v>7.7399999999999997E-2</v>
      </c>
      <c r="G2275">
        <v>14.859</v>
      </c>
      <c r="H2275">
        <v>13.855</v>
      </c>
    </row>
    <row r="2276" spans="1:8" x14ac:dyDescent="0.25">
      <c r="A2276" t="s">
        <v>2282</v>
      </c>
      <c r="B2276">
        <v>3959</v>
      </c>
      <c r="C2276">
        <v>7891000248775</v>
      </c>
      <c r="D2276">
        <v>3.99</v>
      </c>
      <c r="E2276">
        <v>2.4</v>
      </c>
      <c r="F2276" s="3">
        <v>0.36119999999999997</v>
      </c>
      <c r="G2276">
        <v>2.1795</v>
      </c>
      <c r="H2276">
        <v>451.96699999999998</v>
      </c>
    </row>
    <row r="2277" spans="1:8" x14ac:dyDescent="0.25">
      <c r="A2277" t="s">
        <v>2283</v>
      </c>
      <c r="B2277">
        <v>44781</v>
      </c>
      <c r="C2277">
        <v>7891000249239</v>
      </c>
      <c r="D2277">
        <v>3.99</v>
      </c>
      <c r="E2277">
        <v>2.5499999999999998</v>
      </c>
      <c r="F2277" s="3">
        <v>0.32100000000000001</v>
      </c>
      <c r="G2277">
        <v>2.3401000000000001</v>
      </c>
      <c r="H2277">
        <v>54.232999999999997</v>
      </c>
    </row>
    <row r="2278" spans="1:8" x14ac:dyDescent="0.25">
      <c r="A2278" t="s">
        <v>2284</v>
      </c>
      <c r="B2278">
        <v>38587</v>
      </c>
      <c r="C2278">
        <v>7891000248829</v>
      </c>
      <c r="D2278">
        <v>3.99</v>
      </c>
      <c r="E2278">
        <v>2.4500000000000002</v>
      </c>
      <c r="F2278" s="3">
        <v>0.33750000000000002</v>
      </c>
      <c r="G2278">
        <v>2.2743000000000002</v>
      </c>
      <c r="H2278">
        <v>37.533000000000001</v>
      </c>
    </row>
    <row r="2279" spans="1:8" x14ac:dyDescent="0.25">
      <c r="A2279" t="s">
        <v>2285</v>
      </c>
      <c r="B2279">
        <v>69521</v>
      </c>
      <c r="C2279">
        <v>7891000412046</v>
      </c>
      <c r="D2279">
        <v>3.99</v>
      </c>
      <c r="E2279">
        <v>2.83</v>
      </c>
      <c r="F2279" s="3">
        <v>0.26329999999999998</v>
      </c>
      <c r="G2279">
        <v>2.5703999999999998</v>
      </c>
      <c r="H2279">
        <v>22.966999999999999</v>
      </c>
    </row>
    <row r="2280" spans="1:8" x14ac:dyDescent="0.25">
      <c r="A2280" t="s">
        <v>2286</v>
      </c>
      <c r="B2280">
        <v>65510</v>
      </c>
      <c r="C2280">
        <v>7891000349724</v>
      </c>
      <c r="D2280">
        <v>3.9</v>
      </c>
      <c r="E2280">
        <v>3.24</v>
      </c>
      <c r="F2280" s="3">
        <v>0.1517</v>
      </c>
      <c r="G2280">
        <v>2.9478</v>
      </c>
      <c r="H2280">
        <v>20.067</v>
      </c>
    </row>
    <row r="2281" spans="1:8" x14ac:dyDescent="0.25">
      <c r="A2281" t="s">
        <v>2287</v>
      </c>
      <c r="B2281">
        <v>65511</v>
      </c>
      <c r="C2281">
        <v>7891000349779</v>
      </c>
      <c r="D2281">
        <v>3.9</v>
      </c>
      <c r="E2281">
        <v>3.27</v>
      </c>
      <c r="F2281" s="3">
        <v>0.14150000000000001</v>
      </c>
      <c r="G2281">
        <v>2.9874000000000001</v>
      </c>
      <c r="H2281">
        <v>19.067</v>
      </c>
    </row>
    <row r="2282" spans="1:8" x14ac:dyDescent="0.25">
      <c r="A2282" t="s">
        <v>2288</v>
      </c>
      <c r="B2282">
        <v>67037</v>
      </c>
      <c r="C2282">
        <v>7891000338285</v>
      </c>
      <c r="D2282">
        <v>8.9</v>
      </c>
      <c r="E2282">
        <v>6.59</v>
      </c>
      <c r="F2282" s="3">
        <v>0.23440000000000003</v>
      </c>
      <c r="G2282">
        <v>5.9907000000000004</v>
      </c>
      <c r="H2282">
        <v>7.2670000000000003</v>
      </c>
    </row>
    <row r="2283" spans="1:8" x14ac:dyDescent="0.25">
      <c r="A2283" t="s">
        <v>2289</v>
      </c>
      <c r="B2283">
        <v>55598</v>
      </c>
      <c r="C2283">
        <v>7891000256152</v>
      </c>
      <c r="D2283">
        <v>9.9</v>
      </c>
      <c r="E2283">
        <v>8.42</v>
      </c>
      <c r="F2283" s="3">
        <v>0.1323</v>
      </c>
      <c r="G2283">
        <v>7.6742999999999997</v>
      </c>
      <c r="H2283">
        <v>15.367000000000001</v>
      </c>
    </row>
    <row r="2284" spans="1:8" x14ac:dyDescent="0.25">
      <c r="A2284" t="s">
        <v>2290</v>
      </c>
      <c r="B2284">
        <v>69519</v>
      </c>
      <c r="C2284">
        <v>7891000401095</v>
      </c>
      <c r="D2284">
        <v>3.99</v>
      </c>
      <c r="E2284">
        <v>2.5499999999999998</v>
      </c>
      <c r="F2284" s="3">
        <v>0.32669999999999999</v>
      </c>
      <c r="G2284">
        <v>2.3176000000000001</v>
      </c>
      <c r="H2284">
        <v>29.7</v>
      </c>
    </row>
    <row r="2285" spans="1:8" x14ac:dyDescent="0.25">
      <c r="A2285" t="s">
        <v>2291</v>
      </c>
      <c r="B2285">
        <v>63106</v>
      </c>
      <c r="C2285">
        <v>7891000370087</v>
      </c>
      <c r="D2285">
        <v>8.49</v>
      </c>
      <c r="E2285">
        <v>5.94</v>
      </c>
      <c r="F2285" s="3">
        <v>0.31509999999999999</v>
      </c>
      <c r="G2285">
        <v>5.0298999999999996</v>
      </c>
      <c r="H2285">
        <v>11.8</v>
      </c>
    </row>
    <row r="2286" spans="1:8" x14ac:dyDescent="0.25">
      <c r="A2286" t="s">
        <v>2292</v>
      </c>
      <c r="B2286">
        <v>24553</v>
      </c>
      <c r="C2286">
        <v>7891000107836</v>
      </c>
      <c r="D2286">
        <v>5.99</v>
      </c>
      <c r="E2286">
        <v>4.26</v>
      </c>
      <c r="F2286" s="3">
        <v>0.2621</v>
      </c>
      <c r="G2286">
        <v>3.8656999999999999</v>
      </c>
      <c r="H2286">
        <v>55.667000000000002</v>
      </c>
    </row>
    <row r="2287" spans="1:8" x14ac:dyDescent="0.25">
      <c r="A2287" t="s">
        <v>2293</v>
      </c>
      <c r="B2287">
        <v>30002</v>
      </c>
      <c r="C2287">
        <v>7891000329856</v>
      </c>
      <c r="D2287">
        <v>6.99</v>
      </c>
      <c r="E2287">
        <v>5.41</v>
      </c>
      <c r="F2287" s="3">
        <v>0.1971</v>
      </c>
      <c r="G2287">
        <v>4.9654999999999996</v>
      </c>
      <c r="H2287">
        <v>101.4</v>
      </c>
    </row>
    <row r="2288" spans="1:8" x14ac:dyDescent="0.25">
      <c r="A2288" t="s">
        <v>2294</v>
      </c>
      <c r="B2288">
        <v>30001</v>
      </c>
      <c r="C2288">
        <v>7891000329665</v>
      </c>
      <c r="D2288">
        <v>6.99</v>
      </c>
      <c r="E2288">
        <v>5.0599999999999996</v>
      </c>
      <c r="F2288" s="3">
        <v>0.25239999999999996</v>
      </c>
      <c r="G2288">
        <v>4.5788000000000002</v>
      </c>
      <c r="H2288">
        <v>45.9</v>
      </c>
    </row>
    <row r="2289" spans="1:8" x14ac:dyDescent="0.25">
      <c r="A2289" t="s">
        <v>2295</v>
      </c>
      <c r="B2289">
        <v>69528</v>
      </c>
      <c r="C2289">
        <v>7891000408490</v>
      </c>
      <c r="D2289">
        <v>3.49</v>
      </c>
      <c r="E2289">
        <v>1.93</v>
      </c>
      <c r="F2289" s="3">
        <v>0.67530000000000001</v>
      </c>
      <c r="G2289">
        <v>0.8105</v>
      </c>
      <c r="H2289">
        <v>56.843000000000004</v>
      </c>
    </row>
    <row r="2290" spans="1:8" x14ac:dyDescent="0.25">
      <c r="A2290" t="s">
        <v>2296</v>
      </c>
      <c r="B2290">
        <v>65333</v>
      </c>
      <c r="C2290">
        <v>7898606180744</v>
      </c>
      <c r="D2290">
        <v>28.9</v>
      </c>
      <c r="E2290">
        <v>18.899999999999999</v>
      </c>
      <c r="F2290" s="3">
        <v>0.31390000000000001</v>
      </c>
      <c r="G2290">
        <v>17.154</v>
      </c>
      <c r="H2290">
        <v>0.13300000000000001</v>
      </c>
    </row>
    <row r="2291" spans="1:8" x14ac:dyDescent="0.25">
      <c r="A2291" t="s">
        <v>2297</v>
      </c>
      <c r="B2291">
        <v>65335</v>
      </c>
      <c r="C2291">
        <v>7898606180713</v>
      </c>
      <c r="D2291">
        <v>28.9</v>
      </c>
      <c r="E2291">
        <v>18.2</v>
      </c>
      <c r="F2291" s="3">
        <v>0.33590000000000003</v>
      </c>
      <c r="G2291">
        <v>16.519300000000001</v>
      </c>
      <c r="H2291">
        <v>3.3000000000000002E-2</v>
      </c>
    </row>
    <row r="2292" spans="1:8" x14ac:dyDescent="0.25">
      <c r="A2292" t="s">
        <v>2298</v>
      </c>
      <c r="B2292">
        <v>60432</v>
      </c>
      <c r="C2292">
        <v>7891048000427</v>
      </c>
      <c r="D2292">
        <v>17.899999999999999</v>
      </c>
      <c r="E2292">
        <v>13.59</v>
      </c>
      <c r="F2292" s="3">
        <v>0.17519999999999999</v>
      </c>
      <c r="G2292">
        <v>9.8855000000000004</v>
      </c>
      <c r="H2292">
        <v>3.4670000000000001</v>
      </c>
    </row>
    <row r="2293" spans="1:8" x14ac:dyDescent="0.25">
      <c r="A2293" t="s">
        <v>2299</v>
      </c>
      <c r="B2293">
        <v>37548</v>
      </c>
      <c r="C2293">
        <v>7891048000090</v>
      </c>
      <c r="D2293">
        <v>13.9</v>
      </c>
      <c r="E2293">
        <v>9.77</v>
      </c>
      <c r="F2293" s="3">
        <v>0.21600000000000003</v>
      </c>
      <c r="G2293">
        <v>7.1105</v>
      </c>
      <c r="H2293">
        <v>3.6</v>
      </c>
    </row>
    <row r="2294" spans="1:8" x14ac:dyDescent="0.25">
      <c r="A2294" t="s">
        <v>2300</v>
      </c>
      <c r="B2294">
        <v>4030</v>
      </c>
      <c r="C2294">
        <v>7891048000106</v>
      </c>
      <c r="D2294">
        <v>18.899999999999999</v>
      </c>
      <c r="E2294">
        <v>13.59</v>
      </c>
      <c r="F2294" s="3">
        <v>0.20440000000000003</v>
      </c>
      <c r="G2294">
        <v>9.8864999999999998</v>
      </c>
      <c r="H2294">
        <v>6.3</v>
      </c>
    </row>
    <row r="2295" spans="1:8" x14ac:dyDescent="0.25">
      <c r="A2295" t="s">
        <v>2301</v>
      </c>
      <c r="B2295">
        <v>4031</v>
      </c>
      <c r="C2295">
        <v>7891000451304</v>
      </c>
      <c r="D2295">
        <v>18.899999999999999</v>
      </c>
      <c r="E2295">
        <v>16.11</v>
      </c>
      <c r="F2295" s="3">
        <v>0.1041</v>
      </c>
      <c r="G2295">
        <v>11.7827</v>
      </c>
      <c r="H2295">
        <v>30.233000000000001</v>
      </c>
    </row>
    <row r="2296" spans="1:8" x14ac:dyDescent="0.25">
      <c r="A2296" t="s">
        <v>2302</v>
      </c>
      <c r="B2296">
        <v>67893</v>
      </c>
      <c r="C2296">
        <v>40141847485</v>
      </c>
      <c r="D2296">
        <v>49.9</v>
      </c>
      <c r="E2296">
        <v>32.35</v>
      </c>
      <c r="F2296" s="3">
        <v>0.31909999999999999</v>
      </c>
      <c r="G2296">
        <v>29.360900000000001</v>
      </c>
      <c r="H2296">
        <v>6.7000000000000004E-2</v>
      </c>
    </row>
    <row r="2297" spans="1:8" x14ac:dyDescent="0.25">
      <c r="A2297" t="s">
        <v>2303</v>
      </c>
      <c r="B2297">
        <v>67892</v>
      </c>
      <c r="C2297">
        <v>619205803493</v>
      </c>
      <c r="D2297">
        <v>49.9</v>
      </c>
      <c r="E2297">
        <v>35.67</v>
      </c>
      <c r="F2297" s="3">
        <v>0.25879999999999997</v>
      </c>
      <c r="G2297">
        <v>32.367600000000003</v>
      </c>
      <c r="H2297">
        <v>0</v>
      </c>
    </row>
    <row r="2298" spans="1:8" x14ac:dyDescent="0.25">
      <c r="A2298" t="s">
        <v>2304</v>
      </c>
      <c r="B2298">
        <v>67894</v>
      </c>
      <c r="C2298">
        <v>40141847478</v>
      </c>
      <c r="D2298">
        <v>49.9</v>
      </c>
      <c r="E2298">
        <v>33.380000000000003</v>
      </c>
      <c r="F2298" s="3">
        <v>0.3004</v>
      </c>
      <c r="G2298">
        <v>30.295000000000002</v>
      </c>
      <c r="H2298">
        <v>0</v>
      </c>
    </row>
    <row r="2299" spans="1:8" x14ac:dyDescent="0.25">
      <c r="A2299" t="s">
        <v>2305</v>
      </c>
      <c r="B2299">
        <v>67891</v>
      </c>
      <c r="C2299">
        <v>618341767089</v>
      </c>
      <c r="D2299">
        <v>49.9</v>
      </c>
      <c r="E2299">
        <v>39.520000000000003</v>
      </c>
      <c r="F2299" s="3">
        <v>0.1888</v>
      </c>
      <c r="G2299">
        <v>35.863799999999998</v>
      </c>
      <c r="H2299">
        <v>0</v>
      </c>
    </row>
    <row r="2300" spans="1:8" x14ac:dyDescent="0.25">
      <c r="A2300" t="s">
        <v>2306</v>
      </c>
      <c r="B2300">
        <v>59856</v>
      </c>
      <c r="C2300">
        <v>7896423481853</v>
      </c>
      <c r="D2300">
        <v>3.76</v>
      </c>
      <c r="E2300">
        <v>2.77</v>
      </c>
      <c r="F2300" s="3">
        <v>0.23920000000000002</v>
      </c>
      <c r="G2300">
        <v>2.5145</v>
      </c>
      <c r="H2300">
        <v>111.1</v>
      </c>
    </row>
    <row r="2301" spans="1:8" x14ac:dyDescent="0.25">
      <c r="A2301" t="s">
        <v>2307</v>
      </c>
      <c r="B2301">
        <v>62327</v>
      </c>
      <c r="C2301">
        <v>7896423456561</v>
      </c>
      <c r="D2301">
        <v>3.99</v>
      </c>
      <c r="E2301">
        <v>2.89</v>
      </c>
      <c r="F2301" s="3">
        <v>0.24480000000000002</v>
      </c>
      <c r="G2301">
        <v>2.6440999999999999</v>
      </c>
      <c r="H2301">
        <v>32.466999999999999</v>
      </c>
    </row>
    <row r="2302" spans="1:8" x14ac:dyDescent="0.25">
      <c r="A2302" t="s">
        <v>2308</v>
      </c>
      <c r="B2302">
        <v>66368</v>
      </c>
      <c r="C2302">
        <v>7896423445985</v>
      </c>
      <c r="D2302">
        <v>3.99</v>
      </c>
      <c r="E2302">
        <v>2.85</v>
      </c>
      <c r="F2302" s="3">
        <v>0.25390000000000001</v>
      </c>
      <c r="G2302">
        <v>2.6078000000000001</v>
      </c>
      <c r="H2302">
        <v>32.133000000000003</v>
      </c>
    </row>
    <row r="2303" spans="1:8" x14ac:dyDescent="0.25">
      <c r="A2303" t="s">
        <v>2309</v>
      </c>
      <c r="B2303">
        <v>57138</v>
      </c>
      <c r="C2303">
        <v>7896423497984</v>
      </c>
      <c r="D2303">
        <v>3.87</v>
      </c>
      <c r="E2303">
        <v>2.82</v>
      </c>
      <c r="F2303" s="3">
        <v>0.23769999999999999</v>
      </c>
      <c r="G2303">
        <v>2.5910000000000002</v>
      </c>
      <c r="H2303">
        <v>50.3</v>
      </c>
    </row>
    <row r="2304" spans="1:8" x14ac:dyDescent="0.25">
      <c r="A2304" t="s">
        <v>2310</v>
      </c>
      <c r="B2304">
        <v>68962</v>
      </c>
      <c r="C2304">
        <v>7896423488883</v>
      </c>
      <c r="D2304">
        <v>3.99</v>
      </c>
      <c r="E2304">
        <v>2.96</v>
      </c>
      <c r="F2304" s="3">
        <v>0.23379999999999998</v>
      </c>
      <c r="G2304">
        <v>2.6882000000000001</v>
      </c>
      <c r="H2304">
        <v>110.133</v>
      </c>
    </row>
    <row r="2305" spans="1:8" x14ac:dyDescent="0.25">
      <c r="A2305" t="s">
        <v>2311</v>
      </c>
      <c r="B2305">
        <v>40807</v>
      </c>
      <c r="C2305">
        <v>7896423420326</v>
      </c>
      <c r="D2305">
        <v>6.49</v>
      </c>
      <c r="E2305">
        <v>4.49</v>
      </c>
      <c r="F2305" s="3">
        <v>0.2762</v>
      </c>
      <c r="G2305">
        <v>4.0968999999999998</v>
      </c>
      <c r="H2305">
        <v>17.766999999999999</v>
      </c>
    </row>
    <row r="2306" spans="1:8" x14ac:dyDescent="0.25">
      <c r="A2306" t="s">
        <v>2312</v>
      </c>
      <c r="B2306">
        <v>54064</v>
      </c>
      <c r="C2306">
        <v>7896423420180</v>
      </c>
      <c r="D2306">
        <v>3.8</v>
      </c>
      <c r="E2306">
        <v>2.79</v>
      </c>
      <c r="F2306" s="3">
        <v>0.23309999999999997</v>
      </c>
      <c r="G2306">
        <v>2.5613999999999999</v>
      </c>
      <c r="H2306">
        <v>225.267</v>
      </c>
    </row>
    <row r="2307" spans="1:8" x14ac:dyDescent="0.25">
      <c r="A2307" t="s">
        <v>2313</v>
      </c>
      <c r="B2307">
        <v>69435</v>
      </c>
      <c r="C2307">
        <v>7896423438536</v>
      </c>
      <c r="D2307">
        <v>10.9</v>
      </c>
      <c r="E2307">
        <v>10.34</v>
      </c>
      <c r="F2307" s="3">
        <v>4.6399999999999997E-2</v>
      </c>
      <c r="G2307">
        <v>9.3857999999999997</v>
      </c>
      <c r="H2307">
        <v>12.532999999999999</v>
      </c>
    </row>
    <row r="2308" spans="1:8" x14ac:dyDescent="0.25">
      <c r="A2308" t="s">
        <v>2314</v>
      </c>
      <c r="B2308">
        <v>57355</v>
      </c>
      <c r="C2308">
        <v>7891008137354</v>
      </c>
      <c r="D2308">
        <v>8.9</v>
      </c>
      <c r="E2308">
        <v>5.09</v>
      </c>
      <c r="F2308" s="3">
        <v>0.38840000000000002</v>
      </c>
      <c r="G2308">
        <v>4.62</v>
      </c>
      <c r="H2308">
        <v>0</v>
      </c>
    </row>
    <row r="2309" spans="1:8" x14ac:dyDescent="0.25">
      <c r="A2309" t="s">
        <v>2315</v>
      </c>
      <c r="B2309">
        <v>4018</v>
      </c>
      <c r="C2309">
        <v>7891008123302</v>
      </c>
      <c r="D2309">
        <v>7.9</v>
      </c>
      <c r="E2309">
        <v>6.19</v>
      </c>
      <c r="F2309" s="3">
        <v>0.18539999999999998</v>
      </c>
      <c r="G2309">
        <v>5.7042999999999999</v>
      </c>
      <c r="H2309">
        <v>14.632999999999999</v>
      </c>
    </row>
    <row r="2310" spans="1:8" x14ac:dyDescent="0.25">
      <c r="A2310" t="s">
        <v>2316</v>
      </c>
      <c r="B2310">
        <v>57349</v>
      </c>
      <c r="C2310">
        <v>7891008127409</v>
      </c>
      <c r="D2310">
        <v>7.9</v>
      </c>
      <c r="E2310">
        <v>6.03</v>
      </c>
      <c r="F2310" s="3">
        <v>0.1852</v>
      </c>
      <c r="G2310">
        <v>5.7065999999999999</v>
      </c>
      <c r="H2310">
        <v>8.4329999999999998</v>
      </c>
    </row>
    <row r="2311" spans="1:8" x14ac:dyDescent="0.25">
      <c r="A2311" t="s">
        <v>2317</v>
      </c>
      <c r="B2311">
        <v>17726</v>
      </c>
      <c r="C2311">
        <v>7891008230000</v>
      </c>
      <c r="D2311">
        <v>7.9</v>
      </c>
      <c r="E2311">
        <v>6.35</v>
      </c>
      <c r="F2311" s="3">
        <v>0.16390000000000002</v>
      </c>
      <c r="G2311">
        <v>5.8746999999999998</v>
      </c>
      <c r="H2311">
        <v>7.7670000000000003</v>
      </c>
    </row>
    <row r="2312" spans="1:8" x14ac:dyDescent="0.25">
      <c r="A2312" t="s">
        <v>2318</v>
      </c>
      <c r="B2312">
        <v>4019</v>
      </c>
      <c r="C2312">
        <v>7891008123128</v>
      </c>
      <c r="D2312">
        <v>7.9</v>
      </c>
      <c r="E2312">
        <v>6.25</v>
      </c>
      <c r="F2312" s="3">
        <v>0.18479999999999999</v>
      </c>
      <c r="G2312">
        <v>5.7089999999999996</v>
      </c>
      <c r="H2312">
        <v>13.8</v>
      </c>
    </row>
    <row r="2313" spans="1:8" x14ac:dyDescent="0.25">
      <c r="A2313" t="s">
        <v>2319</v>
      </c>
      <c r="B2313">
        <v>4021</v>
      </c>
      <c r="C2313">
        <v>7891008231007</v>
      </c>
      <c r="D2313">
        <v>7.9</v>
      </c>
      <c r="E2313">
        <v>6.19</v>
      </c>
      <c r="F2313" s="3">
        <v>0.18940000000000001</v>
      </c>
      <c r="G2313">
        <v>5.6727999999999996</v>
      </c>
      <c r="H2313">
        <v>14.967000000000001</v>
      </c>
    </row>
    <row r="2314" spans="1:8" x14ac:dyDescent="0.25">
      <c r="A2314" t="s">
        <v>2320</v>
      </c>
      <c r="B2314">
        <v>17728</v>
      </c>
      <c r="C2314">
        <v>7891008121575</v>
      </c>
      <c r="D2314">
        <v>7.9</v>
      </c>
      <c r="E2314">
        <v>6.39</v>
      </c>
      <c r="F2314" s="3">
        <v>0.16850000000000001</v>
      </c>
      <c r="G2314">
        <v>5.8381999999999996</v>
      </c>
      <c r="H2314">
        <v>13.367000000000001</v>
      </c>
    </row>
    <row r="2315" spans="1:8" x14ac:dyDescent="0.25">
      <c r="A2315" t="s">
        <v>2321</v>
      </c>
      <c r="B2315">
        <v>57351</v>
      </c>
      <c r="C2315">
        <v>7891008170573</v>
      </c>
      <c r="D2315">
        <v>7.9</v>
      </c>
      <c r="E2315">
        <v>6.07</v>
      </c>
      <c r="F2315" s="3">
        <v>0.21</v>
      </c>
      <c r="G2315">
        <v>5.5099</v>
      </c>
      <c r="H2315">
        <v>8.4329999999999998</v>
      </c>
    </row>
    <row r="2316" spans="1:8" x14ac:dyDescent="0.25">
      <c r="A2316" t="s">
        <v>2322</v>
      </c>
      <c r="B2316">
        <v>66718</v>
      </c>
      <c r="C2316">
        <v>7891000393475</v>
      </c>
      <c r="D2316">
        <v>8.9</v>
      </c>
      <c r="E2316">
        <v>5.4</v>
      </c>
      <c r="F2316" s="3">
        <v>0.33140000000000003</v>
      </c>
      <c r="G2316">
        <v>5.1269999999999998</v>
      </c>
      <c r="H2316">
        <v>0.86699999999999999</v>
      </c>
    </row>
    <row r="2317" spans="1:8" x14ac:dyDescent="0.25">
      <c r="A2317" t="s">
        <v>2323</v>
      </c>
      <c r="B2317">
        <v>66717</v>
      </c>
      <c r="C2317">
        <v>7891000392805</v>
      </c>
      <c r="D2317">
        <v>8.9</v>
      </c>
      <c r="E2317">
        <v>6.55</v>
      </c>
      <c r="F2317" s="3">
        <v>0.21539999999999998</v>
      </c>
      <c r="G2317">
        <v>6.16</v>
      </c>
      <c r="H2317">
        <v>5.4</v>
      </c>
    </row>
    <row r="2318" spans="1:8" x14ac:dyDescent="0.25">
      <c r="A2318" t="s">
        <v>2324</v>
      </c>
      <c r="B2318">
        <v>62099</v>
      </c>
      <c r="C2318">
        <v>7891008122213</v>
      </c>
      <c r="D2318">
        <v>7.9</v>
      </c>
      <c r="E2318">
        <v>6.05</v>
      </c>
      <c r="F2318" s="3">
        <v>0.13600000000000001</v>
      </c>
      <c r="G2318">
        <v>6.0949999999999998</v>
      </c>
      <c r="H2318">
        <v>3.2669999999999999</v>
      </c>
    </row>
    <row r="2319" spans="1:8" x14ac:dyDescent="0.25">
      <c r="A2319" t="s">
        <v>2325</v>
      </c>
      <c r="B2319">
        <v>64808</v>
      </c>
      <c r="C2319">
        <v>5900915028333</v>
      </c>
      <c r="D2319">
        <v>12.9</v>
      </c>
      <c r="E2319">
        <v>9.7100000000000009</v>
      </c>
      <c r="F2319" s="3">
        <v>0.17989999999999998</v>
      </c>
      <c r="G2319">
        <v>7.0644</v>
      </c>
      <c r="H2319">
        <v>2.1669999999999998</v>
      </c>
    </row>
    <row r="2320" spans="1:8" x14ac:dyDescent="0.25">
      <c r="A2320" t="s">
        <v>2326</v>
      </c>
      <c r="B2320">
        <v>64797</v>
      </c>
      <c r="C2320">
        <v>5900915028005</v>
      </c>
      <c r="D2320">
        <v>12.9</v>
      </c>
      <c r="E2320">
        <v>8.39</v>
      </c>
      <c r="F2320" s="3">
        <v>0.32049999999999995</v>
      </c>
      <c r="G2320">
        <v>7.5719000000000003</v>
      </c>
      <c r="H2320">
        <v>1.633</v>
      </c>
    </row>
    <row r="2321" spans="1:8" x14ac:dyDescent="0.25">
      <c r="A2321" t="s">
        <v>2327</v>
      </c>
      <c r="B2321">
        <v>64801</v>
      </c>
      <c r="C2321">
        <v>5900915028029</v>
      </c>
      <c r="D2321">
        <v>12.9</v>
      </c>
      <c r="E2321">
        <v>8.48</v>
      </c>
      <c r="F2321" s="3">
        <v>0.311</v>
      </c>
      <c r="G2321">
        <v>7.6943000000000001</v>
      </c>
      <c r="H2321">
        <v>1.95</v>
      </c>
    </row>
    <row r="2322" spans="1:8" x14ac:dyDescent="0.25">
      <c r="A2322" t="s">
        <v>2328</v>
      </c>
      <c r="B2322">
        <v>64803</v>
      </c>
      <c r="C2322">
        <v>5900915022676</v>
      </c>
      <c r="D2322">
        <v>12.9</v>
      </c>
      <c r="E2322">
        <v>8.5</v>
      </c>
      <c r="F2322" s="3">
        <v>0.30969999999999998</v>
      </c>
      <c r="G2322">
        <v>7.7115</v>
      </c>
      <c r="H2322">
        <v>4.133</v>
      </c>
    </row>
    <row r="2323" spans="1:8" x14ac:dyDescent="0.25">
      <c r="A2323" t="s">
        <v>2329</v>
      </c>
      <c r="B2323">
        <v>64800</v>
      </c>
      <c r="C2323">
        <v>5900915028036</v>
      </c>
      <c r="D2323">
        <v>12.9</v>
      </c>
      <c r="E2323">
        <v>9.42</v>
      </c>
      <c r="F2323" s="3">
        <v>0.2114</v>
      </c>
      <c r="G2323">
        <v>6.6581000000000001</v>
      </c>
      <c r="H2323">
        <v>0.53300000000000003</v>
      </c>
    </row>
    <row r="2324" spans="1:8" x14ac:dyDescent="0.25">
      <c r="A2324" t="s">
        <v>2330</v>
      </c>
      <c r="B2324">
        <v>64799</v>
      </c>
      <c r="C2324">
        <v>5900915028043</v>
      </c>
      <c r="D2324">
        <v>12.9</v>
      </c>
      <c r="E2324">
        <v>9.4700000000000006</v>
      </c>
      <c r="F2324" s="3">
        <v>0.19219999999999998</v>
      </c>
      <c r="G2324">
        <v>6.9055</v>
      </c>
      <c r="H2324">
        <v>2.3330000000000002</v>
      </c>
    </row>
    <row r="2325" spans="1:8" x14ac:dyDescent="0.25">
      <c r="A2325" t="s">
        <v>2331</v>
      </c>
      <c r="B2325">
        <v>64802</v>
      </c>
      <c r="C2325">
        <v>5900915028067</v>
      </c>
      <c r="D2325">
        <v>12.9</v>
      </c>
      <c r="E2325">
        <v>9.41</v>
      </c>
      <c r="F2325" s="3">
        <v>0.1966</v>
      </c>
      <c r="G2325">
        <v>6.8483999999999998</v>
      </c>
      <c r="H2325">
        <v>0.26700000000000002</v>
      </c>
    </row>
    <row r="2326" spans="1:8" x14ac:dyDescent="0.25">
      <c r="A2326" t="s">
        <v>2332</v>
      </c>
      <c r="B2326">
        <v>64798</v>
      </c>
      <c r="C2326">
        <v>5900915028050</v>
      </c>
      <c r="D2326">
        <v>12.9</v>
      </c>
      <c r="E2326">
        <v>9.2899999999999991</v>
      </c>
      <c r="F2326" s="3">
        <v>0.20579999999999998</v>
      </c>
      <c r="G2326">
        <v>6.7302999999999997</v>
      </c>
      <c r="H2326">
        <v>4.0670000000000002</v>
      </c>
    </row>
    <row r="2327" spans="1:8" x14ac:dyDescent="0.25">
      <c r="A2327" t="s">
        <v>2333</v>
      </c>
      <c r="B2327">
        <v>64826</v>
      </c>
      <c r="C2327">
        <v>5900915013216</v>
      </c>
      <c r="D2327">
        <v>33.869999999999997</v>
      </c>
      <c r="E2327">
        <v>22.84</v>
      </c>
      <c r="F2327" s="3">
        <v>0.29570000000000002</v>
      </c>
      <c r="G2327">
        <v>20.723199999999999</v>
      </c>
      <c r="H2327">
        <v>0.3</v>
      </c>
    </row>
    <row r="2328" spans="1:8" x14ac:dyDescent="0.25">
      <c r="A2328" t="s">
        <v>2334</v>
      </c>
      <c r="B2328">
        <v>64812</v>
      </c>
      <c r="C2328">
        <v>5900915013230</v>
      </c>
      <c r="D2328">
        <v>32.9</v>
      </c>
      <c r="E2328">
        <v>23</v>
      </c>
      <c r="F2328" s="3">
        <v>0.27310000000000001</v>
      </c>
      <c r="G2328">
        <v>20.872199999999999</v>
      </c>
      <c r="H2328">
        <v>3.3000000000000002E-2</v>
      </c>
    </row>
    <row r="2329" spans="1:8" x14ac:dyDescent="0.25">
      <c r="A2329" t="s">
        <v>2335</v>
      </c>
      <c r="B2329">
        <v>64818</v>
      </c>
      <c r="C2329">
        <v>5900915030480</v>
      </c>
      <c r="D2329">
        <v>33.79</v>
      </c>
      <c r="E2329">
        <v>25.48</v>
      </c>
      <c r="F2329" s="3">
        <v>0.18090000000000001</v>
      </c>
      <c r="G2329">
        <v>18.468900000000001</v>
      </c>
      <c r="H2329">
        <v>0.53300000000000003</v>
      </c>
    </row>
    <row r="2330" spans="1:8" x14ac:dyDescent="0.25">
      <c r="A2330" t="s">
        <v>2336</v>
      </c>
      <c r="B2330">
        <v>64816</v>
      </c>
      <c r="C2330">
        <v>5900915027572</v>
      </c>
      <c r="D2330">
        <v>32.9</v>
      </c>
      <c r="E2330">
        <v>26.28</v>
      </c>
      <c r="F2330" s="3">
        <v>0.14649999999999999</v>
      </c>
      <c r="G2330">
        <v>19.115600000000001</v>
      </c>
      <c r="H2330">
        <v>0.2</v>
      </c>
    </row>
    <row r="2331" spans="1:8" x14ac:dyDescent="0.25">
      <c r="A2331" t="s">
        <v>2337</v>
      </c>
      <c r="B2331">
        <v>64815</v>
      </c>
      <c r="C2331">
        <v>5900915027558</v>
      </c>
      <c r="D2331">
        <v>32.9</v>
      </c>
      <c r="E2331">
        <v>24.43</v>
      </c>
      <c r="F2331" s="3">
        <v>0.18739999999999998</v>
      </c>
      <c r="G2331">
        <v>17.770900000000001</v>
      </c>
      <c r="H2331">
        <v>0.33300000000000002</v>
      </c>
    </row>
    <row r="2332" spans="1:8" x14ac:dyDescent="0.25">
      <c r="A2332" t="s">
        <v>2338</v>
      </c>
      <c r="B2332">
        <v>64806</v>
      </c>
      <c r="C2332">
        <v>5900915024106</v>
      </c>
      <c r="D2332">
        <v>12.9</v>
      </c>
      <c r="E2332">
        <v>8.5</v>
      </c>
      <c r="F2332" s="3">
        <v>0.3095</v>
      </c>
      <c r="G2332">
        <v>7.7138</v>
      </c>
      <c r="H2332">
        <v>1.9330000000000001</v>
      </c>
    </row>
    <row r="2333" spans="1:8" x14ac:dyDescent="0.25">
      <c r="A2333" t="s">
        <v>2339</v>
      </c>
      <c r="B2333">
        <v>22117</v>
      </c>
      <c r="C2333">
        <v>7614500010617</v>
      </c>
      <c r="D2333">
        <v>19.899999999999999</v>
      </c>
      <c r="E2333">
        <v>15.94</v>
      </c>
      <c r="F2333" s="3">
        <v>0.183</v>
      </c>
      <c r="G2333">
        <v>14.4177</v>
      </c>
      <c r="H2333">
        <v>2.2669999999999999</v>
      </c>
    </row>
    <row r="2334" spans="1:8" x14ac:dyDescent="0.25">
      <c r="A2334" t="s">
        <v>2340</v>
      </c>
      <c r="B2334">
        <v>22115</v>
      </c>
      <c r="C2334">
        <v>7614500010013</v>
      </c>
      <c r="D2334">
        <v>23.9</v>
      </c>
      <c r="E2334">
        <v>15.52</v>
      </c>
      <c r="F2334" s="3">
        <v>0.31819999999999998</v>
      </c>
      <c r="G2334">
        <v>14.0844</v>
      </c>
      <c r="H2334">
        <v>2.7330000000000001</v>
      </c>
    </row>
    <row r="2335" spans="1:8" x14ac:dyDescent="0.25">
      <c r="A2335" t="s">
        <v>2341</v>
      </c>
      <c r="B2335">
        <v>69510</v>
      </c>
      <c r="C2335">
        <v>7622300710613</v>
      </c>
      <c r="D2335">
        <v>24.9</v>
      </c>
      <c r="E2335">
        <v>20.04</v>
      </c>
      <c r="F2335" s="3">
        <v>0.17730000000000001</v>
      </c>
      <c r="G2335">
        <v>18.182600000000001</v>
      </c>
      <c r="H2335">
        <v>1.7669999999999999</v>
      </c>
    </row>
    <row r="2336" spans="1:8" x14ac:dyDescent="0.25">
      <c r="A2336" t="s">
        <v>2342</v>
      </c>
      <c r="B2336">
        <v>64652</v>
      </c>
      <c r="C2336">
        <v>7622300107949</v>
      </c>
      <c r="D2336">
        <v>24.9</v>
      </c>
      <c r="E2336">
        <v>20.04</v>
      </c>
      <c r="F2336" s="3">
        <v>0.17730000000000001</v>
      </c>
      <c r="G2336">
        <v>18.182400000000001</v>
      </c>
      <c r="H2336">
        <v>1.609</v>
      </c>
    </row>
    <row r="2337" spans="1:8" x14ac:dyDescent="0.25">
      <c r="A2337" t="s">
        <v>2343</v>
      </c>
      <c r="B2337">
        <v>69513</v>
      </c>
      <c r="C2337">
        <v>7622201806873</v>
      </c>
      <c r="D2337">
        <v>24.9</v>
      </c>
      <c r="E2337">
        <v>20.04</v>
      </c>
      <c r="F2337" s="3">
        <v>0.17730000000000001</v>
      </c>
      <c r="G2337">
        <v>18.182400000000001</v>
      </c>
      <c r="H2337">
        <v>2.3330000000000002</v>
      </c>
    </row>
    <row r="2338" spans="1:8" x14ac:dyDescent="0.25">
      <c r="A2338" t="s">
        <v>2344</v>
      </c>
      <c r="B2338">
        <v>54060</v>
      </c>
      <c r="C2338">
        <v>7896423470994</v>
      </c>
      <c r="D2338">
        <v>3.89</v>
      </c>
      <c r="E2338">
        <v>2.78</v>
      </c>
      <c r="F2338" s="3">
        <v>0.2571</v>
      </c>
      <c r="G2338">
        <v>2.5268000000000002</v>
      </c>
      <c r="H2338">
        <v>84.233000000000004</v>
      </c>
    </row>
    <row r="2339" spans="1:8" x14ac:dyDescent="0.25">
      <c r="A2339" t="s">
        <v>2345</v>
      </c>
      <c r="B2339">
        <v>69333</v>
      </c>
      <c r="C2339">
        <v>7896423438574</v>
      </c>
      <c r="D2339">
        <v>3.99</v>
      </c>
      <c r="E2339">
        <v>2.8</v>
      </c>
      <c r="F2339" s="3">
        <v>0.27110000000000001</v>
      </c>
      <c r="G2339">
        <v>2.5392999999999999</v>
      </c>
      <c r="H2339">
        <v>34.267000000000003</v>
      </c>
    </row>
    <row r="2340" spans="1:8" x14ac:dyDescent="0.25">
      <c r="A2340" t="s">
        <v>2346</v>
      </c>
      <c r="B2340">
        <v>69332</v>
      </c>
      <c r="C2340">
        <v>7896423438550</v>
      </c>
      <c r="D2340">
        <v>3.99</v>
      </c>
      <c r="E2340">
        <v>2.8</v>
      </c>
      <c r="F2340" s="3">
        <v>0.27110000000000001</v>
      </c>
      <c r="G2340">
        <v>2.5392000000000001</v>
      </c>
      <c r="H2340">
        <v>36.232999999999997</v>
      </c>
    </row>
    <row r="2341" spans="1:8" x14ac:dyDescent="0.25">
      <c r="A2341" t="s">
        <v>2347</v>
      </c>
      <c r="B2341">
        <v>59857</v>
      </c>
      <c r="C2341">
        <v>7896423481884</v>
      </c>
      <c r="D2341">
        <v>3.99</v>
      </c>
      <c r="E2341">
        <v>2.75</v>
      </c>
      <c r="F2341" s="3">
        <v>0.27850000000000003</v>
      </c>
      <c r="G2341">
        <v>2.5095999999999998</v>
      </c>
      <c r="H2341">
        <v>29.3</v>
      </c>
    </row>
    <row r="2342" spans="1:8" x14ac:dyDescent="0.25">
      <c r="A2342" t="s">
        <v>2348</v>
      </c>
      <c r="B2342">
        <v>40803</v>
      </c>
      <c r="C2342">
        <v>7896423451191</v>
      </c>
      <c r="D2342">
        <v>5.49</v>
      </c>
      <c r="E2342">
        <v>4.43</v>
      </c>
      <c r="F2342" s="3">
        <v>0.17399999999999999</v>
      </c>
      <c r="G2342">
        <v>4.0271999999999997</v>
      </c>
      <c r="H2342">
        <v>21</v>
      </c>
    </row>
    <row r="2343" spans="1:8" x14ac:dyDescent="0.25">
      <c r="A2343" t="s">
        <v>2349</v>
      </c>
      <c r="B2343">
        <v>41424</v>
      </c>
      <c r="C2343">
        <v>7896423471656</v>
      </c>
      <c r="D2343">
        <v>6.49</v>
      </c>
      <c r="E2343">
        <v>4.4000000000000004</v>
      </c>
      <c r="F2343" s="3">
        <v>0.28800000000000003</v>
      </c>
      <c r="G2343">
        <v>4.0191999999999997</v>
      </c>
      <c r="H2343">
        <v>43.332999999999998</v>
      </c>
    </row>
    <row r="2344" spans="1:8" x14ac:dyDescent="0.25">
      <c r="A2344" t="s">
        <v>2350</v>
      </c>
      <c r="B2344">
        <v>40806</v>
      </c>
      <c r="C2344">
        <v>7896423405491</v>
      </c>
      <c r="D2344">
        <v>3.99</v>
      </c>
      <c r="E2344">
        <v>2.76</v>
      </c>
      <c r="F2344" s="3">
        <v>0.27560000000000001</v>
      </c>
      <c r="G2344">
        <v>2.5213000000000001</v>
      </c>
      <c r="H2344">
        <v>44.567</v>
      </c>
    </row>
    <row r="2345" spans="1:8" x14ac:dyDescent="0.25">
      <c r="A2345" t="s">
        <v>2351</v>
      </c>
      <c r="B2345">
        <v>63893</v>
      </c>
      <c r="C2345">
        <v>7896001283008</v>
      </c>
      <c r="D2345">
        <v>0</v>
      </c>
      <c r="E2345">
        <v>6.01</v>
      </c>
      <c r="F2345" s="3">
        <v>0</v>
      </c>
      <c r="G2345">
        <v>5.4579000000000004</v>
      </c>
      <c r="H2345">
        <v>0</v>
      </c>
    </row>
    <row r="2346" spans="1:8" x14ac:dyDescent="0.25">
      <c r="A2346" t="s">
        <v>2352</v>
      </c>
      <c r="B2346">
        <v>61802</v>
      </c>
      <c r="C2346">
        <v>7896063285774</v>
      </c>
      <c r="D2346">
        <v>8.99</v>
      </c>
      <c r="E2346">
        <v>5.12</v>
      </c>
      <c r="F2346" s="3">
        <v>0.36990000000000001</v>
      </c>
      <c r="G2346">
        <v>4.8333000000000004</v>
      </c>
      <c r="H2346">
        <v>0.96699999999999997</v>
      </c>
    </row>
    <row r="2347" spans="1:8" x14ac:dyDescent="0.25">
      <c r="A2347" t="s">
        <v>2353</v>
      </c>
      <c r="B2347">
        <v>61803</v>
      </c>
      <c r="C2347">
        <v>7896063285781</v>
      </c>
      <c r="D2347">
        <v>8.99</v>
      </c>
      <c r="E2347">
        <v>5.01</v>
      </c>
      <c r="F2347" s="3">
        <v>0.38469999999999999</v>
      </c>
      <c r="G2347">
        <v>4.7003000000000004</v>
      </c>
      <c r="H2347">
        <v>1.367</v>
      </c>
    </row>
    <row r="2348" spans="1:8" x14ac:dyDescent="0.25">
      <c r="A2348" t="s">
        <v>2354</v>
      </c>
      <c r="B2348">
        <v>64626</v>
      </c>
      <c r="C2348">
        <v>7896063285811</v>
      </c>
      <c r="D2348">
        <v>14.9</v>
      </c>
      <c r="E2348">
        <v>5.45</v>
      </c>
      <c r="F2348" s="3">
        <v>0.57279999999999998</v>
      </c>
      <c r="G2348">
        <v>4.9878</v>
      </c>
      <c r="H2348">
        <v>0.8</v>
      </c>
    </row>
    <row r="2349" spans="1:8" x14ac:dyDescent="0.25">
      <c r="A2349" t="s">
        <v>2355</v>
      </c>
      <c r="B2349">
        <v>61808</v>
      </c>
      <c r="C2349">
        <v>7896063285088</v>
      </c>
      <c r="D2349">
        <v>21.9</v>
      </c>
      <c r="E2349">
        <v>13.61</v>
      </c>
      <c r="F2349" s="3">
        <v>0.33450000000000002</v>
      </c>
      <c r="G2349">
        <v>12.5482</v>
      </c>
      <c r="H2349">
        <v>0.46700000000000003</v>
      </c>
    </row>
    <row r="2350" spans="1:8" x14ac:dyDescent="0.25">
      <c r="A2350" t="s">
        <v>2356</v>
      </c>
      <c r="B2350">
        <v>61804</v>
      </c>
      <c r="C2350">
        <v>7896063200272</v>
      </c>
      <c r="D2350">
        <v>21.9</v>
      </c>
      <c r="E2350">
        <v>14.23</v>
      </c>
      <c r="F2350" s="3">
        <v>0.31719999999999998</v>
      </c>
      <c r="G2350">
        <v>12.9283</v>
      </c>
      <c r="H2350">
        <v>0.53300000000000003</v>
      </c>
    </row>
    <row r="2351" spans="1:8" x14ac:dyDescent="0.25">
      <c r="A2351" t="s">
        <v>2357</v>
      </c>
      <c r="B2351">
        <v>61806</v>
      </c>
      <c r="C2351">
        <v>7896063285149</v>
      </c>
      <c r="D2351">
        <v>21.9</v>
      </c>
      <c r="E2351">
        <v>13.96</v>
      </c>
      <c r="F2351" s="3">
        <v>0.32450000000000001</v>
      </c>
      <c r="G2351">
        <v>12.7674</v>
      </c>
      <c r="H2351">
        <v>0.8</v>
      </c>
    </row>
    <row r="2352" spans="1:8" x14ac:dyDescent="0.25">
      <c r="A2352" t="s">
        <v>2358</v>
      </c>
      <c r="B2352">
        <v>66017</v>
      </c>
      <c r="C2352">
        <v>7891962069418</v>
      </c>
      <c r="D2352">
        <v>19.899999999999999</v>
      </c>
      <c r="E2352">
        <v>15.32</v>
      </c>
      <c r="F2352" s="3">
        <v>0.20559999999999998</v>
      </c>
      <c r="G2352">
        <v>13.967599999999999</v>
      </c>
      <c r="H2352">
        <v>3.7330000000000001</v>
      </c>
    </row>
    <row r="2353" spans="1:8" x14ac:dyDescent="0.25">
      <c r="A2353" t="s">
        <v>2359</v>
      </c>
      <c r="B2353">
        <v>63678</v>
      </c>
      <c r="C2353">
        <v>7891962060361</v>
      </c>
      <c r="D2353">
        <v>3.49</v>
      </c>
      <c r="E2353">
        <v>2.36</v>
      </c>
      <c r="F2353" s="3">
        <v>0.2959</v>
      </c>
      <c r="G2353">
        <v>2.1343999999999999</v>
      </c>
      <c r="H2353">
        <v>12.333</v>
      </c>
    </row>
    <row r="2354" spans="1:8" x14ac:dyDescent="0.25">
      <c r="A2354" t="s">
        <v>2360</v>
      </c>
      <c r="B2354">
        <v>53543</v>
      </c>
      <c r="C2354">
        <v>7891962056500</v>
      </c>
      <c r="D2354">
        <v>7.49</v>
      </c>
      <c r="E2354">
        <v>4.99</v>
      </c>
      <c r="F2354" s="3">
        <v>0.2989</v>
      </c>
      <c r="G2354">
        <v>4.5583999999999998</v>
      </c>
      <c r="H2354">
        <v>199.53299999999999</v>
      </c>
    </row>
    <row r="2355" spans="1:8" x14ac:dyDescent="0.25">
      <c r="A2355" t="s">
        <v>2361</v>
      </c>
      <c r="B2355">
        <v>53544</v>
      </c>
      <c r="C2355">
        <v>7891962056678</v>
      </c>
      <c r="D2355">
        <v>7.49</v>
      </c>
      <c r="E2355">
        <v>4.8899999999999997</v>
      </c>
      <c r="F2355" s="3">
        <v>0.31059999999999999</v>
      </c>
      <c r="G2355">
        <v>4.4705000000000004</v>
      </c>
      <c r="H2355">
        <v>101.56699999999999</v>
      </c>
    </row>
    <row r="2356" spans="1:8" x14ac:dyDescent="0.25">
      <c r="A2356" t="s">
        <v>2362</v>
      </c>
      <c r="B2356">
        <v>64978</v>
      </c>
      <c r="C2356">
        <v>7896043031308</v>
      </c>
      <c r="D2356">
        <v>4.49</v>
      </c>
      <c r="E2356">
        <v>2.94</v>
      </c>
      <c r="F2356" s="3">
        <v>0.3125</v>
      </c>
      <c r="G2356">
        <v>2.6717</v>
      </c>
      <c r="H2356">
        <v>2.3330000000000002</v>
      </c>
    </row>
    <row r="2357" spans="1:8" x14ac:dyDescent="0.25">
      <c r="A2357" t="s">
        <v>2363</v>
      </c>
      <c r="B2357">
        <v>66528</v>
      </c>
      <c r="C2357">
        <v>8691518523130</v>
      </c>
      <c r="D2357">
        <v>14.9</v>
      </c>
      <c r="E2357">
        <v>11.04</v>
      </c>
      <c r="F2357" s="3">
        <v>0.21280000000000002</v>
      </c>
      <c r="G2357">
        <v>10.3513</v>
      </c>
      <c r="H2357">
        <v>0.9</v>
      </c>
    </row>
    <row r="2358" spans="1:8" x14ac:dyDescent="0.25">
      <c r="A2358" t="s">
        <v>2364</v>
      </c>
      <c r="B2358">
        <v>68295</v>
      </c>
      <c r="C2358">
        <v>7891000402931</v>
      </c>
      <c r="D2358">
        <v>5.59</v>
      </c>
      <c r="E2358">
        <v>3.82</v>
      </c>
      <c r="F2358" s="3">
        <v>0.29449999999999998</v>
      </c>
      <c r="G2358">
        <v>3.4264999999999999</v>
      </c>
      <c r="H2358">
        <v>7.61</v>
      </c>
    </row>
    <row r="2359" spans="1:8" x14ac:dyDescent="0.25">
      <c r="A2359" t="s">
        <v>2365</v>
      </c>
      <c r="B2359">
        <v>35724</v>
      </c>
      <c r="C2359">
        <v>7622300590970</v>
      </c>
      <c r="D2359">
        <v>24.35</v>
      </c>
      <c r="E2359">
        <v>14.55</v>
      </c>
      <c r="F2359" s="3">
        <v>0.36329999999999996</v>
      </c>
      <c r="G2359">
        <v>13.254200000000001</v>
      </c>
      <c r="H2359">
        <v>2.5</v>
      </c>
    </row>
    <row r="2360" spans="1:8" x14ac:dyDescent="0.25">
      <c r="A2360" t="s">
        <v>2366</v>
      </c>
      <c r="B2360">
        <v>35696</v>
      </c>
      <c r="C2360">
        <v>9012200872739</v>
      </c>
      <c r="D2360">
        <v>36.9</v>
      </c>
      <c r="E2360">
        <v>28.78</v>
      </c>
      <c r="F2360" s="3">
        <v>0.18059999999999998</v>
      </c>
      <c r="G2360">
        <v>26.821200000000001</v>
      </c>
      <c r="H2360">
        <v>1.8</v>
      </c>
    </row>
    <row r="2361" spans="1:8" x14ac:dyDescent="0.25">
      <c r="A2361" t="s">
        <v>2367</v>
      </c>
      <c r="B2361">
        <v>57398</v>
      </c>
      <c r="C2361">
        <v>7622210286109</v>
      </c>
      <c r="D2361">
        <v>13.78</v>
      </c>
      <c r="E2361">
        <v>10.93</v>
      </c>
      <c r="F2361" s="3">
        <v>0.19219999999999998</v>
      </c>
      <c r="G2361">
        <v>9.8576999999999995</v>
      </c>
      <c r="H2361">
        <v>12.233000000000001</v>
      </c>
    </row>
    <row r="2362" spans="1:8" x14ac:dyDescent="0.25">
      <c r="A2362" t="s">
        <v>2368</v>
      </c>
      <c r="B2362">
        <v>68293</v>
      </c>
      <c r="C2362">
        <v>7891000402979</v>
      </c>
      <c r="D2362">
        <v>5.99</v>
      </c>
      <c r="E2362">
        <v>4.1900000000000004</v>
      </c>
      <c r="F2362" s="3">
        <v>0.26390000000000002</v>
      </c>
      <c r="G2362">
        <v>3.855</v>
      </c>
      <c r="H2362">
        <v>17.167000000000002</v>
      </c>
    </row>
    <row r="2363" spans="1:8" x14ac:dyDescent="0.25">
      <c r="A2363" t="s">
        <v>2369</v>
      </c>
      <c r="B2363">
        <v>64752</v>
      </c>
      <c r="C2363">
        <v>8936036025866</v>
      </c>
      <c r="D2363">
        <v>24.9</v>
      </c>
      <c r="E2363">
        <v>14.2</v>
      </c>
      <c r="F2363" s="3">
        <v>0.39</v>
      </c>
      <c r="G2363">
        <v>12.8863</v>
      </c>
      <c r="H2363">
        <v>3.3000000000000002E-2</v>
      </c>
    </row>
    <row r="2364" spans="1:8" x14ac:dyDescent="0.25">
      <c r="A2364" t="s">
        <v>2370</v>
      </c>
      <c r="B2364">
        <v>1033</v>
      </c>
      <c r="C2364">
        <v>8801117807610</v>
      </c>
      <c r="D2364">
        <v>19.899999999999999</v>
      </c>
      <c r="E2364">
        <v>11.5</v>
      </c>
      <c r="F2364" s="3">
        <v>0.3831</v>
      </c>
      <c r="G2364">
        <v>10.436299999999999</v>
      </c>
      <c r="H2364">
        <v>0.23300000000000001</v>
      </c>
    </row>
    <row r="2365" spans="1:8" x14ac:dyDescent="0.25">
      <c r="A2365" t="s">
        <v>2371</v>
      </c>
      <c r="B2365">
        <v>59317</v>
      </c>
      <c r="C2365">
        <v>7891962072302</v>
      </c>
      <c r="D2365">
        <v>2.99</v>
      </c>
      <c r="E2365">
        <v>1.96</v>
      </c>
      <c r="F2365" s="3">
        <v>0.31309999999999999</v>
      </c>
      <c r="G2365">
        <v>1.7771999999999999</v>
      </c>
      <c r="H2365">
        <v>6.867</v>
      </c>
    </row>
    <row r="2366" spans="1:8" x14ac:dyDescent="0.25">
      <c r="A2366" t="s">
        <v>2372</v>
      </c>
      <c r="B2366">
        <v>63680</v>
      </c>
      <c r="C2366">
        <v>7891962069043</v>
      </c>
      <c r="D2366">
        <v>7.9</v>
      </c>
      <c r="E2366">
        <v>5.76</v>
      </c>
      <c r="F2366" s="3">
        <v>0.24149999999999999</v>
      </c>
      <c r="G2366">
        <v>5.2613000000000003</v>
      </c>
      <c r="H2366">
        <v>15.032999999999999</v>
      </c>
    </row>
    <row r="2367" spans="1:8" x14ac:dyDescent="0.25">
      <c r="A2367" t="s">
        <v>2373</v>
      </c>
      <c r="B2367">
        <v>43433</v>
      </c>
      <c r="C2367">
        <v>7898409950698</v>
      </c>
      <c r="D2367">
        <v>18.61</v>
      </c>
      <c r="E2367">
        <v>11.96</v>
      </c>
      <c r="F2367" s="3">
        <v>0.25370000000000004</v>
      </c>
      <c r="G2367">
        <v>8.8160000000000007</v>
      </c>
      <c r="H2367">
        <v>0.56699999999999995</v>
      </c>
    </row>
    <row r="2368" spans="1:8" x14ac:dyDescent="0.25">
      <c r="A2368" t="s">
        <v>2374</v>
      </c>
      <c r="B2368">
        <v>45726</v>
      </c>
      <c r="C2368">
        <v>7898331013256</v>
      </c>
      <c r="D2368">
        <v>21.9</v>
      </c>
      <c r="E2368">
        <v>14.99</v>
      </c>
      <c r="F2368" s="3">
        <v>0.21940000000000001</v>
      </c>
      <c r="G2368">
        <v>11.1273</v>
      </c>
      <c r="H2368">
        <v>1.3</v>
      </c>
    </row>
    <row r="2369" spans="1:8" x14ac:dyDescent="0.25">
      <c r="A2369" t="s">
        <v>2375</v>
      </c>
      <c r="B2369">
        <v>61538</v>
      </c>
      <c r="C2369">
        <v>7891008168839</v>
      </c>
      <c r="D2369">
        <v>6.49</v>
      </c>
      <c r="E2369">
        <v>5.87</v>
      </c>
      <c r="F2369" s="3">
        <v>8.6699999999999999E-2</v>
      </c>
      <c r="G2369">
        <v>5.327</v>
      </c>
      <c r="H2369">
        <v>0.33300000000000002</v>
      </c>
    </row>
    <row r="2370" spans="1:8" x14ac:dyDescent="0.25">
      <c r="A2370" t="s">
        <v>2376</v>
      </c>
      <c r="B2370">
        <v>69389</v>
      </c>
      <c r="C2370">
        <v>34000702329</v>
      </c>
      <c r="D2370">
        <v>9.99</v>
      </c>
      <c r="E2370">
        <v>7.64</v>
      </c>
      <c r="F2370" s="3">
        <v>0.21390000000000001</v>
      </c>
      <c r="G2370">
        <v>6.9294000000000002</v>
      </c>
      <c r="H2370">
        <v>13.423</v>
      </c>
    </row>
    <row r="2371" spans="1:8" x14ac:dyDescent="0.25">
      <c r="A2371" t="s">
        <v>2377</v>
      </c>
      <c r="B2371">
        <v>67021</v>
      </c>
      <c r="C2371">
        <v>7896045110612</v>
      </c>
      <c r="D2371">
        <v>18.899999999999999</v>
      </c>
      <c r="E2371">
        <v>12.94</v>
      </c>
      <c r="F2371" s="3">
        <v>0.28550000000000003</v>
      </c>
      <c r="G2371">
        <v>11.7553</v>
      </c>
      <c r="H2371">
        <v>3.3</v>
      </c>
    </row>
    <row r="2372" spans="1:8" x14ac:dyDescent="0.25">
      <c r="A2372" t="s">
        <v>2378</v>
      </c>
      <c r="B2372">
        <v>57651</v>
      </c>
      <c r="C2372">
        <v>7891962061986</v>
      </c>
      <c r="D2372">
        <v>9.9</v>
      </c>
      <c r="E2372">
        <v>7.55</v>
      </c>
      <c r="F2372" s="3">
        <v>0.18679999999999999</v>
      </c>
      <c r="G2372">
        <v>5.9466000000000001</v>
      </c>
      <c r="H2372">
        <v>4.9669999999999996</v>
      </c>
    </row>
    <row r="2373" spans="1:8" x14ac:dyDescent="0.25">
      <c r="A2373" t="s">
        <v>2379</v>
      </c>
      <c r="B2373">
        <v>5784</v>
      </c>
      <c r="C2373">
        <v>8712000025649</v>
      </c>
      <c r="D2373">
        <v>99.9</v>
      </c>
      <c r="E2373">
        <v>71.84</v>
      </c>
      <c r="F2373" s="3">
        <v>0.28089999999999998</v>
      </c>
      <c r="G2373">
        <v>71.838800000000006</v>
      </c>
      <c r="H2373">
        <v>0.46700000000000003</v>
      </c>
    </row>
    <row r="2374" spans="1:8" x14ac:dyDescent="0.25">
      <c r="A2374" t="s">
        <v>2380</v>
      </c>
      <c r="B2374">
        <v>65162</v>
      </c>
      <c r="C2374">
        <v>7896931615665</v>
      </c>
      <c r="D2374">
        <v>10.9</v>
      </c>
      <c r="E2374">
        <v>6.18</v>
      </c>
      <c r="F2374" s="3">
        <v>0.3926</v>
      </c>
      <c r="G2374">
        <v>5.6121999999999996</v>
      </c>
      <c r="H2374">
        <v>0.93300000000000005</v>
      </c>
    </row>
    <row r="2375" spans="1:8" x14ac:dyDescent="0.25">
      <c r="A2375" t="s">
        <v>2381</v>
      </c>
      <c r="B2375">
        <v>65161</v>
      </c>
      <c r="C2375">
        <v>7896931615658</v>
      </c>
      <c r="D2375">
        <v>10.9</v>
      </c>
      <c r="E2375">
        <v>6.18</v>
      </c>
      <c r="F2375" s="3">
        <v>0.39289999999999997</v>
      </c>
      <c r="G2375">
        <v>5.6092000000000004</v>
      </c>
      <c r="H2375">
        <v>1.167</v>
      </c>
    </row>
    <row r="2376" spans="1:8" x14ac:dyDescent="0.25">
      <c r="A2376" t="s">
        <v>2382</v>
      </c>
      <c r="B2376">
        <v>56980</v>
      </c>
      <c r="C2376">
        <v>7896931615191</v>
      </c>
      <c r="D2376">
        <v>10.9</v>
      </c>
      <c r="E2376">
        <v>6.18</v>
      </c>
      <c r="F2376" s="3">
        <v>0.39280000000000004</v>
      </c>
      <c r="G2376">
        <v>5.61</v>
      </c>
      <c r="H2376">
        <v>2.5670000000000002</v>
      </c>
    </row>
    <row r="2377" spans="1:8" x14ac:dyDescent="0.25">
      <c r="A2377" t="s">
        <v>2383</v>
      </c>
      <c r="B2377">
        <v>56981</v>
      </c>
      <c r="C2377">
        <v>7896931615207</v>
      </c>
      <c r="D2377">
        <v>10.9</v>
      </c>
      <c r="E2377">
        <v>6.58</v>
      </c>
      <c r="F2377" s="3">
        <v>0.34399999999999997</v>
      </c>
      <c r="G2377">
        <v>6.1420000000000003</v>
      </c>
      <c r="H2377">
        <v>2</v>
      </c>
    </row>
    <row r="2378" spans="1:8" x14ac:dyDescent="0.25">
      <c r="A2378" t="s">
        <v>2384</v>
      </c>
      <c r="B2378">
        <v>64485</v>
      </c>
      <c r="C2378">
        <v>4008100151611</v>
      </c>
      <c r="D2378">
        <v>32.9</v>
      </c>
      <c r="E2378">
        <v>22.59</v>
      </c>
      <c r="F2378" s="3">
        <v>0.28449999999999998</v>
      </c>
      <c r="G2378">
        <v>20.4954</v>
      </c>
      <c r="H2378">
        <v>0.9</v>
      </c>
    </row>
    <row r="2379" spans="1:8" x14ac:dyDescent="0.25">
      <c r="A2379" t="s">
        <v>2385</v>
      </c>
      <c r="B2379">
        <v>67685</v>
      </c>
      <c r="C2379">
        <v>7891150097643</v>
      </c>
      <c r="D2379">
        <v>27.9</v>
      </c>
      <c r="E2379">
        <v>24.49</v>
      </c>
      <c r="F2379" s="3">
        <v>0.1211</v>
      </c>
      <c r="G2379">
        <v>24.522600000000001</v>
      </c>
      <c r="H2379">
        <v>4.5330000000000004</v>
      </c>
    </row>
    <row r="2380" spans="1:8" x14ac:dyDescent="0.25">
      <c r="A2380" t="s">
        <v>2386</v>
      </c>
      <c r="B2380">
        <v>65917</v>
      </c>
      <c r="C2380">
        <v>7891150093256</v>
      </c>
      <c r="D2380">
        <v>27.9</v>
      </c>
      <c r="E2380">
        <v>24.5</v>
      </c>
      <c r="F2380" s="3">
        <v>0.12189999999999999</v>
      </c>
      <c r="G2380">
        <v>24.4999</v>
      </c>
      <c r="H2380">
        <v>2.4670000000000001</v>
      </c>
    </row>
    <row r="2381" spans="1:8" x14ac:dyDescent="0.25">
      <c r="A2381" t="s">
        <v>2387</v>
      </c>
      <c r="B2381">
        <v>65916</v>
      </c>
      <c r="C2381">
        <v>7891150093263</v>
      </c>
      <c r="D2381">
        <v>27.9</v>
      </c>
      <c r="E2381">
        <v>24.41</v>
      </c>
      <c r="F2381" s="3">
        <v>0.12560000000000002</v>
      </c>
      <c r="G2381">
        <v>24.394500000000001</v>
      </c>
      <c r="H2381">
        <v>2.7330000000000001</v>
      </c>
    </row>
    <row r="2382" spans="1:8" x14ac:dyDescent="0.25">
      <c r="A2382" t="s">
        <v>2388</v>
      </c>
      <c r="B2382">
        <v>65914</v>
      </c>
      <c r="C2382">
        <v>7891150095250</v>
      </c>
      <c r="D2382">
        <v>27.9</v>
      </c>
      <c r="E2382">
        <v>24.08</v>
      </c>
      <c r="F2382" s="3">
        <v>0.13449999999999998</v>
      </c>
      <c r="G2382">
        <v>24.147200000000002</v>
      </c>
      <c r="H2382">
        <v>2.2000000000000002</v>
      </c>
    </row>
    <row r="2383" spans="1:8" x14ac:dyDescent="0.25">
      <c r="A2383" t="s">
        <v>2389</v>
      </c>
      <c r="B2383">
        <v>66805</v>
      </c>
      <c r="C2383">
        <v>7891150095533</v>
      </c>
      <c r="D2383">
        <v>27.9</v>
      </c>
      <c r="E2383">
        <v>24.53</v>
      </c>
      <c r="F2383" s="3">
        <v>0.1206</v>
      </c>
      <c r="G2383">
        <v>24.534700000000001</v>
      </c>
      <c r="H2383">
        <v>2.6</v>
      </c>
    </row>
    <row r="2384" spans="1:8" x14ac:dyDescent="0.25">
      <c r="A2384" t="s">
        <v>2390</v>
      </c>
      <c r="B2384">
        <v>44441</v>
      </c>
      <c r="C2384">
        <v>7891150053595</v>
      </c>
      <c r="D2384">
        <v>0</v>
      </c>
      <c r="E2384">
        <v>23.53</v>
      </c>
      <c r="F2384" s="3">
        <v>0</v>
      </c>
      <c r="G2384">
        <v>23.531400000000001</v>
      </c>
      <c r="H2384">
        <v>0</v>
      </c>
    </row>
    <row r="2385" spans="1:8" x14ac:dyDescent="0.25">
      <c r="A2385" t="s">
        <v>2391</v>
      </c>
      <c r="B2385">
        <v>7667</v>
      </c>
      <c r="C2385">
        <v>7891150013179</v>
      </c>
      <c r="D2385">
        <v>24.9</v>
      </c>
      <c r="E2385">
        <v>0</v>
      </c>
      <c r="F2385" s="3">
        <v>1</v>
      </c>
      <c r="G2385">
        <v>0</v>
      </c>
      <c r="H2385">
        <v>0</v>
      </c>
    </row>
    <row r="2386" spans="1:8" x14ac:dyDescent="0.25">
      <c r="A2386" t="s">
        <v>2392</v>
      </c>
      <c r="B2386">
        <v>65912</v>
      </c>
      <c r="C2386">
        <v>7891150090088</v>
      </c>
      <c r="D2386">
        <v>33.9</v>
      </c>
      <c r="E2386">
        <v>21.6</v>
      </c>
      <c r="F2386" s="3">
        <v>0.3826</v>
      </c>
      <c r="G2386">
        <v>20.929099999999998</v>
      </c>
      <c r="H2386">
        <v>1.0669999999999999</v>
      </c>
    </row>
    <row r="2387" spans="1:8" x14ac:dyDescent="0.25">
      <c r="A2387" t="s">
        <v>2393</v>
      </c>
      <c r="B2387">
        <v>68360</v>
      </c>
      <c r="C2387">
        <v>7891033545995</v>
      </c>
      <c r="D2387">
        <v>81.99</v>
      </c>
      <c r="E2387">
        <v>57.34</v>
      </c>
      <c r="F2387" s="3">
        <v>0.30059999999999998</v>
      </c>
      <c r="G2387">
        <v>57.34</v>
      </c>
      <c r="H2387">
        <v>0.83299999999999996</v>
      </c>
    </row>
    <row r="2388" spans="1:8" x14ac:dyDescent="0.25">
      <c r="A2388" t="s">
        <v>2394</v>
      </c>
      <c r="B2388">
        <v>68358</v>
      </c>
      <c r="C2388">
        <v>7891033545957</v>
      </c>
      <c r="D2388">
        <v>81.99</v>
      </c>
      <c r="E2388">
        <v>57.34</v>
      </c>
      <c r="F2388" s="3">
        <v>0.30059999999999998</v>
      </c>
      <c r="G2388">
        <v>57.34</v>
      </c>
      <c r="H2388">
        <v>1</v>
      </c>
    </row>
    <row r="2389" spans="1:8" x14ac:dyDescent="0.25">
      <c r="A2389" t="s">
        <v>2395</v>
      </c>
      <c r="B2389">
        <v>68359</v>
      </c>
      <c r="C2389">
        <v>7891033545964</v>
      </c>
      <c r="D2389">
        <v>81.99</v>
      </c>
      <c r="E2389">
        <v>57.34</v>
      </c>
      <c r="F2389" s="3">
        <v>0.30059999999999998</v>
      </c>
      <c r="G2389">
        <v>57.34</v>
      </c>
      <c r="H2389">
        <v>1.167</v>
      </c>
    </row>
    <row r="2390" spans="1:8" x14ac:dyDescent="0.25">
      <c r="A2390" t="s">
        <v>2396</v>
      </c>
      <c r="B2390">
        <v>68361</v>
      </c>
      <c r="C2390">
        <v>7891033524181</v>
      </c>
      <c r="D2390">
        <v>92.9</v>
      </c>
      <c r="E2390">
        <v>61.53</v>
      </c>
      <c r="F2390" s="3">
        <v>0.30640000000000001</v>
      </c>
      <c r="G2390">
        <v>55.838500000000003</v>
      </c>
      <c r="H2390">
        <v>0.1</v>
      </c>
    </row>
    <row r="2391" spans="1:8" x14ac:dyDescent="0.25">
      <c r="A2391" t="s">
        <v>2397</v>
      </c>
      <c r="B2391">
        <v>68312</v>
      </c>
      <c r="C2391">
        <v>7891033545988</v>
      </c>
      <c r="D2391">
        <v>118.99</v>
      </c>
      <c r="E2391">
        <v>83.21</v>
      </c>
      <c r="F2391" s="3">
        <v>0.30070000000000002</v>
      </c>
      <c r="G2391">
        <v>83.21</v>
      </c>
      <c r="H2391">
        <v>0.16700000000000001</v>
      </c>
    </row>
    <row r="2392" spans="1:8" x14ac:dyDescent="0.25">
      <c r="A2392" t="s">
        <v>2398</v>
      </c>
      <c r="B2392">
        <v>68313</v>
      </c>
      <c r="C2392">
        <v>7891033551538</v>
      </c>
      <c r="D2392">
        <v>96.99</v>
      </c>
      <c r="E2392">
        <v>67.83</v>
      </c>
      <c r="F2392" s="3">
        <v>0.30059999999999998</v>
      </c>
      <c r="G2392">
        <v>67.83</v>
      </c>
      <c r="H2392">
        <v>0.53300000000000003</v>
      </c>
    </row>
    <row r="2393" spans="1:8" x14ac:dyDescent="0.25">
      <c r="A2393" t="s">
        <v>2399</v>
      </c>
      <c r="B2393">
        <v>67763</v>
      </c>
      <c r="C2393">
        <v>7908324404753</v>
      </c>
      <c r="D2393">
        <v>39.9</v>
      </c>
      <c r="E2393">
        <v>23.79</v>
      </c>
      <c r="F2393" s="3">
        <v>0.40360000000000001</v>
      </c>
      <c r="G2393">
        <v>23.794799999999999</v>
      </c>
      <c r="H2393">
        <v>0.46700000000000003</v>
      </c>
    </row>
    <row r="2394" spans="1:8" x14ac:dyDescent="0.25">
      <c r="A2394" t="s">
        <v>2400</v>
      </c>
      <c r="B2394">
        <v>62222</v>
      </c>
      <c r="C2394">
        <v>7908324400861</v>
      </c>
      <c r="D2394">
        <v>39.9</v>
      </c>
      <c r="E2394">
        <v>26.36</v>
      </c>
      <c r="F2394" s="3">
        <v>0.34860000000000002</v>
      </c>
      <c r="G2394">
        <v>25.9907</v>
      </c>
      <c r="H2394">
        <v>0.83299999999999996</v>
      </c>
    </row>
    <row r="2395" spans="1:8" x14ac:dyDescent="0.25">
      <c r="A2395" t="s">
        <v>2401</v>
      </c>
      <c r="B2395">
        <v>65626</v>
      </c>
      <c r="C2395">
        <v>7908324404333</v>
      </c>
      <c r="D2395">
        <v>39.9</v>
      </c>
      <c r="E2395">
        <v>26.32</v>
      </c>
      <c r="F2395" s="3">
        <v>0.34189999999999998</v>
      </c>
      <c r="G2395">
        <v>26.258700000000001</v>
      </c>
      <c r="H2395">
        <v>0.13300000000000001</v>
      </c>
    </row>
    <row r="2396" spans="1:8" x14ac:dyDescent="0.25">
      <c r="A2396" t="s">
        <v>2402</v>
      </c>
      <c r="B2396">
        <v>65627</v>
      </c>
      <c r="C2396">
        <v>7908324400878</v>
      </c>
      <c r="D2396">
        <v>39.9</v>
      </c>
      <c r="E2396">
        <v>25.18</v>
      </c>
      <c r="F2396" s="3">
        <v>0.36530000000000001</v>
      </c>
      <c r="G2396">
        <v>25.325900000000001</v>
      </c>
      <c r="H2396">
        <v>0.4</v>
      </c>
    </row>
    <row r="2397" spans="1:8" x14ac:dyDescent="0.25">
      <c r="A2397" t="s">
        <v>2403</v>
      </c>
      <c r="B2397">
        <v>59094</v>
      </c>
      <c r="C2397">
        <v>7509546668277</v>
      </c>
      <c r="D2397">
        <v>18.899999999999999</v>
      </c>
      <c r="E2397">
        <v>13.98</v>
      </c>
      <c r="F2397" s="3">
        <v>0.25540000000000002</v>
      </c>
      <c r="G2397">
        <v>14.073499999999999</v>
      </c>
      <c r="H2397">
        <v>0.4</v>
      </c>
    </row>
    <row r="2398" spans="1:8" x14ac:dyDescent="0.25">
      <c r="A2398" t="s">
        <v>2404</v>
      </c>
      <c r="B2398">
        <v>68060</v>
      </c>
      <c r="C2398">
        <v>7891150097339</v>
      </c>
      <c r="D2398">
        <v>17.899999999999999</v>
      </c>
      <c r="E2398">
        <v>15.06</v>
      </c>
      <c r="F2398" s="3">
        <v>0.14019999999999999</v>
      </c>
      <c r="G2398">
        <v>13.734299999999999</v>
      </c>
      <c r="H2398">
        <v>2.4670000000000001</v>
      </c>
    </row>
    <row r="2399" spans="1:8" x14ac:dyDescent="0.25">
      <c r="A2399" t="s">
        <v>2405</v>
      </c>
      <c r="B2399">
        <v>68062</v>
      </c>
      <c r="C2399">
        <v>7891150097353</v>
      </c>
      <c r="D2399">
        <v>17.899999999999999</v>
      </c>
      <c r="E2399">
        <v>15.91</v>
      </c>
      <c r="F2399" s="3">
        <v>8.8599999999999998E-2</v>
      </c>
      <c r="G2399">
        <v>14.6577</v>
      </c>
      <c r="H2399">
        <v>2</v>
      </c>
    </row>
    <row r="2400" spans="1:8" x14ac:dyDescent="0.25">
      <c r="A2400" t="s">
        <v>2406</v>
      </c>
      <c r="B2400">
        <v>68058</v>
      </c>
      <c r="C2400">
        <v>7891150097377</v>
      </c>
      <c r="D2400">
        <v>17.899999999999999</v>
      </c>
      <c r="E2400">
        <v>15.01</v>
      </c>
      <c r="F2400" s="3">
        <v>0.14219999999999999</v>
      </c>
      <c r="G2400">
        <v>13.6997</v>
      </c>
      <c r="H2400">
        <v>3.5</v>
      </c>
    </row>
    <row r="2401" spans="1:8" x14ac:dyDescent="0.25">
      <c r="A2401" t="s">
        <v>2407</v>
      </c>
      <c r="B2401">
        <v>68063</v>
      </c>
      <c r="C2401">
        <v>7891150097360</v>
      </c>
      <c r="D2401">
        <v>17.899999999999999</v>
      </c>
      <c r="E2401">
        <v>15.06</v>
      </c>
      <c r="F2401" s="3">
        <v>0.13869999999999999</v>
      </c>
      <c r="G2401">
        <v>13.7615</v>
      </c>
      <c r="H2401">
        <v>2.9</v>
      </c>
    </row>
    <row r="2402" spans="1:8" x14ac:dyDescent="0.25">
      <c r="A2402" t="s">
        <v>2408</v>
      </c>
      <c r="B2402">
        <v>68059</v>
      </c>
      <c r="C2402">
        <v>7891150097384</v>
      </c>
      <c r="D2402">
        <v>17.899999999999999</v>
      </c>
      <c r="E2402">
        <v>15.11</v>
      </c>
      <c r="F2402" s="3">
        <v>0.1391</v>
      </c>
      <c r="G2402">
        <v>13.7552</v>
      </c>
      <c r="H2402">
        <v>3.9</v>
      </c>
    </row>
    <row r="2403" spans="1:8" x14ac:dyDescent="0.25">
      <c r="A2403" t="s">
        <v>2409</v>
      </c>
      <c r="B2403">
        <v>68433</v>
      </c>
      <c r="C2403">
        <v>7891150099982</v>
      </c>
      <c r="D2403">
        <v>17.899999999999999</v>
      </c>
      <c r="E2403">
        <v>15.19</v>
      </c>
      <c r="F2403" s="3">
        <v>0.13720000000000002</v>
      </c>
      <c r="G2403">
        <v>13.7888</v>
      </c>
      <c r="H2403">
        <v>4.0330000000000004</v>
      </c>
    </row>
    <row r="2404" spans="1:8" x14ac:dyDescent="0.25">
      <c r="A2404" t="s">
        <v>2410</v>
      </c>
      <c r="B2404">
        <v>68061</v>
      </c>
      <c r="C2404">
        <v>7891150097346</v>
      </c>
      <c r="D2404">
        <v>17.899999999999999</v>
      </c>
      <c r="E2404">
        <v>14.7</v>
      </c>
      <c r="F2404" s="3">
        <v>0.16519999999999999</v>
      </c>
      <c r="G2404">
        <v>13.2874</v>
      </c>
      <c r="H2404">
        <v>0.63300000000000001</v>
      </c>
    </row>
    <row r="2405" spans="1:8" x14ac:dyDescent="0.25">
      <c r="A2405" t="s">
        <v>2411</v>
      </c>
      <c r="B2405">
        <v>36943</v>
      </c>
      <c r="C2405">
        <v>7891150044647</v>
      </c>
      <c r="D2405">
        <v>17.899999999999999</v>
      </c>
      <c r="E2405">
        <v>19.239999999999998</v>
      </c>
      <c r="F2405" s="3">
        <v>-7.4800000000000005E-2</v>
      </c>
      <c r="G2405">
        <v>19.238199999999999</v>
      </c>
      <c r="H2405">
        <v>1.2330000000000001</v>
      </c>
    </row>
    <row r="2406" spans="1:8" x14ac:dyDescent="0.25">
      <c r="A2406" t="s">
        <v>2412</v>
      </c>
      <c r="B2406">
        <v>7659</v>
      </c>
      <c r="C2406">
        <v>7891150043084</v>
      </c>
      <c r="D2406">
        <v>17.899999999999999</v>
      </c>
      <c r="E2406">
        <v>18.690000000000001</v>
      </c>
      <c r="F2406" s="3">
        <v>-4.4199999999999996E-2</v>
      </c>
      <c r="G2406">
        <v>18.6906</v>
      </c>
      <c r="H2406">
        <v>0.3</v>
      </c>
    </row>
    <row r="2407" spans="1:8" x14ac:dyDescent="0.25">
      <c r="A2407" t="s">
        <v>2413</v>
      </c>
      <c r="B2407">
        <v>61790</v>
      </c>
      <c r="C2407">
        <v>7891150084780</v>
      </c>
      <c r="D2407">
        <v>17.899999999999999</v>
      </c>
      <c r="E2407">
        <v>19.57</v>
      </c>
      <c r="F2407" s="3">
        <v>-0.15939999999999999</v>
      </c>
      <c r="G2407">
        <v>20.753599999999999</v>
      </c>
      <c r="H2407">
        <v>0.26700000000000002</v>
      </c>
    </row>
    <row r="2408" spans="1:8" x14ac:dyDescent="0.25">
      <c r="A2408" t="s">
        <v>2414</v>
      </c>
      <c r="B2408">
        <v>7656</v>
      </c>
      <c r="C2408">
        <v>7891150043091</v>
      </c>
      <c r="D2408">
        <v>2.86</v>
      </c>
      <c r="E2408">
        <v>19.86</v>
      </c>
      <c r="F2408" s="3">
        <v>-5.9354999999999993</v>
      </c>
      <c r="G2408">
        <v>19.863399999999999</v>
      </c>
      <c r="H2408">
        <v>0.2</v>
      </c>
    </row>
    <row r="2409" spans="1:8" x14ac:dyDescent="0.25">
      <c r="A2409" t="s">
        <v>2415</v>
      </c>
      <c r="B2409">
        <v>68502</v>
      </c>
      <c r="C2409">
        <v>7509546696393</v>
      </c>
      <c r="D2409">
        <v>16.989999999999998</v>
      </c>
      <c r="E2409">
        <v>13.07</v>
      </c>
      <c r="F2409" s="3">
        <v>0.23079999999999998</v>
      </c>
      <c r="G2409">
        <v>13.0684</v>
      </c>
      <c r="H2409">
        <v>1.8</v>
      </c>
    </row>
    <row r="2410" spans="1:8" x14ac:dyDescent="0.25">
      <c r="A2410" t="s">
        <v>2416</v>
      </c>
      <c r="B2410">
        <v>65404</v>
      </c>
      <c r="C2410">
        <v>7891150094505</v>
      </c>
      <c r="D2410">
        <v>22.9</v>
      </c>
      <c r="E2410">
        <v>22.03</v>
      </c>
      <c r="F2410" s="3">
        <v>1.72E-2</v>
      </c>
      <c r="G2410">
        <v>22.504999999999999</v>
      </c>
      <c r="H2410">
        <v>2.9670000000000001</v>
      </c>
    </row>
    <row r="2411" spans="1:8" x14ac:dyDescent="0.25">
      <c r="A2411" t="s">
        <v>2417</v>
      </c>
      <c r="B2411">
        <v>65405</v>
      </c>
      <c r="C2411">
        <v>7891150094529</v>
      </c>
      <c r="D2411">
        <v>22.9</v>
      </c>
      <c r="E2411">
        <v>20.95</v>
      </c>
      <c r="F2411" s="3">
        <v>8.4399999999999989E-2</v>
      </c>
      <c r="G2411">
        <v>20.968</v>
      </c>
      <c r="H2411">
        <v>2.8330000000000002</v>
      </c>
    </row>
    <row r="2412" spans="1:8" x14ac:dyDescent="0.25">
      <c r="A2412" t="s">
        <v>2418</v>
      </c>
      <c r="B2412">
        <v>65403</v>
      </c>
      <c r="C2412">
        <v>7891150094499</v>
      </c>
      <c r="D2412">
        <v>22.9</v>
      </c>
      <c r="E2412">
        <v>21.06</v>
      </c>
      <c r="F2412" s="3">
        <v>7.5800000000000006E-2</v>
      </c>
      <c r="G2412">
        <v>21.163900000000002</v>
      </c>
      <c r="H2412">
        <v>4.2</v>
      </c>
    </row>
    <row r="2413" spans="1:8" x14ac:dyDescent="0.25">
      <c r="A2413" t="s">
        <v>2419</v>
      </c>
      <c r="B2413">
        <v>65406</v>
      </c>
      <c r="C2413">
        <v>7891150094512</v>
      </c>
      <c r="D2413">
        <v>22.9</v>
      </c>
      <c r="E2413">
        <v>19.14</v>
      </c>
      <c r="F2413" s="3">
        <v>0.1636</v>
      </c>
      <c r="G2413">
        <v>19.153700000000001</v>
      </c>
      <c r="H2413">
        <v>2.8</v>
      </c>
    </row>
    <row r="2414" spans="1:8" x14ac:dyDescent="0.25">
      <c r="A2414" t="s">
        <v>2420</v>
      </c>
      <c r="B2414">
        <v>48261</v>
      </c>
      <c r="C2414">
        <v>7896084571238</v>
      </c>
      <c r="D2414">
        <v>22.99</v>
      </c>
      <c r="E2414">
        <v>10.58</v>
      </c>
      <c r="F2414" s="3">
        <v>0.45200000000000001</v>
      </c>
      <c r="G2414">
        <v>8.8615999999999993</v>
      </c>
      <c r="H2414">
        <v>10.632999999999999</v>
      </c>
    </row>
    <row r="2415" spans="1:8" x14ac:dyDescent="0.25">
      <c r="A2415" t="s">
        <v>2421</v>
      </c>
      <c r="B2415">
        <v>68193</v>
      </c>
      <c r="C2415">
        <v>7896083801954</v>
      </c>
      <c r="D2415">
        <v>11.9</v>
      </c>
      <c r="E2415">
        <v>7.03</v>
      </c>
      <c r="F2415" s="3">
        <v>0.3669</v>
      </c>
      <c r="G2415">
        <v>6.4329999999999998</v>
      </c>
      <c r="H2415">
        <v>7.5</v>
      </c>
    </row>
    <row r="2416" spans="1:8" x14ac:dyDescent="0.25">
      <c r="A2416" t="s">
        <v>2422</v>
      </c>
      <c r="B2416">
        <v>58802</v>
      </c>
      <c r="C2416">
        <v>7896083801817</v>
      </c>
      <c r="D2416">
        <v>11.9</v>
      </c>
      <c r="E2416">
        <v>7.01</v>
      </c>
      <c r="F2416" s="3">
        <v>0.36869999999999997</v>
      </c>
      <c r="G2416">
        <v>6.4123000000000001</v>
      </c>
      <c r="H2416">
        <v>5.3</v>
      </c>
    </row>
    <row r="2417" spans="1:8" x14ac:dyDescent="0.25">
      <c r="A2417" t="s">
        <v>2423</v>
      </c>
      <c r="B2417">
        <v>5344</v>
      </c>
      <c r="C2417">
        <v>7891150057548</v>
      </c>
      <c r="D2417">
        <v>12.9</v>
      </c>
      <c r="E2417">
        <v>11.18</v>
      </c>
      <c r="F2417" s="3">
        <v>9.6199999999999994E-2</v>
      </c>
      <c r="G2417">
        <v>8.1441999999999997</v>
      </c>
      <c r="H2417">
        <v>2.1</v>
      </c>
    </row>
    <row r="2418" spans="1:8" x14ac:dyDescent="0.25">
      <c r="A2418" t="s">
        <v>2424</v>
      </c>
      <c r="B2418">
        <v>20742</v>
      </c>
      <c r="C2418">
        <v>7891150057524</v>
      </c>
      <c r="D2418">
        <v>12.9</v>
      </c>
      <c r="E2418">
        <v>11.19</v>
      </c>
      <c r="F2418" s="3">
        <v>9.6199999999999994E-2</v>
      </c>
      <c r="G2418">
        <v>8.1438000000000006</v>
      </c>
      <c r="H2418">
        <v>4.133</v>
      </c>
    </row>
    <row r="2419" spans="1:8" x14ac:dyDescent="0.25">
      <c r="A2419" t="s">
        <v>2425</v>
      </c>
      <c r="B2419">
        <v>63886</v>
      </c>
      <c r="C2419">
        <v>7891150090811</v>
      </c>
      <c r="D2419">
        <v>12.5</v>
      </c>
      <c r="E2419">
        <v>7.84</v>
      </c>
      <c r="F2419" s="3">
        <v>0.2712</v>
      </c>
      <c r="G2419">
        <v>5.7042000000000002</v>
      </c>
      <c r="H2419">
        <v>6.4</v>
      </c>
    </row>
    <row r="2420" spans="1:8" x14ac:dyDescent="0.25">
      <c r="A2420" t="s">
        <v>2426</v>
      </c>
      <c r="B2420">
        <v>15412</v>
      </c>
      <c r="C2420">
        <v>7896396800446</v>
      </c>
      <c r="D2420">
        <v>19.899999999999999</v>
      </c>
      <c r="E2420">
        <v>13.27</v>
      </c>
      <c r="F2420" s="3">
        <v>0.24179999999999999</v>
      </c>
      <c r="G2420">
        <v>9.6660000000000004</v>
      </c>
      <c r="H2420">
        <v>0.86699999999999999</v>
      </c>
    </row>
    <row r="2421" spans="1:8" x14ac:dyDescent="0.25">
      <c r="A2421" t="s">
        <v>2427</v>
      </c>
      <c r="B2421">
        <v>15405</v>
      </c>
      <c r="C2421">
        <v>7896396800149</v>
      </c>
      <c r="D2421">
        <v>18.899999999999999</v>
      </c>
      <c r="E2421">
        <v>11.56</v>
      </c>
      <c r="F2421" s="3">
        <v>0.2823</v>
      </c>
      <c r="G2421">
        <v>8.4133999999999993</v>
      </c>
      <c r="H2421">
        <v>0.56699999999999995</v>
      </c>
    </row>
    <row r="2422" spans="1:8" x14ac:dyDescent="0.25">
      <c r="A2422" t="s">
        <v>2428</v>
      </c>
      <c r="B2422">
        <v>15409</v>
      </c>
      <c r="C2422">
        <v>7896396800637</v>
      </c>
      <c r="D2422">
        <v>18.899999999999999</v>
      </c>
      <c r="E2422">
        <v>11.7</v>
      </c>
      <c r="F2422" s="3">
        <v>0.2772</v>
      </c>
      <c r="G2422">
        <v>8.5099</v>
      </c>
      <c r="H2422">
        <v>0.433</v>
      </c>
    </row>
    <row r="2423" spans="1:8" x14ac:dyDescent="0.25">
      <c r="A2423" t="s">
        <v>2429</v>
      </c>
      <c r="B2423">
        <v>15404</v>
      </c>
      <c r="C2423">
        <v>7896396800132</v>
      </c>
      <c r="D2423">
        <v>18.899999999999999</v>
      </c>
      <c r="E2423">
        <v>11.02</v>
      </c>
      <c r="F2423" s="3">
        <v>0.30329999999999996</v>
      </c>
      <c r="G2423">
        <v>8.0177999999999994</v>
      </c>
      <c r="H2423">
        <v>1.4670000000000001</v>
      </c>
    </row>
    <row r="2424" spans="1:8" x14ac:dyDescent="0.25">
      <c r="A2424" t="s">
        <v>2430</v>
      </c>
      <c r="B2424">
        <v>15408</v>
      </c>
      <c r="C2424">
        <v>7896396800644</v>
      </c>
      <c r="D2424">
        <v>17.899999999999999</v>
      </c>
      <c r="E2424">
        <v>12.64</v>
      </c>
      <c r="F2424" s="3">
        <v>0.28129999999999999</v>
      </c>
      <c r="G2424">
        <v>11.2095</v>
      </c>
      <c r="H2424">
        <v>3.3000000000000002E-2</v>
      </c>
    </row>
    <row r="2425" spans="1:8" x14ac:dyDescent="0.25">
      <c r="A2425" t="s">
        <v>2431</v>
      </c>
      <c r="B2425">
        <v>15406</v>
      </c>
      <c r="C2425">
        <v>7896396800439</v>
      </c>
      <c r="D2425">
        <v>18.899999999999999</v>
      </c>
      <c r="E2425">
        <v>12.89</v>
      </c>
      <c r="F2425" s="3">
        <v>0.28470000000000001</v>
      </c>
      <c r="G2425">
        <v>11.770200000000001</v>
      </c>
      <c r="H2425">
        <v>0.66700000000000004</v>
      </c>
    </row>
    <row r="2426" spans="1:8" x14ac:dyDescent="0.25">
      <c r="A2426" t="s">
        <v>2432</v>
      </c>
      <c r="B2426">
        <v>9388</v>
      </c>
      <c r="C2426">
        <v>7896007866618</v>
      </c>
      <c r="D2426">
        <v>15.9</v>
      </c>
      <c r="E2426">
        <v>9.32</v>
      </c>
      <c r="F2426" s="3">
        <v>0.30130000000000001</v>
      </c>
      <c r="G2426">
        <v>6.7766999999999999</v>
      </c>
      <c r="H2426">
        <v>0.73299999999999998</v>
      </c>
    </row>
    <row r="2427" spans="1:8" x14ac:dyDescent="0.25">
      <c r="A2427" t="s">
        <v>2433</v>
      </c>
      <c r="B2427">
        <v>9387</v>
      </c>
      <c r="C2427">
        <v>7896007866625</v>
      </c>
      <c r="D2427">
        <v>15.9</v>
      </c>
      <c r="E2427">
        <v>10.75</v>
      </c>
      <c r="F2427" s="3">
        <v>0.29220000000000002</v>
      </c>
      <c r="G2427">
        <v>9.7832000000000008</v>
      </c>
      <c r="H2427">
        <v>1</v>
      </c>
    </row>
    <row r="2428" spans="1:8" x14ac:dyDescent="0.25">
      <c r="A2428" t="s">
        <v>2434</v>
      </c>
      <c r="B2428">
        <v>9386</v>
      </c>
      <c r="C2428">
        <v>7896007866601</v>
      </c>
      <c r="D2428">
        <v>15.9</v>
      </c>
      <c r="E2428">
        <v>9.42</v>
      </c>
      <c r="F2428" s="3">
        <v>0.2944</v>
      </c>
      <c r="G2428">
        <v>6.8864000000000001</v>
      </c>
      <c r="H2428">
        <v>0.8</v>
      </c>
    </row>
    <row r="2429" spans="1:8" x14ac:dyDescent="0.25">
      <c r="A2429" t="s">
        <v>2435</v>
      </c>
      <c r="B2429">
        <v>67910</v>
      </c>
      <c r="C2429">
        <v>7896659100016</v>
      </c>
      <c r="D2429">
        <v>12.62</v>
      </c>
      <c r="E2429">
        <v>8.24</v>
      </c>
      <c r="F2429" s="3">
        <v>0.31469999999999998</v>
      </c>
      <c r="G2429">
        <v>7.4806999999999997</v>
      </c>
      <c r="H2429">
        <v>1.0329999999999999</v>
      </c>
    </row>
    <row r="2430" spans="1:8" x14ac:dyDescent="0.25">
      <c r="A2430" t="s">
        <v>2436</v>
      </c>
      <c r="B2430">
        <v>67921</v>
      </c>
      <c r="C2430">
        <v>7896659100115</v>
      </c>
      <c r="D2430">
        <v>26.68</v>
      </c>
      <c r="E2430">
        <v>14.74</v>
      </c>
      <c r="F2430" s="3">
        <v>0.40630000000000005</v>
      </c>
      <c r="G2430">
        <v>13.3741</v>
      </c>
      <c r="H2430">
        <v>0.36699999999999999</v>
      </c>
    </row>
    <row r="2431" spans="1:8" x14ac:dyDescent="0.25">
      <c r="A2431" t="s">
        <v>2437</v>
      </c>
      <c r="B2431">
        <v>67230</v>
      </c>
      <c r="C2431">
        <v>7898970476016</v>
      </c>
      <c r="D2431">
        <v>12.9</v>
      </c>
      <c r="E2431">
        <v>12.11</v>
      </c>
      <c r="F2431" s="3">
        <v>5.57E-2</v>
      </c>
      <c r="G2431">
        <v>10.9884</v>
      </c>
      <c r="H2431">
        <v>0.46700000000000003</v>
      </c>
    </row>
    <row r="2432" spans="1:8" x14ac:dyDescent="0.25">
      <c r="A2432" t="s">
        <v>2438</v>
      </c>
      <c r="B2432">
        <v>67911</v>
      </c>
      <c r="C2432">
        <v>7896659100023</v>
      </c>
      <c r="D2432">
        <v>7.65</v>
      </c>
      <c r="E2432">
        <v>8.24</v>
      </c>
      <c r="F2432" s="3">
        <v>-7.0300000000000001E-2</v>
      </c>
      <c r="G2432">
        <v>7.4805000000000001</v>
      </c>
      <c r="H2432">
        <v>0.16700000000000001</v>
      </c>
    </row>
    <row r="2433" spans="1:8" x14ac:dyDescent="0.25">
      <c r="A2433" t="s">
        <v>2439</v>
      </c>
      <c r="B2433">
        <v>67922</v>
      </c>
      <c r="C2433">
        <v>7896659100122</v>
      </c>
      <c r="D2433">
        <v>27.9</v>
      </c>
      <c r="E2433">
        <v>14.74</v>
      </c>
      <c r="F2433" s="3">
        <v>0.42810000000000004</v>
      </c>
      <c r="G2433">
        <v>13.374000000000001</v>
      </c>
      <c r="H2433">
        <v>0.3</v>
      </c>
    </row>
    <row r="2434" spans="1:8" x14ac:dyDescent="0.25">
      <c r="A2434" t="s">
        <v>2440</v>
      </c>
      <c r="B2434">
        <v>67233</v>
      </c>
      <c r="C2434">
        <v>7898970476023</v>
      </c>
      <c r="D2434">
        <v>12.9</v>
      </c>
      <c r="E2434">
        <v>12.11</v>
      </c>
      <c r="F2434" s="3">
        <v>5.57E-2</v>
      </c>
      <c r="G2434">
        <v>10.9879</v>
      </c>
      <c r="H2434">
        <v>1.0329999999999999</v>
      </c>
    </row>
    <row r="2435" spans="1:8" x14ac:dyDescent="0.25">
      <c r="A2435" t="s">
        <v>2441</v>
      </c>
      <c r="B2435">
        <v>67232</v>
      </c>
      <c r="C2435">
        <v>7898970476139</v>
      </c>
      <c r="D2435">
        <v>12.9</v>
      </c>
      <c r="E2435">
        <v>12.11</v>
      </c>
      <c r="F2435" s="3">
        <v>5.57E-2</v>
      </c>
      <c r="G2435">
        <v>10.988</v>
      </c>
      <c r="H2435">
        <v>1.4670000000000001</v>
      </c>
    </row>
    <row r="2436" spans="1:8" x14ac:dyDescent="0.25">
      <c r="A2436" t="s">
        <v>2442</v>
      </c>
      <c r="B2436">
        <v>67231</v>
      </c>
      <c r="C2436">
        <v>7898970476146</v>
      </c>
      <c r="D2436">
        <v>12.9</v>
      </c>
      <c r="E2436">
        <v>12.11</v>
      </c>
      <c r="F2436" s="3">
        <v>5.57E-2</v>
      </c>
      <c r="G2436">
        <v>10.9879</v>
      </c>
      <c r="H2436">
        <v>0.4</v>
      </c>
    </row>
    <row r="2437" spans="1:8" x14ac:dyDescent="0.25">
      <c r="A2437" t="s">
        <v>2443</v>
      </c>
      <c r="B2437">
        <v>6534</v>
      </c>
      <c r="C2437">
        <v>7896863734915</v>
      </c>
      <c r="D2437">
        <v>34.9</v>
      </c>
      <c r="E2437">
        <v>21.93</v>
      </c>
      <c r="F2437" s="3">
        <v>0.27190000000000003</v>
      </c>
      <c r="G2437">
        <v>15.9015</v>
      </c>
      <c r="H2437">
        <v>0.3</v>
      </c>
    </row>
    <row r="2438" spans="1:8" x14ac:dyDescent="0.25">
      <c r="A2438" t="s">
        <v>2444</v>
      </c>
      <c r="B2438">
        <v>6946</v>
      </c>
      <c r="C2438">
        <v>7891048014196</v>
      </c>
      <c r="D2438">
        <v>7.9</v>
      </c>
      <c r="E2438">
        <v>6.12</v>
      </c>
      <c r="F2438" s="3">
        <v>0.1845</v>
      </c>
      <c r="G2438">
        <v>5.0201000000000002</v>
      </c>
      <c r="H2438">
        <v>4.9669999999999996</v>
      </c>
    </row>
    <row r="2439" spans="1:8" x14ac:dyDescent="0.25">
      <c r="A2439" t="s">
        <v>2445</v>
      </c>
      <c r="B2439">
        <v>17766</v>
      </c>
      <c r="C2439">
        <v>7896004400341</v>
      </c>
      <c r="D2439">
        <v>12.9</v>
      </c>
      <c r="E2439">
        <v>8.42</v>
      </c>
      <c r="F2439" s="3">
        <v>0.28309999999999996</v>
      </c>
      <c r="G2439">
        <v>6.9253999999999998</v>
      </c>
      <c r="H2439">
        <v>11.1</v>
      </c>
    </row>
    <row r="2440" spans="1:8" x14ac:dyDescent="0.25">
      <c r="A2440" t="s">
        <v>2446</v>
      </c>
      <c r="B2440">
        <v>6972</v>
      </c>
      <c r="C2440">
        <v>7896004400013</v>
      </c>
      <c r="D2440">
        <v>7.99</v>
      </c>
      <c r="E2440">
        <v>5.62</v>
      </c>
      <c r="F2440" s="3">
        <v>0.24230000000000002</v>
      </c>
      <c r="G2440">
        <v>4.6158999999999999</v>
      </c>
      <c r="H2440">
        <v>14.667</v>
      </c>
    </row>
    <row r="2441" spans="1:8" x14ac:dyDescent="0.25">
      <c r="A2441" t="s">
        <v>2447</v>
      </c>
      <c r="B2441">
        <v>6974</v>
      </c>
      <c r="C2441">
        <v>7896004400020</v>
      </c>
      <c r="D2441">
        <v>4.99</v>
      </c>
      <c r="E2441">
        <v>3.28</v>
      </c>
      <c r="F2441" s="3">
        <v>0.2782</v>
      </c>
      <c r="G2441">
        <v>2.7033999999999998</v>
      </c>
      <c r="H2441">
        <v>20.5</v>
      </c>
    </row>
    <row r="2442" spans="1:8" x14ac:dyDescent="0.25">
      <c r="A2442" t="s">
        <v>2448</v>
      </c>
      <c r="B2442">
        <v>17765</v>
      </c>
      <c r="C2442">
        <v>7896004400327</v>
      </c>
      <c r="D2442">
        <v>7.99</v>
      </c>
      <c r="E2442">
        <v>5.68</v>
      </c>
      <c r="F2442" s="3">
        <v>0.23739999999999997</v>
      </c>
      <c r="G2442">
        <v>4.6546000000000003</v>
      </c>
      <c r="H2442">
        <v>11.132999999999999</v>
      </c>
    </row>
    <row r="2443" spans="1:8" x14ac:dyDescent="0.25">
      <c r="A2443" t="s">
        <v>2449</v>
      </c>
      <c r="B2443">
        <v>26315</v>
      </c>
      <c r="C2443">
        <v>7898629610525</v>
      </c>
      <c r="D2443">
        <v>6.49</v>
      </c>
      <c r="E2443">
        <v>1.92</v>
      </c>
      <c r="F2443" s="3">
        <v>0.63900000000000001</v>
      </c>
      <c r="G2443">
        <v>1.7423999999999999</v>
      </c>
      <c r="H2443">
        <v>1.4670000000000001</v>
      </c>
    </row>
    <row r="2444" spans="1:8" x14ac:dyDescent="0.25">
      <c r="A2444" t="s">
        <v>2450</v>
      </c>
      <c r="B2444">
        <v>26311</v>
      </c>
      <c r="C2444">
        <v>7898629610549</v>
      </c>
      <c r="D2444">
        <v>5.99</v>
      </c>
      <c r="E2444">
        <v>1.92</v>
      </c>
      <c r="F2444" s="3">
        <v>0.61659999999999993</v>
      </c>
      <c r="G2444">
        <v>1.7423999999999999</v>
      </c>
      <c r="H2444">
        <v>0.8</v>
      </c>
    </row>
    <row r="2445" spans="1:8" x14ac:dyDescent="0.25">
      <c r="A2445" t="s">
        <v>2451</v>
      </c>
      <c r="B2445">
        <v>11593</v>
      </c>
      <c r="C2445">
        <v>7891095015870</v>
      </c>
      <c r="D2445">
        <v>4.99</v>
      </c>
      <c r="E2445">
        <v>1.59</v>
      </c>
      <c r="F2445" s="3">
        <v>0.5</v>
      </c>
      <c r="G2445">
        <v>1.1352</v>
      </c>
      <c r="H2445">
        <v>0.96699999999999997</v>
      </c>
    </row>
    <row r="2446" spans="1:8" x14ac:dyDescent="0.25">
      <c r="A2446" t="s">
        <v>2452</v>
      </c>
      <c r="B2446">
        <v>6494</v>
      </c>
      <c r="C2446">
        <v>7898922618389</v>
      </c>
      <c r="D2446">
        <v>10.9</v>
      </c>
      <c r="E2446">
        <v>7</v>
      </c>
      <c r="F2446" s="3">
        <v>0.26050000000000001</v>
      </c>
      <c r="G2446">
        <v>5.0899000000000001</v>
      </c>
      <c r="H2446">
        <v>17.832999999999998</v>
      </c>
    </row>
    <row r="2447" spans="1:8" x14ac:dyDescent="0.25">
      <c r="A2447" t="s">
        <v>2453</v>
      </c>
      <c r="B2447">
        <v>49584</v>
      </c>
      <c r="C2447">
        <v>7898202610829</v>
      </c>
      <c r="D2447">
        <v>7.9</v>
      </c>
      <c r="E2447">
        <v>3.93</v>
      </c>
      <c r="F2447" s="3">
        <v>0.45649999999999996</v>
      </c>
      <c r="G2447">
        <v>3.5625</v>
      </c>
      <c r="H2447">
        <v>3.0329999999999999</v>
      </c>
    </row>
    <row r="2448" spans="1:8" x14ac:dyDescent="0.25">
      <c r="A2448" t="s">
        <v>2454</v>
      </c>
      <c r="B2448">
        <v>49585</v>
      </c>
      <c r="C2448">
        <v>7898202616418</v>
      </c>
      <c r="D2448">
        <v>16.899999999999999</v>
      </c>
      <c r="E2448">
        <v>8.7100000000000009</v>
      </c>
      <c r="F2448" s="3">
        <v>0.43990000000000001</v>
      </c>
      <c r="G2448">
        <v>7.9025999999999996</v>
      </c>
      <c r="H2448">
        <v>1.3</v>
      </c>
    </row>
    <row r="2449" spans="1:8" x14ac:dyDescent="0.25">
      <c r="A2449" t="s">
        <v>2455</v>
      </c>
      <c r="B2449">
        <v>58310</v>
      </c>
      <c r="C2449">
        <v>7891112086722</v>
      </c>
      <c r="D2449">
        <v>26.9</v>
      </c>
      <c r="E2449">
        <v>15.81</v>
      </c>
      <c r="F2449" s="3">
        <v>0.29930000000000001</v>
      </c>
      <c r="G2449">
        <v>11.5174</v>
      </c>
      <c r="H2449">
        <v>3.3000000000000002E-2</v>
      </c>
    </row>
    <row r="2450" spans="1:8" x14ac:dyDescent="0.25">
      <c r="A2450" t="s">
        <v>2456</v>
      </c>
      <c r="B2450">
        <v>17772</v>
      </c>
      <c r="C2450">
        <v>7891962074351</v>
      </c>
      <c r="D2450">
        <v>22.9</v>
      </c>
      <c r="E2450">
        <v>16.37</v>
      </c>
      <c r="F2450" s="3">
        <v>0.22450000000000001</v>
      </c>
      <c r="G2450">
        <v>12.893800000000001</v>
      </c>
      <c r="H2450">
        <v>25.3</v>
      </c>
    </row>
    <row r="2451" spans="1:8" x14ac:dyDescent="0.25">
      <c r="A2451" t="s">
        <v>2457</v>
      </c>
      <c r="B2451">
        <v>17769</v>
      </c>
      <c r="C2451">
        <v>7891962074368</v>
      </c>
      <c r="D2451">
        <v>22.9</v>
      </c>
      <c r="E2451">
        <v>16.37</v>
      </c>
      <c r="F2451" s="3">
        <v>0.22440000000000002</v>
      </c>
      <c r="G2451">
        <v>12.894</v>
      </c>
      <c r="H2451">
        <v>16.100000000000001</v>
      </c>
    </row>
    <row r="2452" spans="1:8" x14ac:dyDescent="0.25">
      <c r="A2452" t="s">
        <v>2458</v>
      </c>
      <c r="B2452">
        <v>35111</v>
      </c>
      <c r="C2452">
        <v>7891962074382</v>
      </c>
      <c r="D2452">
        <v>32.9</v>
      </c>
      <c r="E2452">
        <v>22.17</v>
      </c>
      <c r="F2452" s="3">
        <v>0.25670000000000004</v>
      </c>
      <c r="G2452">
        <v>17.462</v>
      </c>
      <c r="H2452">
        <v>3.133</v>
      </c>
    </row>
    <row r="2453" spans="1:8" x14ac:dyDescent="0.25">
      <c r="A2453" t="s">
        <v>2459</v>
      </c>
      <c r="B2453">
        <v>41382</v>
      </c>
      <c r="C2453">
        <v>7891962074375</v>
      </c>
      <c r="D2453">
        <v>32.9</v>
      </c>
      <c r="E2453">
        <v>22.17</v>
      </c>
      <c r="F2453" s="3">
        <v>0.25670000000000004</v>
      </c>
      <c r="G2453">
        <v>17.462199999999999</v>
      </c>
      <c r="H2453">
        <v>5.4669999999999996</v>
      </c>
    </row>
    <row r="2454" spans="1:8" x14ac:dyDescent="0.25">
      <c r="A2454" t="s">
        <v>2460</v>
      </c>
      <c r="B2454">
        <v>66733</v>
      </c>
      <c r="C2454">
        <v>7898952806350</v>
      </c>
      <c r="D2454">
        <v>32.9</v>
      </c>
      <c r="E2454">
        <v>21.11</v>
      </c>
      <c r="F2454" s="3">
        <v>0.28220000000000001</v>
      </c>
      <c r="G2454">
        <v>16.626000000000001</v>
      </c>
      <c r="H2454">
        <v>0.31</v>
      </c>
    </row>
    <row r="2455" spans="1:8" x14ac:dyDescent="0.25">
      <c r="A2455" t="s">
        <v>2461</v>
      </c>
      <c r="B2455">
        <v>66734</v>
      </c>
      <c r="C2455">
        <v>7898952806367</v>
      </c>
      <c r="D2455">
        <v>32.9</v>
      </c>
      <c r="E2455">
        <v>22.23</v>
      </c>
      <c r="F2455" s="3">
        <v>0.25540000000000002</v>
      </c>
      <c r="G2455">
        <v>17.506</v>
      </c>
      <c r="H2455">
        <v>0.44900000000000001</v>
      </c>
    </row>
    <row r="2456" spans="1:8" x14ac:dyDescent="0.25">
      <c r="A2456" t="s">
        <v>2462</v>
      </c>
      <c r="B2456">
        <v>66205</v>
      </c>
      <c r="C2456">
        <v>7891010031350</v>
      </c>
      <c r="D2456">
        <v>33.9</v>
      </c>
      <c r="E2456">
        <v>23.06</v>
      </c>
      <c r="F2456" s="3">
        <v>0.31759999999999999</v>
      </c>
      <c r="G2456">
        <v>23.133299999999998</v>
      </c>
      <c r="H2456">
        <v>0.4</v>
      </c>
    </row>
    <row r="2457" spans="1:8" x14ac:dyDescent="0.25">
      <c r="A2457" t="s">
        <v>2463</v>
      </c>
      <c r="B2457">
        <v>26247</v>
      </c>
      <c r="C2457">
        <v>7898629610501</v>
      </c>
      <c r="D2457">
        <v>4.99</v>
      </c>
      <c r="E2457">
        <v>1.92</v>
      </c>
      <c r="F2457" s="3">
        <v>0.55830000000000002</v>
      </c>
      <c r="G2457">
        <v>1.7423999999999999</v>
      </c>
      <c r="H2457">
        <v>17.233000000000001</v>
      </c>
    </row>
    <row r="2458" spans="1:8" x14ac:dyDescent="0.25">
      <c r="A2458" t="s">
        <v>2464</v>
      </c>
      <c r="B2458">
        <v>4874</v>
      </c>
      <c r="C2458">
        <v>7891095911363</v>
      </c>
      <c r="D2458">
        <v>9.99</v>
      </c>
      <c r="E2458">
        <v>4.45</v>
      </c>
      <c r="F2458" s="3">
        <v>0.40749999999999997</v>
      </c>
      <c r="G2458">
        <v>3.1966999999999999</v>
      </c>
      <c r="H2458">
        <v>5.6669999999999998</v>
      </c>
    </row>
    <row r="2459" spans="1:8" x14ac:dyDescent="0.25">
      <c r="A2459" t="s">
        <v>2465</v>
      </c>
      <c r="B2459">
        <v>4870</v>
      </c>
      <c r="C2459">
        <v>7891095154104</v>
      </c>
      <c r="D2459">
        <v>5.99</v>
      </c>
      <c r="E2459">
        <v>3.24</v>
      </c>
      <c r="F2459" s="3">
        <v>0.33399999999999996</v>
      </c>
      <c r="G2459">
        <v>2.3571</v>
      </c>
      <c r="H2459">
        <v>7.4</v>
      </c>
    </row>
    <row r="2460" spans="1:8" x14ac:dyDescent="0.25">
      <c r="A2460" t="s">
        <v>2466</v>
      </c>
      <c r="B2460">
        <v>53160</v>
      </c>
      <c r="C2460">
        <v>7898629611720</v>
      </c>
      <c r="D2460">
        <v>4.99</v>
      </c>
      <c r="E2460">
        <v>1.75</v>
      </c>
      <c r="F2460" s="3">
        <v>0.58930000000000005</v>
      </c>
      <c r="G2460">
        <v>1.5880000000000001</v>
      </c>
      <c r="H2460">
        <v>0.36699999999999999</v>
      </c>
    </row>
    <row r="2461" spans="1:8" x14ac:dyDescent="0.25">
      <c r="A2461" t="s">
        <v>2467</v>
      </c>
      <c r="B2461">
        <v>26296</v>
      </c>
      <c r="C2461">
        <v>7898629610587</v>
      </c>
      <c r="D2461">
        <v>4.99</v>
      </c>
      <c r="E2461">
        <v>1.92</v>
      </c>
      <c r="F2461" s="3">
        <v>0.55830000000000002</v>
      </c>
      <c r="G2461">
        <v>1.7423999999999999</v>
      </c>
      <c r="H2461">
        <v>4.1669999999999998</v>
      </c>
    </row>
    <row r="2462" spans="1:8" x14ac:dyDescent="0.25">
      <c r="A2462" t="s">
        <v>2468</v>
      </c>
      <c r="B2462">
        <v>4876</v>
      </c>
      <c r="C2462">
        <v>7891095154036</v>
      </c>
      <c r="D2462">
        <v>14.9</v>
      </c>
      <c r="E2462">
        <v>7.64</v>
      </c>
      <c r="F2462" s="3">
        <v>0.35249999999999998</v>
      </c>
      <c r="G2462">
        <v>5.5871000000000004</v>
      </c>
      <c r="H2462">
        <v>3.2669999999999999</v>
      </c>
    </row>
    <row r="2463" spans="1:8" x14ac:dyDescent="0.25">
      <c r="A2463" t="s">
        <v>2469</v>
      </c>
      <c r="B2463">
        <v>4879</v>
      </c>
      <c r="C2463">
        <v>7891095154234</v>
      </c>
      <c r="D2463">
        <v>3.99</v>
      </c>
      <c r="E2463">
        <v>1.94</v>
      </c>
      <c r="F2463" s="3">
        <v>0.3765</v>
      </c>
      <c r="G2463">
        <v>1.4005000000000001</v>
      </c>
      <c r="H2463">
        <v>2.133</v>
      </c>
    </row>
    <row r="2464" spans="1:8" x14ac:dyDescent="0.25">
      <c r="A2464" t="s">
        <v>2470</v>
      </c>
      <c r="B2464">
        <v>67793</v>
      </c>
      <c r="C2464">
        <v>7891000285015</v>
      </c>
      <c r="D2464">
        <v>23.9</v>
      </c>
      <c r="E2464">
        <v>18.28</v>
      </c>
      <c r="F2464" s="3">
        <v>0.23780000000000001</v>
      </c>
      <c r="G2464">
        <v>18.216200000000001</v>
      </c>
      <c r="H2464">
        <v>1.0329999999999999</v>
      </c>
    </row>
    <row r="2465" spans="1:8" x14ac:dyDescent="0.25">
      <c r="A2465" t="s">
        <v>2471</v>
      </c>
      <c r="B2465">
        <v>52070</v>
      </c>
      <c r="C2465">
        <v>7891000119976</v>
      </c>
      <c r="D2465">
        <v>89.9</v>
      </c>
      <c r="E2465">
        <v>71.91</v>
      </c>
      <c r="F2465" s="3">
        <v>0.20010000000000003</v>
      </c>
      <c r="G2465">
        <v>71.91</v>
      </c>
      <c r="H2465">
        <v>0.16700000000000001</v>
      </c>
    </row>
    <row r="2466" spans="1:8" x14ac:dyDescent="0.25">
      <c r="A2466" t="s">
        <v>2472</v>
      </c>
      <c r="B2466">
        <v>24041</v>
      </c>
      <c r="C2466">
        <v>7891000279762</v>
      </c>
      <c r="D2466">
        <v>54.9</v>
      </c>
      <c r="E2466">
        <v>39.74</v>
      </c>
      <c r="F2466" s="3">
        <v>0.27579999999999999</v>
      </c>
      <c r="G2466">
        <v>39.759099999999997</v>
      </c>
      <c r="H2466">
        <v>0.5</v>
      </c>
    </row>
    <row r="2467" spans="1:8" x14ac:dyDescent="0.25">
      <c r="A2467" t="s">
        <v>2473</v>
      </c>
      <c r="B2467">
        <v>29974</v>
      </c>
      <c r="C2467">
        <v>7891000109915</v>
      </c>
      <c r="D2467">
        <v>25.9</v>
      </c>
      <c r="E2467">
        <v>20.58</v>
      </c>
      <c r="F2467" s="3">
        <v>0.20559999999999998</v>
      </c>
      <c r="G2467">
        <v>20.575099999999999</v>
      </c>
      <c r="H2467">
        <v>5.2670000000000003</v>
      </c>
    </row>
    <row r="2468" spans="1:8" x14ac:dyDescent="0.25">
      <c r="A2468" t="s">
        <v>2474</v>
      </c>
      <c r="B2468">
        <v>5993</v>
      </c>
      <c r="C2468">
        <v>7891000001080</v>
      </c>
      <c r="D2468">
        <v>29.9</v>
      </c>
      <c r="E2468">
        <v>20.9</v>
      </c>
      <c r="F2468" s="3">
        <v>0.30170000000000002</v>
      </c>
      <c r="G2468">
        <v>20.878299999999999</v>
      </c>
      <c r="H2468">
        <v>2.0670000000000002</v>
      </c>
    </row>
    <row r="2469" spans="1:8" x14ac:dyDescent="0.25">
      <c r="A2469" t="s">
        <v>2475</v>
      </c>
      <c r="B2469">
        <v>67786</v>
      </c>
      <c r="C2469">
        <v>7891000399866</v>
      </c>
      <c r="D2469">
        <v>21.9</v>
      </c>
      <c r="E2469">
        <v>16.8</v>
      </c>
      <c r="F2469" s="3">
        <v>0.23499999999999999</v>
      </c>
      <c r="G2469">
        <v>16.753900000000002</v>
      </c>
      <c r="H2469">
        <v>0.76700000000000002</v>
      </c>
    </row>
    <row r="2470" spans="1:8" x14ac:dyDescent="0.25">
      <c r="A2470" t="s">
        <v>2476</v>
      </c>
      <c r="B2470">
        <v>24578</v>
      </c>
      <c r="C2470">
        <v>7891000096482</v>
      </c>
      <c r="D2470">
        <v>89.9</v>
      </c>
      <c r="E2470">
        <v>71.709999999999994</v>
      </c>
      <c r="F2470" s="3">
        <v>0.14710000000000001</v>
      </c>
      <c r="G2470">
        <v>52.174399999999999</v>
      </c>
      <c r="H2470">
        <v>0.66700000000000004</v>
      </c>
    </row>
    <row r="2471" spans="1:8" x14ac:dyDescent="0.25">
      <c r="A2471" t="s">
        <v>2477</v>
      </c>
      <c r="B2471">
        <v>43106</v>
      </c>
      <c r="C2471">
        <v>7891000120606</v>
      </c>
      <c r="D2471">
        <v>89.9</v>
      </c>
      <c r="E2471">
        <v>72.510000000000005</v>
      </c>
      <c r="F2471" s="3">
        <v>0.14069999999999999</v>
      </c>
      <c r="G2471">
        <v>52.753799999999998</v>
      </c>
      <c r="H2471">
        <v>0.16700000000000001</v>
      </c>
    </row>
    <row r="2472" spans="1:8" x14ac:dyDescent="0.25">
      <c r="A2472" t="s">
        <v>2478</v>
      </c>
      <c r="B2472">
        <v>65456</v>
      </c>
      <c r="C2472">
        <v>7898215157915</v>
      </c>
      <c r="D2472">
        <v>24.9</v>
      </c>
      <c r="E2472">
        <v>15.56</v>
      </c>
      <c r="F2472" s="3">
        <v>0.29399999999999998</v>
      </c>
      <c r="G2472">
        <v>12.2881</v>
      </c>
      <c r="H2472">
        <v>1.7</v>
      </c>
    </row>
    <row r="2473" spans="1:8" x14ac:dyDescent="0.25">
      <c r="A2473" t="s">
        <v>2479</v>
      </c>
      <c r="B2473">
        <v>26371</v>
      </c>
      <c r="C2473">
        <v>7898629610495</v>
      </c>
      <c r="D2473">
        <v>3.99</v>
      </c>
      <c r="E2473">
        <v>1.2</v>
      </c>
      <c r="F2473" s="3">
        <v>0.63460000000000005</v>
      </c>
      <c r="G2473">
        <v>1.089</v>
      </c>
      <c r="H2473">
        <v>1.0669999999999999</v>
      </c>
    </row>
    <row r="2474" spans="1:8" x14ac:dyDescent="0.25">
      <c r="A2474" t="s">
        <v>2480</v>
      </c>
      <c r="B2474">
        <v>58545</v>
      </c>
      <c r="C2474">
        <v>7891112086708</v>
      </c>
      <c r="D2474">
        <v>26.9</v>
      </c>
      <c r="E2474">
        <v>16.87</v>
      </c>
      <c r="F2474" s="3">
        <v>0.2712</v>
      </c>
      <c r="G2474">
        <v>12.273400000000001</v>
      </c>
      <c r="H2474">
        <v>3.3000000000000002E-2</v>
      </c>
    </row>
    <row r="2475" spans="1:8" x14ac:dyDescent="0.25">
      <c r="A2475" t="s">
        <v>2481</v>
      </c>
      <c r="B2475">
        <v>58308</v>
      </c>
      <c r="C2475">
        <v>7891112284470</v>
      </c>
      <c r="D2475">
        <v>23.9</v>
      </c>
      <c r="E2475">
        <v>12.52</v>
      </c>
      <c r="F2475" s="3">
        <v>0.33090000000000003</v>
      </c>
      <c r="G2475">
        <v>9.4794999999999998</v>
      </c>
      <c r="H2475">
        <v>0.1</v>
      </c>
    </row>
    <row r="2476" spans="1:8" x14ac:dyDescent="0.25">
      <c r="A2476" t="s">
        <v>2482</v>
      </c>
      <c r="B2476">
        <v>20145</v>
      </c>
      <c r="C2476">
        <v>7891024184271</v>
      </c>
      <c r="D2476">
        <v>12.9</v>
      </c>
      <c r="E2476">
        <v>9.2200000000000006</v>
      </c>
      <c r="F2476" s="3">
        <v>0.28460000000000002</v>
      </c>
      <c r="G2476">
        <v>9.2292000000000005</v>
      </c>
      <c r="H2476">
        <v>0.433</v>
      </c>
    </row>
    <row r="2477" spans="1:8" x14ac:dyDescent="0.25">
      <c r="A2477" t="s">
        <v>2483</v>
      </c>
      <c r="B2477">
        <v>62355</v>
      </c>
      <c r="C2477">
        <v>7509546682617</v>
      </c>
      <c r="D2477">
        <v>12.9</v>
      </c>
      <c r="E2477">
        <v>9.0500000000000007</v>
      </c>
      <c r="F2477" s="3">
        <v>0.29559999999999997</v>
      </c>
      <c r="G2477">
        <v>9.0863999999999994</v>
      </c>
      <c r="H2477">
        <v>0.26700000000000002</v>
      </c>
    </row>
    <row r="2478" spans="1:8" x14ac:dyDescent="0.25">
      <c r="A2478" t="s">
        <v>2484</v>
      </c>
      <c r="B2478">
        <v>20144</v>
      </c>
      <c r="C2478">
        <v>7891024182970</v>
      </c>
      <c r="D2478">
        <v>12.9</v>
      </c>
      <c r="E2478">
        <v>9.36</v>
      </c>
      <c r="F2478" s="3">
        <v>0.27460000000000001</v>
      </c>
      <c r="G2478">
        <v>9.3576999999999995</v>
      </c>
      <c r="H2478">
        <v>3.3000000000000002E-2</v>
      </c>
    </row>
    <row r="2479" spans="1:8" x14ac:dyDescent="0.25">
      <c r="A2479" t="s">
        <v>2485</v>
      </c>
      <c r="B2479">
        <v>12751</v>
      </c>
      <c r="C2479">
        <v>7896183301132</v>
      </c>
      <c r="D2479">
        <v>20.9</v>
      </c>
      <c r="E2479">
        <v>10.86</v>
      </c>
      <c r="F2479" s="3">
        <v>0.42899999999999999</v>
      </c>
      <c r="G2479">
        <v>10</v>
      </c>
      <c r="H2479">
        <v>0</v>
      </c>
    </row>
    <row r="2480" spans="1:8" x14ac:dyDescent="0.25">
      <c r="A2480" t="s">
        <v>2486</v>
      </c>
      <c r="B2480">
        <v>66952</v>
      </c>
      <c r="C2480">
        <v>7891150095564</v>
      </c>
      <c r="D2480">
        <v>23.9</v>
      </c>
      <c r="E2480">
        <v>16.18</v>
      </c>
      <c r="F2480" s="3">
        <v>0.315</v>
      </c>
      <c r="G2480">
        <v>16.370899999999999</v>
      </c>
      <c r="H2480">
        <v>0.16700000000000001</v>
      </c>
    </row>
    <row r="2481" spans="1:8" x14ac:dyDescent="0.25">
      <c r="A2481" t="s">
        <v>2487</v>
      </c>
      <c r="B2481">
        <v>45930</v>
      </c>
      <c r="C2481">
        <v>7891150054479</v>
      </c>
      <c r="D2481">
        <v>22.9</v>
      </c>
      <c r="E2481">
        <v>15.59</v>
      </c>
      <c r="F2481" s="3">
        <v>0.31900000000000001</v>
      </c>
      <c r="G2481">
        <v>15.594799999999999</v>
      </c>
      <c r="H2481">
        <v>0.13300000000000001</v>
      </c>
    </row>
    <row r="2482" spans="1:8" x14ac:dyDescent="0.25">
      <c r="A2482" t="s">
        <v>2488</v>
      </c>
      <c r="B2482">
        <v>7800</v>
      </c>
      <c r="C2482">
        <v>7891150017375</v>
      </c>
      <c r="D2482">
        <v>22.9</v>
      </c>
      <c r="E2482">
        <v>16.04</v>
      </c>
      <c r="F2482" s="3">
        <v>0.28949999999999998</v>
      </c>
      <c r="G2482">
        <v>16.270099999999999</v>
      </c>
      <c r="H2482">
        <v>1.4330000000000001</v>
      </c>
    </row>
    <row r="2483" spans="1:8" x14ac:dyDescent="0.25">
      <c r="A2483" t="s">
        <v>2489</v>
      </c>
      <c r="B2483">
        <v>7847</v>
      </c>
      <c r="C2483">
        <v>7891150008816</v>
      </c>
      <c r="D2483">
        <v>22.9</v>
      </c>
      <c r="E2483">
        <v>15.88</v>
      </c>
      <c r="F2483" s="3">
        <v>0.29760000000000003</v>
      </c>
      <c r="G2483">
        <v>16.0853</v>
      </c>
      <c r="H2483">
        <v>0.16700000000000001</v>
      </c>
    </row>
    <row r="2484" spans="1:8" x14ac:dyDescent="0.25">
      <c r="A2484" t="s">
        <v>2490</v>
      </c>
      <c r="B2484">
        <v>66951</v>
      </c>
      <c r="C2484">
        <v>7891150095595</v>
      </c>
      <c r="D2484">
        <v>37.9</v>
      </c>
      <c r="E2484">
        <v>25.68</v>
      </c>
      <c r="F2484" s="3">
        <v>0.32119999999999999</v>
      </c>
      <c r="G2484">
        <v>25.727499999999999</v>
      </c>
      <c r="H2484">
        <v>0.4</v>
      </c>
    </row>
    <row r="2485" spans="1:8" x14ac:dyDescent="0.25">
      <c r="A2485" t="s">
        <v>2491</v>
      </c>
      <c r="B2485">
        <v>62365</v>
      </c>
      <c r="C2485">
        <v>7891150084490</v>
      </c>
      <c r="D2485">
        <v>35.9</v>
      </c>
      <c r="E2485">
        <v>23.8</v>
      </c>
      <c r="F2485" s="3">
        <v>0.3175</v>
      </c>
      <c r="G2485">
        <v>24.5</v>
      </c>
      <c r="H2485">
        <v>0.3</v>
      </c>
    </row>
    <row r="2486" spans="1:8" x14ac:dyDescent="0.25">
      <c r="A2486" t="s">
        <v>2492</v>
      </c>
      <c r="B2486">
        <v>52140</v>
      </c>
      <c r="C2486">
        <v>7891150062498</v>
      </c>
      <c r="D2486">
        <v>35.9</v>
      </c>
      <c r="E2486">
        <v>22.34</v>
      </c>
      <c r="F2486" s="3">
        <v>0.37770000000000004</v>
      </c>
      <c r="G2486">
        <v>22.3401</v>
      </c>
      <c r="H2486">
        <v>0</v>
      </c>
    </row>
    <row r="2487" spans="1:8" x14ac:dyDescent="0.25">
      <c r="A2487" t="s">
        <v>2493</v>
      </c>
      <c r="B2487">
        <v>57831</v>
      </c>
      <c r="C2487">
        <v>7891150075306</v>
      </c>
      <c r="D2487">
        <v>35.9</v>
      </c>
      <c r="E2487">
        <v>24.84</v>
      </c>
      <c r="F2487" s="3">
        <v>0.315</v>
      </c>
      <c r="G2487">
        <v>24.5914</v>
      </c>
      <c r="H2487">
        <v>0.7</v>
      </c>
    </row>
    <row r="2488" spans="1:8" x14ac:dyDescent="0.25">
      <c r="A2488" t="s">
        <v>2494</v>
      </c>
      <c r="B2488">
        <v>45931</v>
      </c>
      <c r="C2488">
        <v>7891150054448</v>
      </c>
      <c r="D2488">
        <v>35.9</v>
      </c>
      <c r="E2488">
        <v>24.46</v>
      </c>
      <c r="F2488" s="3">
        <v>0.31109999999999999</v>
      </c>
      <c r="G2488">
        <v>24.7303</v>
      </c>
      <c r="H2488">
        <v>0.7</v>
      </c>
    </row>
    <row r="2489" spans="1:8" x14ac:dyDescent="0.25">
      <c r="A2489" t="s">
        <v>2495</v>
      </c>
      <c r="B2489">
        <v>45929</v>
      </c>
      <c r="C2489">
        <v>7891150055179</v>
      </c>
      <c r="D2489">
        <v>35.9</v>
      </c>
      <c r="E2489">
        <v>24.84</v>
      </c>
      <c r="F2489" s="3">
        <v>0.30659999999999998</v>
      </c>
      <c r="G2489">
        <v>24.8933</v>
      </c>
      <c r="H2489">
        <v>0.33300000000000002</v>
      </c>
    </row>
    <row r="2490" spans="1:8" x14ac:dyDescent="0.25">
      <c r="A2490" t="s">
        <v>2496</v>
      </c>
      <c r="B2490">
        <v>12872</v>
      </c>
      <c r="C2490">
        <v>7891150017337</v>
      </c>
      <c r="D2490">
        <v>35.9</v>
      </c>
      <c r="E2490">
        <v>24.72</v>
      </c>
      <c r="F2490" s="3">
        <v>0.2918</v>
      </c>
      <c r="G2490">
        <v>25.424700000000001</v>
      </c>
      <c r="H2490">
        <v>0.1</v>
      </c>
    </row>
    <row r="2491" spans="1:8" x14ac:dyDescent="0.25">
      <c r="A2491" t="s">
        <v>2497</v>
      </c>
      <c r="B2491">
        <v>7852</v>
      </c>
      <c r="C2491">
        <v>7791293004976</v>
      </c>
      <c r="D2491">
        <v>35.9</v>
      </c>
      <c r="E2491">
        <v>24.48</v>
      </c>
      <c r="F2491" s="3">
        <v>0.32409999999999994</v>
      </c>
      <c r="G2491">
        <v>24.265999999999998</v>
      </c>
      <c r="H2491">
        <v>0.63300000000000001</v>
      </c>
    </row>
    <row r="2492" spans="1:8" x14ac:dyDescent="0.25">
      <c r="A2492" t="s">
        <v>2498</v>
      </c>
      <c r="B2492">
        <v>35705</v>
      </c>
      <c r="C2492">
        <v>7891150043237</v>
      </c>
      <c r="D2492">
        <v>35.9</v>
      </c>
      <c r="E2492">
        <v>22.88</v>
      </c>
      <c r="F2492" s="3">
        <v>0.3604</v>
      </c>
      <c r="G2492">
        <v>22.9617</v>
      </c>
      <c r="H2492">
        <v>3.3000000000000002E-2</v>
      </c>
    </row>
    <row r="2493" spans="1:8" x14ac:dyDescent="0.25">
      <c r="A2493" t="s">
        <v>2499</v>
      </c>
      <c r="B2493">
        <v>42017</v>
      </c>
      <c r="C2493">
        <v>7891150050143</v>
      </c>
      <c r="D2493">
        <v>35.9</v>
      </c>
      <c r="E2493">
        <v>25.01</v>
      </c>
      <c r="F2493" s="3">
        <v>0.30349999999999999</v>
      </c>
      <c r="G2493">
        <v>25.0061</v>
      </c>
      <c r="H2493">
        <v>6.7000000000000004E-2</v>
      </c>
    </row>
    <row r="2494" spans="1:8" x14ac:dyDescent="0.25">
      <c r="A2494" t="s">
        <v>2500</v>
      </c>
      <c r="B2494">
        <v>42456</v>
      </c>
      <c r="C2494">
        <v>7891150044562</v>
      </c>
      <c r="D2494">
        <v>21.9</v>
      </c>
      <c r="E2494">
        <v>14.26</v>
      </c>
      <c r="F2494" s="3">
        <v>0.34439999999999998</v>
      </c>
      <c r="G2494">
        <v>14.358499999999999</v>
      </c>
      <c r="H2494">
        <v>0.13300000000000001</v>
      </c>
    </row>
    <row r="2495" spans="1:8" x14ac:dyDescent="0.25">
      <c r="A2495" t="s">
        <v>2501</v>
      </c>
      <c r="B2495">
        <v>42457</v>
      </c>
      <c r="C2495">
        <v>7891150045347</v>
      </c>
      <c r="D2495">
        <v>21.9</v>
      </c>
      <c r="E2495">
        <v>14.47</v>
      </c>
      <c r="F2495" s="3">
        <v>0.33950000000000002</v>
      </c>
      <c r="G2495">
        <v>14.4658</v>
      </c>
      <c r="H2495">
        <v>0</v>
      </c>
    </row>
    <row r="2496" spans="1:8" x14ac:dyDescent="0.25">
      <c r="A2496" t="s">
        <v>2502</v>
      </c>
      <c r="B2496">
        <v>55503</v>
      </c>
      <c r="C2496">
        <v>7891150065314</v>
      </c>
      <c r="D2496">
        <v>21.9</v>
      </c>
      <c r="E2496">
        <v>14.17</v>
      </c>
      <c r="F2496" s="3">
        <v>0.34149999999999997</v>
      </c>
      <c r="G2496">
        <v>14.4213</v>
      </c>
      <c r="H2496">
        <v>0.3</v>
      </c>
    </row>
    <row r="2497" spans="1:8" x14ac:dyDescent="0.25">
      <c r="A2497" t="s">
        <v>2503</v>
      </c>
      <c r="B2497">
        <v>24686</v>
      </c>
      <c r="C2497">
        <v>7891150036390</v>
      </c>
      <c r="D2497">
        <v>21.9</v>
      </c>
      <c r="E2497">
        <v>14.47</v>
      </c>
      <c r="F2497" s="3">
        <v>0.33909999999999996</v>
      </c>
      <c r="G2497">
        <v>14.473599999999999</v>
      </c>
      <c r="H2497">
        <v>0.36699999999999999</v>
      </c>
    </row>
    <row r="2498" spans="1:8" x14ac:dyDescent="0.25">
      <c r="A2498" t="s">
        <v>2504</v>
      </c>
      <c r="B2498">
        <v>60555</v>
      </c>
      <c r="C2498">
        <v>7891150078116</v>
      </c>
      <c r="D2498">
        <v>24.65</v>
      </c>
      <c r="E2498">
        <v>17.399999999999999</v>
      </c>
      <c r="F2498" s="3">
        <v>0.29420000000000002</v>
      </c>
      <c r="G2498">
        <v>17.399000000000001</v>
      </c>
      <c r="H2498">
        <v>0.3</v>
      </c>
    </row>
    <row r="2499" spans="1:8" x14ac:dyDescent="0.25">
      <c r="A2499" t="s">
        <v>2505</v>
      </c>
      <c r="B2499">
        <v>42021</v>
      </c>
      <c r="C2499">
        <v>7891150050129</v>
      </c>
      <c r="D2499">
        <v>23.9</v>
      </c>
      <c r="E2499">
        <v>15.67</v>
      </c>
      <c r="F2499" s="3">
        <v>0.34009999999999996</v>
      </c>
      <c r="G2499">
        <v>15.771100000000001</v>
      </c>
      <c r="H2499">
        <v>0.8</v>
      </c>
    </row>
    <row r="2500" spans="1:8" x14ac:dyDescent="0.25">
      <c r="A2500" t="s">
        <v>2506</v>
      </c>
      <c r="B2500">
        <v>42020</v>
      </c>
      <c r="C2500">
        <v>7891150050112</v>
      </c>
      <c r="D2500">
        <v>35.9</v>
      </c>
      <c r="E2500">
        <v>23.36</v>
      </c>
      <c r="F2500" s="3">
        <v>0.3448</v>
      </c>
      <c r="G2500">
        <v>23.522500000000001</v>
      </c>
      <c r="H2500">
        <v>6.7000000000000004E-2</v>
      </c>
    </row>
    <row r="2501" spans="1:8" x14ac:dyDescent="0.25">
      <c r="A2501" t="s">
        <v>2507</v>
      </c>
      <c r="B2501">
        <v>62362</v>
      </c>
      <c r="C2501">
        <v>7891150084506</v>
      </c>
      <c r="D2501">
        <v>34.9</v>
      </c>
      <c r="E2501">
        <v>21.28</v>
      </c>
      <c r="F2501" s="3">
        <v>0.39039999999999997</v>
      </c>
      <c r="G2501">
        <v>21.276499999999999</v>
      </c>
      <c r="H2501">
        <v>0</v>
      </c>
    </row>
    <row r="2502" spans="1:8" x14ac:dyDescent="0.25">
      <c r="A2502" t="s">
        <v>2508</v>
      </c>
      <c r="B2502">
        <v>68336</v>
      </c>
      <c r="C2502">
        <v>7891033535019</v>
      </c>
      <c r="D2502">
        <v>54.99</v>
      </c>
      <c r="E2502">
        <v>38.46</v>
      </c>
      <c r="F2502" s="3">
        <v>0.30059999999999998</v>
      </c>
      <c r="G2502">
        <v>38.46</v>
      </c>
      <c r="H2502">
        <v>0.36699999999999999</v>
      </c>
    </row>
    <row r="2503" spans="1:8" x14ac:dyDescent="0.25">
      <c r="A2503" t="s">
        <v>2509</v>
      </c>
      <c r="B2503">
        <v>68338</v>
      </c>
      <c r="C2503">
        <v>7891033517459</v>
      </c>
      <c r="D2503">
        <v>54.99</v>
      </c>
      <c r="E2503">
        <v>38.46</v>
      </c>
      <c r="F2503" s="3">
        <v>0.30059999999999998</v>
      </c>
      <c r="G2503">
        <v>38.46</v>
      </c>
      <c r="H2503">
        <v>6.7000000000000004E-2</v>
      </c>
    </row>
    <row r="2504" spans="1:8" x14ac:dyDescent="0.25">
      <c r="A2504" t="s">
        <v>2510</v>
      </c>
      <c r="B2504">
        <v>68326</v>
      </c>
      <c r="C2504">
        <v>7891033070664</v>
      </c>
      <c r="D2504">
        <v>54.99</v>
      </c>
      <c r="E2504">
        <v>38.46</v>
      </c>
      <c r="F2504" s="3">
        <v>0.30059999999999998</v>
      </c>
      <c r="G2504">
        <v>38.46</v>
      </c>
      <c r="H2504">
        <v>0.26700000000000002</v>
      </c>
    </row>
    <row r="2505" spans="1:8" x14ac:dyDescent="0.25">
      <c r="A2505" t="s">
        <v>2511</v>
      </c>
      <c r="B2505">
        <v>68330</v>
      </c>
      <c r="C2505">
        <v>7891033471768</v>
      </c>
      <c r="D2505">
        <v>54.99</v>
      </c>
      <c r="E2505">
        <v>38.46</v>
      </c>
      <c r="F2505" s="3">
        <v>0.30059999999999998</v>
      </c>
      <c r="G2505">
        <v>38.46</v>
      </c>
      <c r="H2505">
        <v>0.2</v>
      </c>
    </row>
    <row r="2506" spans="1:8" x14ac:dyDescent="0.25">
      <c r="A2506" t="s">
        <v>2512</v>
      </c>
      <c r="B2506">
        <v>68327</v>
      </c>
      <c r="C2506">
        <v>7891033930470</v>
      </c>
      <c r="D2506">
        <v>54.99</v>
      </c>
      <c r="E2506">
        <v>38.46</v>
      </c>
      <c r="F2506" s="3">
        <v>0.30059999999999998</v>
      </c>
      <c r="G2506">
        <v>38.46</v>
      </c>
      <c r="H2506">
        <v>0.3</v>
      </c>
    </row>
    <row r="2507" spans="1:8" x14ac:dyDescent="0.25">
      <c r="A2507" t="s">
        <v>2513</v>
      </c>
      <c r="B2507">
        <v>68331</v>
      </c>
      <c r="C2507">
        <v>7891033303021</v>
      </c>
      <c r="D2507">
        <v>52.99</v>
      </c>
      <c r="E2507">
        <v>37.06</v>
      </c>
      <c r="F2507" s="3">
        <v>0.30059999999999998</v>
      </c>
      <c r="G2507">
        <v>37.06</v>
      </c>
      <c r="H2507">
        <v>6.7000000000000004E-2</v>
      </c>
    </row>
    <row r="2508" spans="1:8" x14ac:dyDescent="0.25">
      <c r="A2508" t="s">
        <v>2514</v>
      </c>
      <c r="B2508">
        <v>68328</v>
      </c>
      <c r="C2508">
        <v>7891033535057</v>
      </c>
      <c r="D2508">
        <v>52.99</v>
      </c>
      <c r="E2508">
        <v>37.06</v>
      </c>
      <c r="F2508" s="3">
        <v>0.30059999999999998</v>
      </c>
      <c r="G2508">
        <v>37.06</v>
      </c>
      <c r="H2508">
        <v>0.4</v>
      </c>
    </row>
    <row r="2509" spans="1:8" x14ac:dyDescent="0.25">
      <c r="A2509" t="s">
        <v>2515</v>
      </c>
      <c r="B2509">
        <v>68324</v>
      </c>
      <c r="C2509">
        <v>7891033534364</v>
      </c>
      <c r="D2509">
        <v>54.99</v>
      </c>
      <c r="E2509">
        <v>38.46</v>
      </c>
      <c r="F2509" s="3">
        <v>0.30059999999999998</v>
      </c>
      <c r="G2509">
        <v>38.46</v>
      </c>
      <c r="H2509">
        <v>0.4</v>
      </c>
    </row>
    <row r="2510" spans="1:8" x14ac:dyDescent="0.25">
      <c r="A2510" t="s">
        <v>2516</v>
      </c>
      <c r="B2510">
        <v>68337</v>
      </c>
      <c r="C2510">
        <v>7891033530953</v>
      </c>
      <c r="D2510">
        <v>54.99</v>
      </c>
      <c r="E2510">
        <v>38.46</v>
      </c>
      <c r="F2510" s="3">
        <v>0.30059999999999998</v>
      </c>
      <c r="G2510">
        <v>38.46</v>
      </c>
      <c r="H2510">
        <v>0.1</v>
      </c>
    </row>
    <row r="2511" spans="1:8" x14ac:dyDescent="0.25">
      <c r="A2511" t="s">
        <v>2517</v>
      </c>
      <c r="B2511">
        <v>68333</v>
      </c>
      <c r="C2511">
        <v>7891033535200</v>
      </c>
      <c r="D2511">
        <v>54.99</v>
      </c>
      <c r="E2511">
        <v>38.46</v>
      </c>
      <c r="F2511" s="3">
        <v>0.30059999999999998</v>
      </c>
      <c r="G2511">
        <v>38.46</v>
      </c>
      <c r="H2511">
        <v>0.16700000000000001</v>
      </c>
    </row>
    <row r="2512" spans="1:8" x14ac:dyDescent="0.25">
      <c r="A2512" t="s">
        <v>2518</v>
      </c>
      <c r="B2512">
        <v>68453</v>
      </c>
      <c r="C2512">
        <v>7891033558032</v>
      </c>
      <c r="D2512">
        <v>54.9</v>
      </c>
      <c r="E2512">
        <v>38.46</v>
      </c>
      <c r="F2512" s="3">
        <v>0.29949999999999999</v>
      </c>
      <c r="G2512">
        <v>38.46</v>
      </c>
      <c r="H2512">
        <v>6.7000000000000004E-2</v>
      </c>
    </row>
    <row r="2513" spans="1:8" x14ac:dyDescent="0.25">
      <c r="A2513" t="s">
        <v>2519</v>
      </c>
      <c r="B2513">
        <v>17209</v>
      </c>
      <c r="C2513">
        <v>7896512910790</v>
      </c>
      <c r="D2513">
        <v>29.9</v>
      </c>
      <c r="E2513">
        <v>20.89</v>
      </c>
      <c r="F2513" s="3">
        <v>0.3014</v>
      </c>
      <c r="G2513">
        <v>20.886700000000001</v>
      </c>
      <c r="H2513">
        <v>0</v>
      </c>
    </row>
    <row r="2514" spans="1:8" x14ac:dyDescent="0.25">
      <c r="A2514" t="s">
        <v>2520</v>
      </c>
      <c r="B2514">
        <v>17210</v>
      </c>
      <c r="C2514">
        <v>7896512910714</v>
      </c>
      <c r="D2514">
        <v>29.9</v>
      </c>
      <c r="E2514">
        <v>20.69</v>
      </c>
      <c r="F2514" s="3">
        <v>0.30790000000000001</v>
      </c>
      <c r="G2514">
        <v>20.693100000000001</v>
      </c>
      <c r="H2514">
        <v>6.7000000000000004E-2</v>
      </c>
    </row>
    <row r="2515" spans="1:8" x14ac:dyDescent="0.25">
      <c r="A2515" t="s">
        <v>2521</v>
      </c>
      <c r="B2515">
        <v>17211</v>
      </c>
      <c r="C2515">
        <v>7896512910752</v>
      </c>
      <c r="D2515">
        <v>29.9</v>
      </c>
      <c r="E2515">
        <v>20.83</v>
      </c>
      <c r="F2515" s="3">
        <v>0.30320000000000003</v>
      </c>
      <c r="G2515">
        <v>20.834599999999998</v>
      </c>
      <c r="H2515">
        <v>0.16700000000000001</v>
      </c>
    </row>
    <row r="2516" spans="1:8" x14ac:dyDescent="0.25">
      <c r="A2516" t="s">
        <v>2522</v>
      </c>
      <c r="B2516">
        <v>67328</v>
      </c>
      <c r="C2516">
        <v>7896512973795</v>
      </c>
      <c r="D2516">
        <v>18.899999999999999</v>
      </c>
      <c r="E2516">
        <v>12.46</v>
      </c>
      <c r="F2516" s="3">
        <v>0.34079999999999999</v>
      </c>
      <c r="G2516">
        <v>12.458</v>
      </c>
      <c r="H2516">
        <v>0.13300000000000001</v>
      </c>
    </row>
    <row r="2517" spans="1:8" x14ac:dyDescent="0.25">
      <c r="A2517" t="s">
        <v>2523</v>
      </c>
      <c r="B2517">
        <v>17208</v>
      </c>
      <c r="C2517">
        <v>7896512911391</v>
      </c>
      <c r="D2517">
        <v>22.9</v>
      </c>
      <c r="E2517">
        <v>15.58</v>
      </c>
      <c r="F2517" s="3">
        <v>0.31969999999999998</v>
      </c>
      <c r="G2517">
        <v>15.58</v>
      </c>
      <c r="H2517">
        <v>0.16700000000000001</v>
      </c>
    </row>
    <row r="2518" spans="1:8" x14ac:dyDescent="0.25">
      <c r="A2518" t="s">
        <v>2524</v>
      </c>
      <c r="B2518">
        <v>7839</v>
      </c>
      <c r="C2518">
        <v>7896018700765</v>
      </c>
      <c r="D2518">
        <v>19.95</v>
      </c>
      <c r="E2518">
        <v>13.2</v>
      </c>
      <c r="F2518" s="3">
        <v>0.33860000000000001</v>
      </c>
      <c r="G2518">
        <v>13.195399999999999</v>
      </c>
      <c r="H2518">
        <v>6.7000000000000004E-2</v>
      </c>
    </row>
    <row r="2519" spans="1:8" x14ac:dyDescent="0.25">
      <c r="A2519" t="s">
        <v>2525</v>
      </c>
      <c r="B2519">
        <v>7838</v>
      </c>
      <c r="C2519">
        <v>7896018700314</v>
      </c>
      <c r="D2519">
        <v>19.95</v>
      </c>
      <c r="E2519">
        <v>13.8</v>
      </c>
      <c r="F2519" s="3">
        <v>0.30820000000000003</v>
      </c>
      <c r="G2519">
        <v>13.800800000000001</v>
      </c>
      <c r="H2519">
        <v>0</v>
      </c>
    </row>
    <row r="2520" spans="1:8" x14ac:dyDescent="0.25">
      <c r="A2520" t="s">
        <v>2526</v>
      </c>
      <c r="B2520">
        <v>66186</v>
      </c>
      <c r="C2520">
        <v>7891010030476</v>
      </c>
      <c r="D2520">
        <v>22.9</v>
      </c>
      <c r="E2520">
        <v>15.44</v>
      </c>
      <c r="F2520" s="3">
        <v>0.3367</v>
      </c>
      <c r="G2520">
        <v>15.188700000000001</v>
      </c>
      <c r="H2520">
        <v>0.16700000000000001</v>
      </c>
    </row>
    <row r="2521" spans="1:8" x14ac:dyDescent="0.25">
      <c r="A2521" t="s">
        <v>2527</v>
      </c>
      <c r="B2521">
        <v>66183</v>
      </c>
      <c r="C2521">
        <v>7891010030452</v>
      </c>
      <c r="D2521">
        <v>23.9</v>
      </c>
      <c r="E2521">
        <v>15.2</v>
      </c>
      <c r="F2521" s="3">
        <v>0.36340000000000006</v>
      </c>
      <c r="G2521">
        <v>15.214600000000001</v>
      </c>
      <c r="H2521">
        <v>0.6</v>
      </c>
    </row>
    <row r="2522" spans="1:8" x14ac:dyDescent="0.25">
      <c r="A2522" t="s">
        <v>2528</v>
      </c>
      <c r="B2522">
        <v>66196</v>
      </c>
      <c r="C2522">
        <v>7891010877620</v>
      </c>
      <c r="D2522">
        <v>37.9</v>
      </c>
      <c r="E2522">
        <v>24.62</v>
      </c>
      <c r="F2522" s="3">
        <v>0.36920000000000003</v>
      </c>
      <c r="G2522">
        <v>23.9069</v>
      </c>
      <c r="H2522">
        <v>0.33300000000000002</v>
      </c>
    </row>
    <row r="2523" spans="1:8" x14ac:dyDescent="0.25">
      <c r="A2523" t="s">
        <v>2529</v>
      </c>
      <c r="B2523">
        <v>66190</v>
      </c>
      <c r="C2523">
        <v>7891010047184</v>
      </c>
      <c r="D2523">
        <v>23.9</v>
      </c>
      <c r="E2523">
        <v>15.78</v>
      </c>
      <c r="F2523" s="3">
        <v>0.34670000000000001</v>
      </c>
      <c r="G2523">
        <v>15.615</v>
      </c>
      <c r="H2523">
        <v>0.5</v>
      </c>
    </row>
    <row r="2524" spans="1:8" x14ac:dyDescent="0.25">
      <c r="A2524" t="s">
        <v>2530</v>
      </c>
      <c r="B2524">
        <v>66192</v>
      </c>
      <c r="C2524">
        <v>7891010980085</v>
      </c>
      <c r="D2524">
        <v>23.9</v>
      </c>
      <c r="E2524">
        <v>15.8</v>
      </c>
      <c r="F2524" s="3">
        <v>0.33700000000000002</v>
      </c>
      <c r="G2524">
        <v>15.845700000000001</v>
      </c>
      <c r="H2524">
        <v>0.36699999999999999</v>
      </c>
    </row>
    <row r="2525" spans="1:8" x14ac:dyDescent="0.25">
      <c r="A2525" t="s">
        <v>2531</v>
      </c>
      <c r="B2525">
        <v>66194</v>
      </c>
      <c r="C2525">
        <v>7891010601188</v>
      </c>
      <c r="D2525">
        <v>23.9</v>
      </c>
      <c r="E2525">
        <v>15.67</v>
      </c>
      <c r="F2525" s="3">
        <v>0.35470000000000002</v>
      </c>
      <c r="G2525">
        <v>15.423299999999999</v>
      </c>
      <c r="H2525">
        <v>0.433</v>
      </c>
    </row>
    <row r="2526" spans="1:8" x14ac:dyDescent="0.25">
      <c r="A2526" t="s">
        <v>2532</v>
      </c>
      <c r="B2526">
        <v>66202</v>
      </c>
      <c r="C2526">
        <v>7891010255022</v>
      </c>
      <c r="D2526">
        <v>38.9</v>
      </c>
      <c r="E2526">
        <v>24.41</v>
      </c>
      <c r="F2526" s="3">
        <v>0.37270000000000003</v>
      </c>
      <c r="G2526">
        <v>24.401499999999999</v>
      </c>
      <c r="H2526">
        <v>6.7000000000000004E-2</v>
      </c>
    </row>
    <row r="2527" spans="1:8" x14ac:dyDescent="0.25">
      <c r="A2527" t="s">
        <v>2533</v>
      </c>
      <c r="B2527">
        <v>59398</v>
      </c>
      <c r="C2527">
        <v>7891150074699</v>
      </c>
      <c r="D2527">
        <v>42.9</v>
      </c>
      <c r="E2527">
        <v>26.09</v>
      </c>
      <c r="F2527" s="3">
        <v>0.39189999999999997</v>
      </c>
      <c r="G2527">
        <v>26.087599999999998</v>
      </c>
      <c r="H2527">
        <v>6.7000000000000004E-2</v>
      </c>
    </row>
    <row r="2528" spans="1:8" x14ac:dyDescent="0.25">
      <c r="A2528" t="s">
        <v>2534</v>
      </c>
      <c r="B2528">
        <v>55261</v>
      </c>
      <c r="C2528">
        <v>7891150059702</v>
      </c>
      <c r="D2528">
        <v>42.9</v>
      </c>
      <c r="E2528">
        <v>23.31</v>
      </c>
      <c r="F2528" s="3">
        <v>0.45479999999999998</v>
      </c>
      <c r="G2528">
        <v>23.390899999999998</v>
      </c>
      <c r="H2528">
        <v>0.13300000000000001</v>
      </c>
    </row>
    <row r="2529" spans="1:8" x14ac:dyDescent="0.25">
      <c r="A2529" t="s">
        <v>2535</v>
      </c>
      <c r="B2529">
        <v>55263</v>
      </c>
      <c r="C2529">
        <v>7891150059726</v>
      </c>
      <c r="D2529">
        <v>42.9</v>
      </c>
      <c r="E2529">
        <v>24.29</v>
      </c>
      <c r="F2529" s="3">
        <v>0.43630000000000002</v>
      </c>
      <c r="G2529">
        <v>24.183800000000002</v>
      </c>
      <c r="H2529">
        <v>0.16700000000000001</v>
      </c>
    </row>
    <row r="2530" spans="1:8" x14ac:dyDescent="0.25">
      <c r="A2530" t="s">
        <v>2536</v>
      </c>
      <c r="B2530">
        <v>65631</v>
      </c>
      <c r="C2530">
        <v>7908324404135</v>
      </c>
      <c r="D2530">
        <v>22.9</v>
      </c>
      <c r="E2530">
        <v>14.96</v>
      </c>
      <c r="F2530" s="3">
        <v>0.33069999999999999</v>
      </c>
      <c r="G2530">
        <v>15.3276</v>
      </c>
      <c r="H2530">
        <v>0.33300000000000002</v>
      </c>
    </row>
    <row r="2531" spans="1:8" x14ac:dyDescent="0.25">
      <c r="A2531" t="s">
        <v>2537</v>
      </c>
      <c r="B2531">
        <v>65632</v>
      </c>
      <c r="C2531">
        <v>7908324404166</v>
      </c>
      <c r="D2531">
        <v>22.9</v>
      </c>
      <c r="E2531">
        <v>14.96</v>
      </c>
      <c r="F2531" s="3">
        <v>0.34869999999999995</v>
      </c>
      <c r="G2531">
        <v>14.914899999999999</v>
      </c>
      <c r="H2531">
        <v>0.53300000000000003</v>
      </c>
    </row>
    <row r="2532" spans="1:8" x14ac:dyDescent="0.25">
      <c r="A2532" t="s">
        <v>2538</v>
      </c>
      <c r="B2532">
        <v>67762</v>
      </c>
      <c r="C2532">
        <v>7908324405132</v>
      </c>
      <c r="D2532">
        <v>22.9</v>
      </c>
      <c r="E2532">
        <v>14.87</v>
      </c>
      <c r="F2532" s="3">
        <v>0.35060000000000002</v>
      </c>
      <c r="G2532">
        <v>14.872</v>
      </c>
      <c r="H2532">
        <v>0.53300000000000003</v>
      </c>
    </row>
    <row r="2533" spans="1:8" x14ac:dyDescent="0.25">
      <c r="A2533" t="s">
        <v>2539</v>
      </c>
      <c r="B2533">
        <v>44406</v>
      </c>
      <c r="C2533">
        <v>7891024034156</v>
      </c>
      <c r="D2533">
        <v>10.9</v>
      </c>
      <c r="E2533">
        <v>9.34</v>
      </c>
      <c r="F2533" s="3">
        <v>0.13689999999999999</v>
      </c>
      <c r="G2533">
        <v>9.4080999999999992</v>
      </c>
      <c r="H2533">
        <v>0.16700000000000001</v>
      </c>
    </row>
    <row r="2534" spans="1:8" x14ac:dyDescent="0.25">
      <c r="A2534" t="s">
        <v>2540</v>
      </c>
      <c r="B2534">
        <v>20130</v>
      </c>
      <c r="C2534">
        <v>7891024174715</v>
      </c>
      <c r="D2534">
        <v>10.9</v>
      </c>
      <c r="E2534">
        <v>9.01</v>
      </c>
      <c r="F2534" s="3">
        <v>0.16829999999999998</v>
      </c>
      <c r="G2534">
        <v>9.0652000000000008</v>
      </c>
      <c r="H2534">
        <v>0.66700000000000004</v>
      </c>
    </row>
    <row r="2535" spans="1:8" x14ac:dyDescent="0.25">
      <c r="A2535" t="s">
        <v>2541</v>
      </c>
      <c r="B2535">
        <v>54211</v>
      </c>
      <c r="C2535">
        <v>7891024042915</v>
      </c>
      <c r="D2535">
        <v>10.9</v>
      </c>
      <c r="E2535">
        <v>9.33</v>
      </c>
      <c r="F2535" s="3">
        <v>0.1452</v>
      </c>
      <c r="G2535">
        <v>9.3177000000000003</v>
      </c>
      <c r="H2535">
        <v>0.16700000000000001</v>
      </c>
    </row>
    <row r="2536" spans="1:8" x14ac:dyDescent="0.25">
      <c r="A2536" t="s">
        <v>2542</v>
      </c>
      <c r="B2536">
        <v>65384</v>
      </c>
      <c r="C2536">
        <v>7509546689890</v>
      </c>
      <c r="D2536">
        <v>20.9</v>
      </c>
      <c r="E2536">
        <v>14.33</v>
      </c>
      <c r="F2536" s="3">
        <v>0.31180000000000002</v>
      </c>
      <c r="G2536">
        <v>14.382400000000001</v>
      </c>
      <c r="H2536">
        <v>3.3000000000000002E-2</v>
      </c>
    </row>
    <row r="2537" spans="1:8" x14ac:dyDescent="0.25">
      <c r="A2537" t="s">
        <v>2543</v>
      </c>
      <c r="B2537">
        <v>20143</v>
      </c>
      <c r="C2537">
        <v>7891024158708</v>
      </c>
      <c r="D2537">
        <v>10.9</v>
      </c>
      <c r="E2537">
        <v>8.92</v>
      </c>
      <c r="F2537" s="3">
        <v>0.18179999999999999</v>
      </c>
      <c r="G2537">
        <v>8.9183000000000003</v>
      </c>
      <c r="H2537">
        <v>0</v>
      </c>
    </row>
    <row r="2538" spans="1:8" x14ac:dyDescent="0.25">
      <c r="A2538" t="s">
        <v>2544</v>
      </c>
      <c r="B2538">
        <v>20132</v>
      </c>
      <c r="C2538">
        <v>7891024172537</v>
      </c>
      <c r="D2538">
        <v>10.9</v>
      </c>
      <c r="E2538">
        <v>9.23</v>
      </c>
      <c r="F2538" s="3">
        <v>0.1472</v>
      </c>
      <c r="G2538">
        <v>9.2956000000000003</v>
      </c>
      <c r="H2538">
        <v>0.93300000000000005</v>
      </c>
    </row>
    <row r="2539" spans="1:8" x14ac:dyDescent="0.25">
      <c r="A2539" t="s">
        <v>2545</v>
      </c>
      <c r="B2539">
        <v>20133</v>
      </c>
      <c r="C2539">
        <v>7891024170335</v>
      </c>
      <c r="D2539">
        <v>10.9</v>
      </c>
      <c r="E2539">
        <v>8.91</v>
      </c>
      <c r="F2539" s="3">
        <v>0.18390000000000001</v>
      </c>
      <c r="G2539">
        <v>8.8954000000000004</v>
      </c>
      <c r="H2539">
        <v>0.33300000000000002</v>
      </c>
    </row>
    <row r="2540" spans="1:8" x14ac:dyDescent="0.25">
      <c r="A2540" t="s">
        <v>2546</v>
      </c>
      <c r="B2540">
        <v>65386</v>
      </c>
      <c r="C2540">
        <v>7509546689937</v>
      </c>
      <c r="D2540">
        <v>20.9</v>
      </c>
      <c r="E2540">
        <v>13.77</v>
      </c>
      <c r="F2540" s="3">
        <v>0.3387</v>
      </c>
      <c r="G2540">
        <v>13.8203</v>
      </c>
      <c r="H2540">
        <v>0.1</v>
      </c>
    </row>
    <row r="2541" spans="1:8" x14ac:dyDescent="0.25">
      <c r="A2541" t="s">
        <v>2547</v>
      </c>
      <c r="B2541">
        <v>20134</v>
      </c>
      <c r="C2541">
        <v>7891024172339</v>
      </c>
      <c r="D2541">
        <v>10.9</v>
      </c>
      <c r="E2541">
        <v>8.92</v>
      </c>
      <c r="F2541" s="3">
        <v>0.18179999999999999</v>
      </c>
      <c r="G2541">
        <v>8.9177999999999997</v>
      </c>
      <c r="H2541">
        <v>3.3000000000000002E-2</v>
      </c>
    </row>
    <row r="2542" spans="1:8" x14ac:dyDescent="0.25">
      <c r="A2542" t="s">
        <v>2548</v>
      </c>
      <c r="B2542">
        <v>20169</v>
      </c>
      <c r="C2542">
        <v>7891024174685</v>
      </c>
      <c r="D2542">
        <v>17.899999999999999</v>
      </c>
      <c r="E2542">
        <v>12.56</v>
      </c>
      <c r="F2542" s="3">
        <v>0.30210000000000004</v>
      </c>
      <c r="G2542">
        <v>12.4916</v>
      </c>
      <c r="H2542">
        <v>0.1</v>
      </c>
    </row>
    <row r="2543" spans="1:8" x14ac:dyDescent="0.25">
      <c r="A2543" t="s">
        <v>2549</v>
      </c>
      <c r="B2543">
        <v>56730</v>
      </c>
      <c r="C2543">
        <v>7891024042120</v>
      </c>
      <c r="D2543">
        <v>17.899999999999999</v>
      </c>
      <c r="E2543">
        <v>12.31</v>
      </c>
      <c r="F2543" s="3">
        <v>0.31409999999999999</v>
      </c>
      <c r="G2543">
        <v>12.2781</v>
      </c>
      <c r="H2543">
        <v>0.16700000000000001</v>
      </c>
    </row>
    <row r="2544" spans="1:8" x14ac:dyDescent="0.25">
      <c r="A2544" t="s">
        <v>2550</v>
      </c>
      <c r="B2544">
        <v>20168</v>
      </c>
      <c r="C2544">
        <v>7891024174630</v>
      </c>
      <c r="D2544">
        <v>17.899999999999999</v>
      </c>
      <c r="E2544">
        <v>12.63</v>
      </c>
      <c r="F2544" s="3">
        <v>0.29680000000000001</v>
      </c>
      <c r="G2544">
        <v>12.587</v>
      </c>
      <c r="H2544">
        <v>0.56699999999999995</v>
      </c>
    </row>
    <row r="2545" spans="1:8" x14ac:dyDescent="0.25">
      <c r="A2545" t="s">
        <v>2551</v>
      </c>
      <c r="B2545">
        <v>65388</v>
      </c>
      <c r="C2545">
        <v>7509546689869</v>
      </c>
      <c r="D2545">
        <v>17.899999999999999</v>
      </c>
      <c r="E2545">
        <v>12.82</v>
      </c>
      <c r="F2545" s="3">
        <v>0.2944</v>
      </c>
      <c r="G2545">
        <v>12.629799999999999</v>
      </c>
      <c r="H2545">
        <v>0.13300000000000001</v>
      </c>
    </row>
    <row r="2546" spans="1:8" x14ac:dyDescent="0.25">
      <c r="A2546" t="s">
        <v>2552</v>
      </c>
      <c r="B2546">
        <v>62353</v>
      </c>
      <c r="C2546">
        <v>7509546681054</v>
      </c>
      <c r="D2546">
        <v>11.9</v>
      </c>
      <c r="E2546">
        <v>9.39</v>
      </c>
      <c r="F2546" s="3">
        <v>0.21879999999999999</v>
      </c>
      <c r="G2546">
        <v>9.2964000000000002</v>
      </c>
      <c r="H2546">
        <v>0.6</v>
      </c>
    </row>
    <row r="2547" spans="1:8" x14ac:dyDescent="0.25">
      <c r="A2547" t="s">
        <v>2553</v>
      </c>
      <c r="B2547">
        <v>62352</v>
      </c>
      <c r="C2547">
        <v>7509546681146</v>
      </c>
      <c r="D2547">
        <v>12.39</v>
      </c>
      <c r="E2547">
        <v>9.1999999999999993</v>
      </c>
      <c r="F2547" s="3">
        <v>0.25530000000000003</v>
      </c>
      <c r="G2547">
        <v>9.2286999999999999</v>
      </c>
      <c r="H2547">
        <v>1</v>
      </c>
    </row>
    <row r="2548" spans="1:8" x14ac:dyDescent="0.25">
      <c r="A2548" t="s">
        <v>2554</v>
      </c>
      <c r="B2548">
        <v>68407</v>
      </c>
      <c r="C2548">
        <v>7891033519354</v>
      </c>
      <c r="D2548">
        <v>23.9</v>
      </c>
      <c r="E2548">
        <v>17.41</v>
      </c>
      <c r="F2548" s="3">
        <v>0.27149999999999996</v>
      </c>
      <c r="G2548">
        <v>17.41</v>
      </c>
      <c r="H2548">
        <v>0.16700000000000001</v>
      </c>
    </row>
    <row r="2549" spans="1:8" x14ac:dyDescent="0.25">
      <c r="A2549" t="s">
        <v>2555</v>
      </c>
      <c r="B2549">
        <v>68426</v>
      </c>
      <c r="C2549">
        <v>7891150099838</v>
      </c>
      <c r="D2549">
        <v>19.899999999999999</v>
      </c>
      <c r="E2549">
        <v>13.32</v>
      </c>
      <c r="F2549" s="3">
        <v>0.2999</v>
      </c>
      <c r="G2549">
        <v>12.091699999999999</v>
      </c>
      <c r="H2549">
        <v>0.3</v>
      </c>
    </row>
    <row r="2550" spans="1:8" x14ac:dyDescent="0.25">
      <c r="A2550" t="s">
        <v>2556</v>
      </c>
      <c r="B2550">
        <v>49323</v>
      </c>
      <c r="C2550">
        <v>7891150060722</v>
      </c>
      <c r="D2550">
        <v>17.899999999999999</v>
      </c>
      <c r="E2550">
        <v>12.4</v>
      </c>
      <c r="F2550" s="3">
        <v>0.28970000000000001</v>
      </c>
      <c r="G2550">
        <v>12.7142</v>
      </c>
      <c r="H2550">
        <v>0.433</v>
      </c>
    </row>
    <row r="2551" spans="1:8" x14ac:dyDescent="0.25">
      <c r="A2551" t="s">
        <v>2557</v>
      </c>
      <c r="B2551">
        <v>56141</v>
      </c>
      <c r="C2551">
        <v>7891150070295</v>
      </c>
      <c r="D2551">
        <v>17.899999999999999</v>
      </c>
      <c r="E2551">
        <v>12.68</v>
      </c>
      <c r="F2551" s="3">
        <v>0.2858</v>
      </c>
      <c r="G2551">
        <v>12.7844</v>
      </c>
      <c r="H2551">
        <v>0.56699999999999995</v>
      </c>
    </row>
    <row r="2552" spans="1:8" x14ac:dyDescent="0.25">
      <c r="A2552" t="s">
        <v>2558</v>
      </c>
      <c r="B2552">
        <v>56005</v>
      </c>
      <c r="C2552">
        <v>7891150067516</v>
      </c>
      <c r="D2552">
        <v>17.899999999999999</v>
      </c>
      <c r="E2552">
        <v>11.64</v>
      </c>
      <c r="F2552" s="3">
        <v>0.33049999999999996</v>
      </c>
      <c r="G2552">
        <v>11.9841</v>
      </c>
      <c r="H2552">
        <v>0.1</v>
      </c>
    </row>
    <row r="2553" spans="1:8" x14ac:dyDescent="0.25">
      <c r="A2553" t="s">
        <v>2559</v>
      </c>
      <c r="B2553">
        <v>18598</v>
      </c>
      <c r="C2553">
        <v>7891150037465</v>
      </c>
      <c r="D2553">
        <v>17.899999999999999</v>
      </c>
      <c r="E2553">
        <v>12.31</v>
      </c>
      <c r="F2553" s="3">
        <v>0.3105</v>
      </c>
      <c r="G2553">
        <v>12.342499999999999</v>
      </c>
      <c r="H2553">
        <v>0.46700000000000003</v>
      </c>
    </row>
    <row r="2554" spans="1:8" x14ac:dyDescent="0.25">
      <c r="A2554" t="s">
        <v>2560</v>
      </c>
      <c r="B2554">
        <v>7107</v>
      </c>
      <c r="C2554">
        <v>7891150037250</v>
      </c>
      <c r="D2554">
        <v>17.899999999999999</v>
      </c>
      <c r="E2554">
        <v>12.61</v>
      </c>
      <c r="F2554" s="3">
        <v>0.29399999999999998</v>
      </c>
      <c r="G2554">
        <v>12.637499999999999</v>
      </c>
      <c r="H2554">
        <v>0.83299999999999996</v>
      </c>
    </row>
    <row r="2555" spans="1:8" x14ac:dyDescent="0.25">
      <c r="A2555" t="s">
        <v>2561</v>
      </c>
      <c r="B2555">
        <v>59339</v>
      </c>
      <c r="C2555">
        <v>7891150080096</v>
      </c>
      <c r="D2555">
        <v>17.899999999999999</v>
      </c>
      <c r="E2555">
        <v>12.79</v>
      </c>
      <c r="F2555" s="3">
        <v>0.2853</v>
      </c>
      <c r="G2555">
        <v>12.7926</v>
      </c>
      <c r="H2555">
        <v>0.16700000000000001</v>
      </c>
    </row>
    <row r="2556" spans="1:8" x14ac:dyDescent="0.25">
      <c r="A2556" t="s">
        <v>2562</v>
      </c>
      <c r="B2556">
        <v>10091</v>
      </c>
      <c r="C2556">
        <v>7891150037618</v>
      </c>
      <c r="D2556">
        <v>16.899999999999999</v>
      </c>
      <c r="E2556">
        <v>12.22</v>
      </c>
      <c r="F2556" s="3">
        <v>0.27660000000000001</v>
      </c>
      <c r="G2556">
        <v>12.2248</v>
      </c>
      <c r="H2556">
        <v>0</v>
      </c>
    </row>
    <row r="2557" spans="1:8" x14ac:dyDescent="0.25">
      <c r="A2557" t="s">
        <v>2563</v>
      </c>
      <c r="B2557">
        <v>7105</v>
      </c>
      <c r="C2557">
        <v>7891150037632</v>
      </c>
      <c r="D2557">
        <v>17.899999999999999</v>
      </c>
      <c r="E2557">
        <v>12.13</v>
      </c>
      <c r="F2557" s="3">
        <v>0.31929999999999997</v>
      </c>
      <c r="G2557">
        <v>12.184100000000001</v>
      </c>
      <c r="H2557">
        <v>0.4</v>
      </c>
    </row>
    <row r="2558" spans="1:8" x14ac:dyDescent="0.25">
      <c r="A2558" t="s">
        <v>2564</v>
      </c>
      <c r="B2558">
        <v>18600</v>
      </c>
      <c r="C2558">
        <v>7891150037328</v>
      </c>
      <c r="D2558">
        <v>17.899999999999999</v>
      </c>
      <c r="E2558">
        <v>12.83</v>
      </c>
      <c r="F2558" s="3">
        <v>0.28239999999999998</v>
      </c>
      <c r="G2558">
        <v>12.8453</v>
      </c>
      <c r="H2558">
        <v>1.5</v>
      </c>
    </row>
    <row r="2559" spans="1:8" x14ac:dyDescent="0.25">
      <c r="A2559" t="s">
        <v>2565</v>
      </c>
      <c r="B2559">
        <v>20743</v>
      </c>
      <c r="C2559">
        <v>7891150037441</v>
      </c>
      <c r="D2559">
        <v>17.899999999999999</v>
      </c>
      <c r="E2559">
        <v>12.09</v>
      </c>
      <c r="F2559" s="3">
        <v>0.33069999999999999</v>
      </c>
      <c r="G2559">
        <v>11.9802</v>
      </c>
      <c r="H2559">
        <v>0.1</v>
      </c>
    </row>
    <row r="2560" spans="1:8" x14ac:dyDescent="0.25">
      <c r="A2560" t="s">
        <v>2566</v>
      </c>
      <c r="B2560">
        <v>17577</v>
      </c>
      <c r="C2560">
        <v>7891150037366</v>
      </c>
      <c r="D2560">
        <v>17.899999999999999</v>
      </c>
      <c r="E2560">
        <v>12.18</v>
      </c>
      <c r="F2560" s="3">
        <v>0.32150000000000001</v>
      </c>
      <c r="G2560">
        <v>12.1455</v>
      </c>
      <c r="H2560">
        <v>0.16700000000000001</v>
      </c>
    </row>
    <row r="2561" spans="1:8" x14ac:dyDescent="0.25">
      <c r="A2561" t="s">
        <v>2567</v>
      </c>
      <c r="B2561">
        <v>64266</v>
      </c>
      <c r="C2561">
        <v>7891150091429</v>
      </c>
      <c r="D2561">
        <v>17.899999999999999</v>
      </c>
      <c r="E2561">
        <v>12.2</v>
      </c>
      <c r="F2561" s="3">
        <v>0.31769999999999998</v>
      </c>
      <c r="G2561">
        <v>12.212999999999999</v>
      </c>
      <c r="H2561">
        <v>0.16700000000000001</v>
      </c>
    </row>
    <row r="2562" spans="1:8" x14ac:dyDescent="0.25">
      <c r="A2562" t="s">
        <v>2568</v>
      </c>
      <c r="B2562">
        <v>32490</v>
      </c>
      <c r="C2562">
        <v>7891150037342</v>
      </c>
      <c r="D2562">
        <v>17.899999999999999</v>
      </c>
      <c r="E2562">
        <v>12.48</v>
      </c>
      <c r="F2562" s="3">
        <v>0.28239999999999998</v>
      </c>
      <c r="G2562">
        <v>12.8446</v>
      </c>
      <c r="H2562">
        <v>0.433</v>
      </c>
    </row>
    <row r="2563" spans="1:8" x14ac:dyDescent="0.25">
      <c r="A2563" t="s">
        <v>2569</v>
      </c>
      <c r="B2563">
        <v>66934</v>
      </c>
      <c r="C2563">
        <v>7891150096257</v>
      </c>
      <c r="D2563">
        <v>14.9</v>
      </c>
      <c r="E2563">
        <v>13.12</v>
      </c>
      <c r="F2563" s="3">
        <v>0.11539999999999999</v>
      </c>
      <c r="G2563">
        <v>13.1805</v>
      </c>
      <c r="H2563">
        <v>0.26700000000000002</v>
      </c>
    </row>
    <row r="2564" spans="1:8" x14ac:dyDescent="0.25">
      <c r="A2564" t="s">
        <v>2570</v>
      </c>
      <c r="B2564">
        <v>66935</v>
      </c>
      <c r="C2564">
        <v>7891150096271</v>
      </c>
      <c r="D2564">
        <v>14.9</v>
      </c>
      <c r="E2564">
        <v>13.27</v>
      </c>
      <c r="F2564" s="3">
        <v>0.10830000000000001</v>
      </c>
      <c r="G2564">
        <v>13.2866</v>
      </c>
      <c r="H2564">
        <v>0.36699999999999999</v>
      </c>
    </row>
    <row r="2565" spans="1:8" x14ac:dyDescent="0.25">
      <c r="A2565" t="s">
        <v>2571</v>
      </c>
      <c r="B2565">
        <v>62374</v>
      </c>
      <c r="C2565">
        <v>7891150088504</v>
      </c>
      <c r="D2565">
        <v>14.9</v>
      </c>
      <c r="E2565">
        <v>11.64</v>
      </c>
      <c r="F2565" s="3">
        <v>0.20420000000000002</v>
      </c>
      <c r="G2565">
        <v>11.8576</v>
      </c>
      <c r="H2565">
        <v>0.1</v>
      </c>
    </row>
    <row r="2566" spans="1:8" x14ac:dyDescent="0.25">
      <c r="A2566" t="s">
        <v>2572</v>
      </c>
      <c r="B2566">
        <v>60658</v>
      </c>
      <c r="C2566">
        <v>7891150083608</v>
      </c>
      <c r="D2566">
        <v>17.899999999999999</v>
      </c>
      <c r="E2566">
        <v>12.53</v>
      </c>
      <c r="F2566" s="3">
        <v>0.29960000000000003</v>
      </c>
      <c r="G2566">
        <v>12.5373</v>
      </c>
      <c r="H2566">
        <v>0.5</v>
      </c>
    </row>
    <row r="2567" spans="1:8" x14ac:dyDescent="0.25">
      <c r="A2567" t="s">
        <v>2573</v>
      </c>
      <c r="B2567">
        <v>60667</v>
      </c>
      <c r="C2567">
        <v>7891150083615</v>
      </c>
      <c r="D2567">
        <v>17.899999999999999</v>
      </c>
      <c r="E2567">
        <v>12.73</v>
      </c>
      <c r="F2567" s="3">
        <v>0.28620000000000001</v>
      </c>
      <c r="G2567">
        <v>12.777900000000001</v>
      </c>
      <c r="H2567">
        <v>0.46700000000000003</v>
      </c>
    </row>
    <row r="2568" spans="1:8" x14ac:dyDescent="0.25">
      <c r="A2568" t="s">
        <v>2574</v>
      </c>
      <c r="B2568">
        <v>60670</v>
      </c>
      <c r="C2568">
        <v>7891150083622</v>
      </c>
      <c r="D2568">
        <v>17.899999999999999</v>
      </c>
      <c r="E2568">
        <v>12.26</v>
      </c>
      <c r="F2568" s="3">
        <v>0.28820000000000001</v>
      </c>
      <c r="G2568">
        <v>12.7416</v>
      </c>
      <c r="H2568">
        <v>0.1</v>
      </c>
    </row>
    <row r="2569" spans="1:8" x14ac:dyDescent="0.25">
      <c r="A2569" t="s">
        <v>2575</v>
      </c>
      <c r="B2569">
        <v>59312</v>
      </c>
      <c r="C2569">
        <v>7891150079755</v>
      </c>
      <c r="D2569">
        <v>27.9</v>
      </c>
      <c r="E2569">
        <v>18.309999999999999</v>
      </c>
      <c r="F2569" s="3">
        <v>0.35489999999999999</v>
      </c>
      <c r="G2569">
        <v>17.997900000000001</v>
      </c>
      <c r="H2569">
        <v>0.3</v>
      </c>
    </row>
    <row r="2570" spans="1:8" x14ac:dyDescent="0.25">
      <c r="A2570" t="s">
        <v>2576</v>
      </c>
      <c r="B2570">
        <v>65197</v>
      </c>
      <c r="C2570">
        <v>7891150091115</v>
      </c>
      <c r="D2570">
        <v>27.9</v>
      </c>
      <c r="E2570">
        <v>16.57</v>
      </c>
      <c r="F2570" s="3">
        <v>0.40619999999999995</v>
      </c>
      <c r="G2570">
        <v>16.565799999999999</v>
      </c>
      <c r="H2570">
        <v>0.2</v>
      </c>
    </row>
    <row r="2571" spans="1:8" x14ac:dyDescent="0.25">
      <c r="A2571" t="s">
        <v>2577</v>
      </c>
      <c r="B2571">
        <v>7260</v>
      </c>
      <c r="C2571">
        <v>7891150018761</v>
      </c>
      <c r="D2571">
        <v>27.9</v>
      </c>
      <c r="E2571">
        <v>18.239999999999998</v>
      </c>
      <c r="F2571" s="3">
        <v>0.34549999999999997</v>
      </c>
      <c r="G2571">
        <v>18.259799999999998</v>
      </c>
      <c r="H2571">
        <v>0.2</v>
      </c>
    </row>
    <row r="2572" spans="1:8" x14ac:dyDescent="0.25">
      <c r="A2572" t="s">
        <v>2578</v>
      </c>
      <c r="B2572">
        <v>7264</v>
      </c>
      <c r="C2572">
        <v>7891150018754</v>
      </c>
      <c r="D2572">
        <v>27.9</v>
      </c>
      <c r="E2572">
        <v>19.45</v>
      </c>
      <c r="F2572" s="3">
        <v>0.30109999999999998</v>
      </c>
      <c r="G2572">
        <v>19.499400000000001</v>
      </c>
      <c r="H2572">
        <v>0.73299999999999998</v>
      </c>
    </row>
    <row r="2573" spans="1:8" x14ac:dyDescent="0.25">
      <c r="A2573" t="s">
        <v>2579</v>
      </c>
      <c r="B2573">
        <v>57808</v>
      </c>
      <c r="C2573">
        <v>7891150076365</v>
      </c>
      <c r="D2573">
        <v>27.9</v>
      </c>
      <c r="E2573">
        <v>19.760000000000002</v>
      </c>
      <c r="F2573" s="3">
        <v>0.2913</v>
      </c>
      <c r="G2573">
        <v>19.7728</v>
      </c>
      <c r="H2573">
        <v>0</v>
      </c>
    </row>
    <row r="2574" spans="1:8" x14ac:dyDescent="0.25">
      <c r="A2574" t="s">
        <v>2580</v>
      </c>
      <c r="B2574">
        <v>7272</v>
      </c>
      <c r="C2574">
        <v>7891150018785</v>
      </c>
      <c r="D2574">
        <v>27.9</v>
      </c>
      <c r="E2574">
        <v>18.25</v>
      </c>
      <c r="F2574" s="3">
        <v>0.34740000000000004</v>
      </c>
      <c r="G2574">
        <v>18.206299999999999</v>
      </c>
      <c r="H2574">
        <v>0.1</v>
      </c>
    </row>
    <row r="2575" spans="1:8" x14ac:dyDescent="0.25">
      <c r="A2575" t="s">
        <v>2581</v>
      </c>
      <c r="B2575">
        <v>16090</v>
      </c>
      <c r="C2575">
        <v>7891150029538</v>
      </c>
      <c r="D2575">
        <v>27.9</v>
      </c>
      <c r="E2575">
        <v>18.43</v>
      </c>
      <c r="F2575" s="3">
        <v>0.33310000000000001</v>
      </c>
      <c r="G2575">
        <v>18.6052</v>
      </c>
      <c r="H2575">
        <v>0.26700000000000002</v>
      </c>
    </row>
    <row r="2576" spans="1:8" x14ac:dyDescent="0.25">
      <c r="A2576" t="s">
        <v>2582</v>
      </c>
      <c r="B2576">
        <v>65229</v>
      </c>
      <c r="C2576">
        <v>7891150093089</v>
      </c>
      <c r="D2576">
        <v>35.9</v>
      </c>
      <c r="E2576">
        <v>24.1</v>
      </c>
      <c r="F2576" s="3">
        <v>0.32799999999999996</v>
      </c>
      <c r="G2576">
        <v>24.124600000000001</v>
      </c>
      <c r="H2576">
        <v>0.26700000000000002</v>
      </c>
    </row>
    <row r="2577" spans="1:8" x14ac:dyDescent="0.25">
      <c r="A2577" t="s">
        <v>2583</v>
      </c>
      <c r="B2577">
        <v>69531</v>
      </c>
      <c r="C2577">
        <v>7891150100367</v>
      </c>
      <c r="D2577">
        <v>43.9</v>
      </c>
      <c r="E2577">
        <v>30.73</v>
      </c>
      <c r="F2577" s="3">
        <v>0.2999</v>
      </c>
      <c r="G2577">
        <v>30.734100000000002</v>
      </c>
      <c r="H2577">
        <v>0</v>
      </c>
    </row>
    <row r="2578" spans="1:8" x14ac:dyDescent="0.25">
      <c r="A2578" t="s">
        <v>2584</v>
      </c>
      <c r="B2578">
        <v>65203</v>
      </c>
      <c r="C2578">
        <v>7891150091221</v>
      </c>
      <c r="D2578">
        <v>35.9</v>
      </c>
      <c r="E2578">
        <v>23.97</v>
      </c>
      <c r="F2578" s="3">
        <v>0.31509999999999999</v>
      </c>
      <c r="G2578">
        <v>24.588999999999999</v>
      </c>
      <c r="H2578">
        <v>0.433</v>
      </c>
    </row>
    <row r="2579" spans="1:8" x14ac:dyDescent="0.25">
      <c r="A2579" t="s">
        <v>2585</v>
      </c>
      <c r="B2579">
        <v>65206</v>
      </c>
      <c r="C2579">
        <v>7891150091146</v>
      </c>
      <c r="D2579">
        <v>35.9</v>
      </c>
      <c r="E2579">
        <v>24.62</v>
      </c>
      <c r="F2579" s="3">
        <v>0.31489999999999996</v>
      </c>
      <c r="G2579">
        <v>24.595300000000002</v>
      </c>
      <c r="H2579">
        <v>0.1</v>
      </c>
    </row>
    <row r="2580" spans="1:8" x14ac:dyDescent="0.25">
      <c r="A2580" t="s">
        <v>2586</v>
      </c>
      <c r="B2580">
        <v>65226</v>
      </c>
      <c r="C2580">
        <v>7891150091160</v>
      </c>
      <c r="D2580">
        <v>35.9</v>
      </c>
      <c r="E2580">
        <v>26.27</v>
      </c>
      <c r="F2580" s="3">
        <v>0.26489999999999997</v>
      </c>
      <c r="G2580">
        <v>26.389600000000002</v>
      </c>
      <c r="H2580">
        <v>0.63300000000000001</v>
      </c>
    </row>
    <row r="2581" spans="1:8" x14ac:dyDescent="0.25">
      <c r="A2581" t="s">
        <v>2587</v>
      </c>
      <c r="B2581">
        <v>65204</v>
      </c>
      <c r="C2581">
        <v>7891150091238</v>
      </c>
      <c r="D2581">
        <v>35.9</v>
      </c>
      <c r="E2581">
        <v>25.9</v>
      </c>
      <c r="F2581" s="3">
        <v>0.2707</v>
      </c>
      <c r="G2581">
        <v>26.182700000000001</v>
      </c>
      <c r="H2581">
        <v>0.86699999999999999</v>
      </c>
    </row>
    <row r="2582" spans="1:8" x14ac:dyDescent="0.25">
      <c r="A2582" t="s">
        <v>2588</v>
      </c>
      <c r="B2582">
        <v>65211</v>
      </c>
      <c r="C2582">
        <v>7891150093096</v>
      </c>
      <c r="D2582">
        <v>35.9</v>
      </c>
      <c r="E2582">
        <v>24.26</v>
      </c>
      <c r="F2582" s="3">
        <v>0.32380000000000003</v>
      </c>
      <c r="G2582">
        <v>24.273900000000001</v>
      </c>
      <c r="H2582">
        <v>0.13300000000000001</v>
      </c>
    </row>
    <row r="2583" spans="1:8" x14ac:dyDescent="0.25">
      <c r="A2583" t="s">
        <v>2589</v>
      </c>
      <c r="B2583">
        <v>68343</v>
      </c>
      <c r="C2583">
        <v>7899852025520</v>
      </c>
      <c r="D2583">
        <v>22.99</v>
      </c>
      <c r="E2583">
        <v>16.079999999999998</v>
      </c>
      <c r="F2583" s="3">
        <v>0.30059999999999998</v>
      </c>
      <c r="G2583">
        <v>16.079999999999998</v>
      </c>
      <c r="H2583">
        <v>0.3</v>
      </c>
    </row>
    <row r="2584" spans="1:8" x14ac:dyDescent="0.25">
      <c r="A2584" t="s">
        <v>2590</v>
      </c>
      <c r="B2584">
        <v>68342</v>
      </c>
      <c r="C2584">
        <v>7899852025087</v>
      </c>
      <c r="D2584">
        <v>22.99</v>
      </c>
      <c r="E2584">
        <v>16.25</v>
      </c>
      <c r="F2584" s="3">
        <v>0.2848</v>
      </c>
      <c r="G2584">
        <v>16.4434</v>
      </c>
      <c r="H2584">
        <v>1.1000000000000001</v>
      </c>
    </row>
    <row r="2585" spans="1:8" x14ac:dyDescent="0.25">
      <c r="A2585" t="s">
        <v>2591</v>
      </c>
      <c r="B2585">
        <v>68341</v>
      </c>
      <c r="C2585">
        <v>7899852025506</v>
      </c>
      <c r="D2585">
        <v>22.99</v>
      </c>
      <c r="E2585">
        <v>16.079999999999998</v>
      </c>
      <c r="F2585" s="3">
        <v>0.30059999999999998</v>
      </c>
      <c r="G2585">
        <v>16.079999999999998</v>
      </c>
      <c r="H2585">
        <v>0.46700000000000003</v>
      </c>
    </row>
    <row r="2586" spans="1:8" x14ac:dyDescent="0.25">
      <c r="A2586" t="s">
        <v>2592</v>
      </c>
      <c r="B2586">
        <v>68340</v>
      </c>
      <c r="C2586">
        <v>7899852025407</v>
      </c>
      <c r="D2586">
        <v>22.99</v>
      </c>
      <c r="E2586">
        <v>15.66</v>
      </c>
      <c r="F2586" s="3">
        <v>0.318</v>
      </c>
      <c r="G2586">
        <v>15.6798</v>
      </c>
      <c r="H2586">
        <v>0.9</v>
      </c>
    </row>
    <row r="2587" spans="1:8" x14ac:dyDescent="0.25">
      <c r="A2587" t="s">
        <v>2593</v>
      </c>
      <c r="B2587">
        <v>67647</v>
      </c>
      <c r="C2587">
        <v>8006614022324</v>
      </c>
      <c r="D2587">
        <v>89.9</v>
      </c>
      <c r="E2587">
        <v>64.92</v>
      </c>
      <c r="F2587" s="3">
        <v>0.25219999999999998</v>
      </c>
      <c r="G2587">
        <v>58.914999999999999</v>
      </c>
      <c r="H2587">
        <v>0.16700000000000001</v>
      </c>
    </row>
    <row r="2588" spans="1:8" x14ac:dyDescent="0.25">
      <c r="A2588" t="s">
        <v>2594</v>
      </c>
      <c r="B2588">
        <v>7357</v>
      </c>
      <c r="C2588">
        <v>7898071210021</v>
      </c>
      <c r="D2588">
        <v>36.9</v>
      </c>
      <c r="E2588">
        <v>26.17</v>
      </c>
      <c r="F2588" s="3">
        <v>0.26300000000000001</v>
      </c>
      <c r="G2588">
        <v>23.7822</v>
      </c>
      <c r="H2588">
        <v>0.23300000000000001</v>
      </c>
    </row>
    <row r="2589" spans="1:8" x14ac:dyDescent="0.25">
      <c r="A2589" t="s">
        <v>2595</v>
      </c>
      <c r="B2589">
        <v>68299</v>
      </c>
      <c r="C2589">
        <v>7891150099784</v>
      </c>
      <c r="D2589">
        <v>15.98</v>
      </c>
      <c r="E2589">
        <v>13.07</v>
      </c>
      <c r="F2589" s="3">
        <v>0.17399999999999999</v>
      </c>
      <c r="G2589">
        <v>13.198700000000001</v>
      </c>
      <c r="H2589">
        <v>6.4</v>
      </c>
    </row>
    <row r="2590" spans="1:8" x14ac:dyDescent="0.25">
      <c r="A2590" t="s">
        <v>2596</v>
      </c>
      <c r="B2590">
        <v>68300</v>
      </c>
      <c r="C2590">
        <v>7891150099791</v>
      </c>
      <c r="D2590">
        <v>15.98</v>
      </c>
      <c r="E2590">
        <v>13.4</v>
      </c>
      <c r="F2590" s="3">
        <v>0.16149999999999998</v>
      </c>
      <c r="G2590">
        <v>13.399900000000001</v>
      </c>
      <c r="H2590">
        <v>4.4669999999999996</v>
      </c>
    </row>
    <row r="2591" spans="1:8" x14ac:dyDescent="0.25">
      <c r="A2591" t="s">
        <v>2597</v>
      </c>
      <c r="B2591">
        <v>68296</v>
      </c>
      <c r="C2591">
        <v>7891150099777</v>
      </c>
      <c r="D2591">
        <v>13.98</v>
      </c>
      <c r="E2591">
        <v>11.72</v>
      </c>
      <c r="F2591" s="3">
        <v>0.16159999999999999</v>
      </c>
      <c r="G2591">
        <v>11.721299999999999</v>
      </c>
      <c r="H2591">
        <v>6</v>
      </c>
    </row>
    <row r="2592" spans="1:8" x14ac:dyDescent="0.25">
      <c r="A2592" t="s">
        <v>2598</v>
      </c>
      <c r="B2592">
        <v>14771</v>
      </c>
      <c r="C2592">
        <v>7896030892653</v>
      </c>
      <c r="D2592">
        <v>10.9</v>
      </c>
      <c r="E2592">
        <v>5.84</v>
      </c>
      <c r="F2592" s="3">
        <v>0.41720000000000002</v>
      </c>
      <c r="G2592">
        <v>5.3438999999999997</v>
      </c>
      <c r="H2592">
        <v>4.2329999999999997</v>
      </c>
    </row>
    <row r="2593" spans="1:8" x14ac:dyDescent="0.25">
      <c r="A2593" t="s">
        <v>2599</v>
      </c>
      <c r="B2593">
        <v>13409</v>
      </c>
      <c r="C2593">
        <v>7896030892677</v>
      </c>
      <c r="D2593">
        <v>14.9</v>
      </c>
      <c r="E2593">
        <v>8.67</v>
      </c>
      <c r="F2593" s="3">
        <v>0.37969999999999998</v>
      </c>
      <c r="G2593">
        <v>7.8639000000000001</v>
      </c>
      <c r="H2593">
        <v>5.4329999999999998</v>
      </c>
    </row>
    <row r="2594" spans="1:8" x14ac:dyDescent="0.25">
      <c r="A2594" t="s">
        <v>2600</v>
      </c>
      <c r="B2594">
        <v>16367</v>
      </c>
      <c r="C2594">
        <v>7896030893049</v>
      </c>
      <c r="D2594">
        <v>5.9</v>
      </c>
      <c r="E2594">
        <v>3.14</v>
      </c>
      <c r="F2594" s="3">
        <v>0.42469999999999997</v>
      </c>
      <c r="G2594">
        <v>2.8485</v>
      </c>
      <c r="H2594">
        <v>2.0670000000000002</v>
      </c>
    </row>
    <row r="2595" spans="1:8" x14ac:dyDescent="0.25">
      <c r="A2595" t="s">
        <v>2601</v>
      </c>
      <c r="B2595">
        <v>11931</v>
      </c>
      <c r="C2595">
        <v>7896030892639</v>
      </c>
      <c r="D2595">
        <v>10.9</v>
      </c>
      <c r="E2595">
        <v>5.49</v>
      </c>
      <c r="F2595" s="3">
        <v>0.45079999999999998</v>
      </c>
      <c r="G2595">
        <v>4.9782999999999999</v>
      </c>
      <c r="H2595">
        <v>4.8330000000000002</v>
      </c>
    </row>
    <row r="2596" spans="1:8" x14ac:dyDescent="0.25">
      <c r="A2596" t="s">
        <v>2602</v>
      </c>
      <c r="B2596">
        <v>61161</v>
      </c>
      <c r="C2596">
        <v>7896030892660</v>
      </c>
      <c r="D2596">
        <v>10.9</v>
      </c>
      <c r="E2596">
        <v>5.79</v>
      </c>
      <c r="F2596" s="3">
        <v>0.4239</v>
      </c>
      <c r="G2596">
        <v>5.2708000000000004</v>
      </c>
      <c r="H2596">
        <v>3.4670000000000001</v>
      </c>
    </row>
    <row r="2597" spans="1:8" x14ac:dyDescent="0.25">
      <c r="A2597" t="s">
        <v>2603</v>
      </c>
      <c r="B2597">
        <v>66283</v>
      </c>
      <c r="C2597">
        <v>7896030815508</v>
      </c>
      <c r="D2597">
        <v>17.899999999999999</v>
      </c>
      <c r="E2597">
        <v>10.53</v>
      </c>
      <c r="F2597" s="3">
        <v>0.37380000000000002</v>
      </c>
      <c r="G2597">
        <v>9.5525000000000002</v>
      </c>
      <c r="H2597">
        <v>3.3000000000000002E-2</v>
      </c>
    </row>
    <row r="2598" spans="1:8" x14ac:dyDescent="0.25">
      <c r="A2598" t="s">
        <v>2604</v>
      </c>
      <c r="B2598">
        <v>60854</v>
      </c>
      <c r="C2598">
        <v>7894900184372</v>
      </c>
      <c r="D2598">
        <v>4.99</v>
      </c>
      <c r="E2598">
        <v>4.3099999999999996</v>
      </c>
      <c r="F2598" s="3">
        <v>0.1265</v>
      </c>
      <c r="G2598">
        <v>3.8974000000000002</v>
      </c>
      <c r="H2598">
        <v>15.032999999999999</v>
      </c>
    </row>
    <row r="2599" spans="1:8" x14ac:dyDescent="0.25">
      <c r="A2599" t="s">
        <v>2605</v>
      </c>
      <c r="B2599">
        <v>66123</v>
      </c>
      <c r="C2599">
        <v>7896001023451</v>
      </c>
      <c r="D2599">
        <v>14.9</v>
      </c>
      <c r="E2599">
        <v>8.2799999999999994</v>
      </c>
      <c r="F2599" s="3">
        <v>0.30409999999999998</v>
      </c>
      <c r="G2599">
        <v>6.3083999999999998</v>
      </c>
      <c r="H2599">
        <v>0.73299999999999998</v>
      </c>
    </row>
    <row r="2600" spans="1:8" x14ac:dyDescent="0.25">
      <c r="A2600" t="s">
        <v>2606</v>
      </c>
      <c r="B2600">
        <v>38729</v>
      </c>
      <c r="C2600">
        <v>8008698002223</v>
      </c>
      <c r="D2600">
        <v>35.9</v>
      </c>
      <c r="E2600">
        <v>24.97</v>
      </c>
      <c r="F2600" s="3">
        <v>0.27339999999999998</v>
      </c>
      <c r="G2600">
        <v>22.7653</v>
      </c>
      <c r="H2600">
        <v>0.33300000000000002</v>
      </c>
    </row>
    <row r="2601" spans="1:8" x14ac:dyDescent="0.25">
      <c r="A2601" t="s">
        <v>2607</v>
      </c>
      <c r="B2601">
        <v>58313</v>
      </c>
      <c r="C2601">
        <v>7891112086593</v>
      </c>
      <c r="D2601">
        <v>26.9</v>
      </c>
      <c r="E2601">
        <v>17.100000000000001</v>
      </c>
      <c r="F2601" s="3">
        <v>0.2606</v>
      </c>
      <c r="G2601">
        <v>12.560499999999999</v>
      </c>
      <c r="H2601">
        <v>0.13300000000000001</v>
      </c>
    </row>
    <row r="2602" spans="1:8" x14ac:dyDescent="0.25">
      <c r="A2602" t="s">
        <v>2608</v>
      </c>
      <c r="B2602">
        <v>38661</v>
      </c>
      <c r="C2602">
        <v>8076809534376</v>
      </c>
      <c r="D2602">
        <v>27.9</v>
      </c>
      <c r="E2602">
        <v>19.510000000000002</v>
      </c>
      <c r="F2602" s="3">
        <v>0.26039999999999996</v>
      </c>
      <c r="G2602">
        <v>18.052900000000001</v>
      </c>
      <c r="H2602">
        <v>2.133</v>
      </c>
    </row>
    <row r="2603" spans="1:8" x14ac:dyDescent="0.25">
      <c r="A2603" t="s">
        <v>2609</v>
      </c>
      <c r="B2603">
        <v>8115</v>
      </c>
      <c r="C2603">
        <v>3165440007082</v>
      </c>
      <c r="D2603">
        <v>32.9</v>
      </c>
      <c r="E2603">
        <v>28.28</v>
      </c>
      <c r="F2603" s="3">
        <v>0.1275</v>
      </c>
      <c r="G2603">
        <v>25.662500000000001</v>
      </c>
      <c r="H2603">
        <v>6.7000000000000004E-2</v>
      </c>
    </row>
    <row r="2604" spans="1:8" x14ac:dyDescent="0.25">
      <c r="A2604" t="s">
        <v>2610</v>
      </c>
      <c r="B2604">
        <v>3255</v>
      </c>
      <c r="C2604">
        <v>8005121218206</v>
      </c>
      <c r="D2604">
        <v>24.9</v>
      </c>
      <c r="E2604">
        <v>16.68</v>
      </c>
      <c r="F2604" s="3">
        <v>0.29949999999999999</v>
      </c>
      <c r="G2604">
        <v>15.139799999999999</v>
      </c>
      <c r="H2604">
        <v>3.5</v>
      </c>
    </row>
    <row r="2605" spans="1:8" x14ac:dyDescent="0.25">
      <c r="A2605" t="s">
        <v>2611</v>
      </c>
      <c r="B2605">
        <v>60722</v>
      </c>
      <c r="C2605">
        <v>8001876002152</v>
      </c>
      <c r="D2605">
        <v>24.9</v>
      </c>
      <c r="E2605">
        <v>15.55</v>
      </c>
      <c r="F2605" s="3">
        <v>0.34110000000000001</v>
      </c>
      <c r="G2605">
        <v>14.1037</v>
      </c>
      <c r="H2605">
        <v>1.9670000000000001</v>
      </c>
    </row>
    <row r="2606" spans="1:8" x14ac:dyDescent="0.25">
      <c r="A2606" t="s">
        <v>2612</v>
      </c>
      <c r="B2606">
        <v>66235</v>
      </c>
      <c r="C2606">
        <v>7891010255770</v>
      </c>
      <c r="D2606">
        <v>65.900000000000006</v>
      </c>
      <c r="E2606">
        <v>45.95</v>
      </c>
      <c r="F2606" s="3">
        <v>0.30280000000000001</v>
      </c>
      <c r="G2606">
        <v>45.947099999999999</v>
      </c>
      <c r="H2606">
        <v>3.3000000000000002E-2</v>
      </c>
    </row>
    <row r="2607" spans="1:8" x14ac:dyDescent="0.25">
      <c r="A2607" t="s">
        <v>2613</v>
      </c>
      <c r="B2607">
        <v>66233</v>
      </c>
      <c r="C2607">
        <v>7891010249939</v>
      </c>
      <c r="D2607">
        <v>28.9</v>
      </c>
      <c r="E2607">
        <v>19.96</v>
      </c>
      <c r="F2607" s="3">
        <v>0.30930000000000002</v>
      </c>
      <c r="G2607">
        <v>19.960699999999999</v>
      </c>
      <c r="H2607">
        <v>0.33300000000000002</v>
      </c>
    </row>
    <row r="2608" spans="1:8" x14ac:dyDescent="0.25">
      <c r="A2608" t="s">
        <v>2614</v>
      </c>
      <c r="B2608">
        <v>66231</v>
      </c>
      <c r="C2608">
        <v>7891010249953</v>
      </c>
      <c r="D2608">
        <v>29.9</v>
      </c>
      <c r="E2608">
        <v>20.02</v>
      </c>
      <c r="F2608" s="3">
        <v>0.33039999999999997</v>
      </c>
      <c r="G2608">
        <v>20.02</v>
      </c>
      <c r="H2608">
        <v>0.16700000000000001</v>
      </c>
    </row>
    <row r="2609" spans="1:8" x14ac:dyDescent="0.25">
      <c r="A2609" t="s">
        <v>2615</v>
      </c>
      <c r="B2609">
        <v>66234</v>
      </c>
      <c r="C2609">
        <v>7891010255763</v>
      </c>
      <c r="D2609">
        <v>29.9</v>
      </c>
      <c r="E2609">
        <v>19.329999999999998</v>
      </c>
      <c r="F2609" s="3">
        <v>0.35359999999999997</v>
      </c>
      <c r="G2609">
        <v>19.3276</v>
      </c>
      <c r="H2609">
        <v>0.73299999999999998</v>
      </c>
    </row>
    <row r="2610" spans="1:8" x14ac:dyDescent="0.25">
      <c r="A2610" t="s">
        <v>2616</v>
      </c>
      <c r="B2610">
        <v>66232</v>
      </c>
      <c r="C2610">
        <v>7891010249960</v>
      </c>
      <c r="D2610">
        <v>54.9</v>
      </c>
      <c r="E2610">
        <v>38.44</v>
      </c>
      <c r="F2610" s="3">
        <v>0.29969999999999997</v>
      </c>
      <c r="G2610">
        <v>38.445</v>
      </c>
      <c r="H2610">
        <v>0.1</v>
      </c>
    </row>
    <row r="2611" spans="1:8" x14ac:dyDescent="0.25">
      <c r="A2611" t="s">
        <v>2617</v>
      </c>
      <c r="B2611">
        <v>55485</v>
      </c>
      <c r="C2611">
        <v>4005900328472</v>
      </c>
      <c r="D2611">
        <v>19.899999999999999</v>
      </c>
      <c r="E2611">
        <v>12.3</v>
      </c>
      <c r="F2611" s="3">
        <v>0.38069999999999998</v>
      </c>
      <c r="G2611">
        <v>12.323499999999999</v>
      </c>
      <c r="H2611">
        <v>0.96699999999999997</v>
      </c>
    </row>
    <row r="2612" spans="1:8" x14ac:dyDescent="0.25">
      <c r="A2612" t="s">
        <v>2618</v>
      </c>
      <c r="B2612">
        <v>59719</v>
      </c>
      <c r="C2612">
        <v>7509546670942</v>
      </c>
      <c r="D2612">
        <v>16.489999999999998</v>
      </c>
      <c r="E2612">
        <v>11.55</v>
      </c>
      <c r="F2612" s="3">
        <v>0.29609999999999997</v>
      </c>
      <c r="G2612">
        <v>11.6076</v>
      </c>
      <c r="H2612">
        <v>1.7330000000000001</v>
      </c>
    </row>
    <row r="2613" spans="1:8" x14ac:dyDescent="0.25">
      <c r="A2613" t="s">
        <v>2619</v>
      </c>
      <c r="B2613">
        <v>59720</v>
      </c>
      <c r="C2613">
        <v>7509546670935</v>
      </c>
      <c r="D2613">
        <v>16.489999999999998</v>
      </c>
      <c r="E2613">
        <v>12.18</v>
      </c>
      <c r="F2613" s="3">
        <v>0.25120000000000003</v>
      </c>
      <c r="G2613">
        <v>12.347200000000001</v>
      </c>
      <c r="H2613">
        <v>1.7330000000000001</v>
      </c>
    </row>
    <row r="2614" spans="1:8" x14ac:dyDescent="0.25">
      <c r="A2614" t="s">
        <v>2620</v>
      </c>
      <c r="B2614">
        <v>61797</v>
      </c>
      <c r="C2614">
        <v>7891150086210</v>
      </c>
      <c r="D2614">
        <v>4.99</v>
      </c>
      <c r="E2614">
        <v>3.89</v>
      </c>
      <c r="F2614" s="3">
        <v>0.22089999999999999</v>
      </c>
      <c r="G2614">
        <v>3.8877999999999999</v>
      </c>
      <c r="H2614">
        <v>1.5</v>
      </c>
    </row>
    <row r="2615" spans="1:8" x14ac:dyDescent="0.25">
      <c r="A2615" t="s">
        <v>2621</v>
      </c>
      <c r="B2615">
        <v>63652</v>
      </c>
      <c r="C2615">
        <v>7891037002647</v>
      </c>
      <c r="D2615">
        <v>4.99</v>
      </c>
      <c r="E2615">
        <v>4.6399999999999997</v>
      </c>
      <c r="F2615" s="3">
        <v>6.93E-2</v>
      </c>
      <c r="G2615">
        <v>4.6439000000000004</v>
      </c>
      <c r="H2615">
        <v>3.8330000000000002</v>
      </c>
    </row>
    <row r="2616" spans="1:8" x14ac:dyDescent="0.25">
      <c r="A2616" t="s">
        <v>2622</v>
      </c>
      <c r="B2616">
        <v>61001</v>
      </c>
      <c r="C2616">
        <v>7891150084810</v>
      </c>
      <c r="D2616">
        <v>7.9</v>
      </c>
      <c r="E2616">
        <v>5.05</v>
      </c>
      <c r="F2616" s="3">
        <v>0.36080000000000001</v>
      </c>
      <c r="G2616">
        <v>5.0495000000000001</v>
      </c>
      <c r="H2616">
        <v>0.26700000000000002</v>
      </c>
    </row>
    <row r="2617" spans="1:8" x14ac:dyDescent="0.25">
      <c r="A2617" t="s">
        <v>2623</v>
      </c>
      <c r="B2617">
        <v>61578</v>
      </c>
      <c r="C2617">
        <v>7891150063617</v>
      </c>
      <c r="D2617">
        <v>7.9</v>
      </c>
      <c r="E2617">
        <v>3.99</v>
      </c>
      <c r="F2617" s="3">
        <v>0.49469999999999997</v>
      </c>
      <c r="G2617">
        <v>3.9916999999999998</v>
      </c>
      <c r="H2617">
        <v>1.2330000000000001</v>
      </c>
    </row>
    <row r="2618" spans="1:8" x14ac:dyDescent="0.25">
      <c r="A2618" t="s">
        <v>2624</v>
      </c>
      <c r="B2618">
        <v>47680</v>
      </c>
      <c r="C2618">
        <v>7891150055780</v>
      </c>
      <c r="D2618">
        <v>2.4900000000000002</v>
      </c>
      <c r="E2618">
        <v>2.8</v>
      </c>
      <c r="F2618" s="3">
        <v>-0.1265</v>
      </c>
      <c r="G2618">
        <v>2.8050000000000002</v>
      </c>
      <c r="H2618">
        <v>13.1</v>
      </c>
    </row>
    <row r="2619" spans="1:8" x14ac:dyDescent="0.25">
      <c r="A2619" t="s">
        <v>2625</v>
      </c>
      <c r="B2619">
        <v>51179</v>
      </c>
      <c r="C2619">
        <v>7891150058446</v>
      </c>
      <c r="D2619">
        <v>2.4900000000000002</v>
      </c>
      <c r="E2619">
        <v>2.81</v>
      </c>
      <c r="F2619" s="3">
        <v>-0.12920000000000001</v>
      </c>
      <c r="G2619">
        <v>2.8117000000000001</v>
      </c>
      <c r="H2619">
        <v>12.5</v>
      </c>
    </row>
    <row r="2620" spans="1:8" x14ac:dyDescent="0.25">
      <c r="A2620" t="s">
        <v>2626</v>
      </c>
      <c r="B2620">
        <v>7175</v>
      </c>
      <c r="C2620">
        <v>7891150049871</v>
      </c>
      <c r="D2620">
        <v>2.4900000000000002</v>
      </c>
      <c r="E2620">
        <v>2.2000000000000002</v>
      </c>
      <c r="F2620" s="3">
        <v>0.11710000000000001</v>
      </c>
      <c r="G2620">
        <v>2.1983999999999999</v>
      </c>
      <c r="H2620">
        <v>0.6</v>
      </c>
    </row>
    <row r="2621" spans="1:8" x14ac:dyDescent="0.25">
      <c r="A2621" t="s">
        <v>2627</v>
      </c>
      <c r="B2621">
        <v>7181</v>
      </c>
      <c r="C2621">
        <v>7891150049895</v>
      </c>
      <c r="D2621">
        <v>2.4900000000000002</v>
      </c>
      <c r="E2621">
        <v>2.5099999999999998</v>
      </c>
      <c r="F2621" s="3">
        <v>-6.1999999999999998E-3</v>
      </c>
      <c r="G2621">
        <v>2.5055000000000001</v>
      </c>
      <c r="H2621">
        <v>1.833</v>
      </c>
    </row>
    <row r="2622" spans="1:8" x14ac:dyDescent="0.25">
      <c r="A2622" t="s">
        <v>2628</v>
      </c>
      <c r="B2622">
        <v>65224</v>
      </c>
      <c r="C2622">
        <v>7891150094109</v>
      </c>
      <c r="D2622">
        <v>6.95</v>
      </c>
      <c r="E2622">
        <v>4.8899999999999997</v>
      </c>
      <c r="F2622" s="3">
        <v>0.29499999999999998</v>
      </c>
      <c r="G2622">
        <v>4.8998999999999997</v>
      </c>
      <c r="H2622">
        <v>1.2330000000000001</v>
      </c>
    </row>
    <row r="2623" spans="1:8" x14ac:dyDescent="0.25">
      <c r="A2623" t="s">
        <v>2629</v>
      </c>
      <c r="B2623">
        <v>62575</v>
      </c>
      <c r="C2623">
        <v>7891150088351</v>
      </c>
      <c r="D2623">
        <v>3.99</v>
      </c>
      <c r="E2623">
        <v>4.8899999999999997</v>
      </c>
      <c r="F2623" s="3">
        <v>-0.23170000000000002</v>
      </c>
      <c r="G2623">
        <v>4.9143999999999997</v>
      </c>
      <c r="H2623">
        <v>3.9670000000000001</v>
      </c>
    </row>
    <row r="2624" spans="1:8" x14ac:dyDescent="0.25">
      <c r="A2624" t="s">
        <v>2630</v>
      </c>
      <c r="B2624">
        <v>62574</v>
      </c>
      <c r="C2624">
        <v>7891150088344</v>
      </c>
      <c r="D2624">
        <v>3.99</v>
      </c>
      <c r="E2624">
        <v>5.1100000000000003</v>
      </c>
      <c r="F2624" s="3">
        <v>-0.312</v>
      </c>
      <c r="G2624">
        <v>5.2347999999999999</v>
      </c>
      <c r="H2624">
        <v>3.8330000000000002</v>
      </c>
    </row>
    <row r="2625" spans="1:8" x14ac:dyDescent="0.25">
      <c r="A2625" t="s">
        <v>2631</v>
      </c>
      <c r="B2625">
        <v>18529</v>
      </c>
      <c r="C2625">
        <v>7891037006324</v>
      </c>
      <c r="D2625">
        <v>4.9000000000000004</v>
      </c>
      <c r="E2625">
        <v>3.82</v>
      </c>
      <c r="F2625" s="3">
        <v>0.21940000000000001</v>
      </c>
      <c r="G2625">
        <v>3.8250000000000002</v>
      </c>
      <c r="H2625">
        <v>2.2999999999999998</v>
      </c>
    </row>
    <row r="2626" spans="1:8" x14ac:dyDescent="0.25">
      <c r="A2626" t="s">
        <v>2632</v>
      </c>
      <c r="B2626">
        <v>7171</v>
      </c>
      <c r="C2626">
        <v>7891037744257</v>
      </c>
      <c r="D2626">
        <v>4.9000000000000004</v>
      </c>
      <c r="E2626">
        <v>3.77</v>
      </c>
      <c r="F2626" s="3">
        <v>0.2271</v>
      </c>
      <c r="G2626">
        <v>3.7871999999999999</v>
      </c>
      <c r="H2626">
        <v>3.6669999999999998</v>
      </c>
    </row>
    <row r="2627" spans="1:8" x14ac:dyDescent="0.25">
      <c r="A2627" t="s">
        <v>2633</v>
      </c>
      <c r="B2627">
        <v>18526</v>
      </c>
      <c r="C2627">
        <v>7891037744356</v>
      </c>
      <c r="D2627">
        <v>4.9000000000000004</v>
      </c>
      <c r="E2627">
        <v>3.78</v>
      </c>
      <c r="F2627" s="3">
        <v>0.2288</v>
      </c>
      <c r="G2627">
        <v>3.7787000000000002</v>
      </c>
      <c r="H2627">
        <v>1.5</v>
      </c>
    </row>
    <row r="2628" spans="1:8" x14ac:dyDescent="0.25">
      <c r="A2628" t="s">
        <v>2634</v>
      </c>
      <c r="B2628">
        <v>19851</v>
      </c>
      <c r="C2628">
        <v>7891024132647</v>
      </c>
      <c r="D2628">
        <v>19.899999999999999</v>
      </c>
      <c r="E2628">
        <v>13.93</v>
      </c>
      <c r="F2628" s="3">
        <v>0.29420000000000002</v>
      </c>
      <c r="G2628">
        <v>14.044600000000001</v>
      </c>
      <c r="H2628">
        <v>1.9</v>
      </c>
    </row>
    <row r="2629" spans="1:8" x14ac:dyDescent="0.25">
      <c r="A2629" t="s">
        <v>2635</v>
      </c>
      <c r="B2629">
        <v>63582</v>
      </c>
      <c r="C2629">
        <v>7509546687926</v>
      </c>
      <c r="D2629">
        <v>4.99</v>
      </c>
      <c r="E2629">
        <v>4.45</v>
      </c>
      <c r="F2629" s="3">
        <v>9.5299999999999996E-2</v>
      </c>
      <c r="G2629">
        <v>4.5145999999999997</v>
      </c>
      <c r="H2629">
        <v>9.8000000000000007</v>
      </c>
    </row>
    <row r="2630" spans="1:8" x14ac:dyDescent="0.25">
      <c r="A2630" t="s">
        <v>2636</v>
      </c>
      <c r="B2630">
        <v>57185</v>
      </c>
      <c r="C2630">
        <v>7509546659381</v>
      </c>
      <c r="D2630">
        <v>5.5</v>
      </c>
      <c r="E2630">
        <v>4.78</v>
      </c>
      <c r="F2630" s="3">
        <v>0.12990000000000002</v>
      </c>
      <c r="G2630">
        <v>4.7858000000000001</v>
      </c>
      <c r="H2630">
        <v>8.6</v>
      </c>
    </row>
    <row r="2631" spans="1:8" x14ac:dyDescent="0.25">
      <c r="A2631" t="s">
        <v>2637</v>
      </c>
      <c r="B2631">
        <v>61008</v>
      </c>
      <c r="C2631">
        <v>7509546672298</v>
      </c>
      <c r="D2631">
        <v>17.59</v>
      </c>
      <c r="E2631">
        <v>13.77</v>
      </c>
      <c r="F2631" s="3">
        <v>0.2145</v>
      </c>
      <c r="G2631">
        <v>13.8171</v>
      </c>
      <c r="H2631">
        <v>1.167</v>
      </c>
    </row>
    <row r="2632" spans="1:8" x14ac:dyDescent="0.25">
      <c r="A2632" t="s">
        <v>2638</v>
      </c>
      <c r="B2632">
        <v>55803</v>
      </c>
      <c r="C2632">
        <v>7509546653402</v>
      </c>
      <c r="D2632">
        <v>17.59</v>
      </c>
      <c r="E2632">
        <v>13.8</v>
      </c>
      <c r="F2632" s="3">
        <v>0.21260000000000001</v>
      </c>
      <c r="G2632">
        <v>13.85</v>
      </c>
      <c r="H2632">
        <v>4.633</v>
      </c>
    </row>
    <row r="2633" spans="1:8" x14ac:dyDescent="0.25">
      <c r="A2633" t="s">
        <v>2639</v>
      </c>
      <c r="B2633">
        <v>58120</v>
      </c>
      <c r="C2633">
        <v>7509546665306</v>
      </c>
      <c r="D2633">
        <v>13.59</v>
      </c>
      <c r="E2633">
        <v>11.74</v>
      </c>
      <c r="F2633" s="3">
        <v>0.12759999999999999</v>
      </c>
      <c r="G2633">
        <v>11.856400000000001</v>
      </c>
      <c r="H2633">
        <v>4.0670000000000002</v>
      </c>
    </row>
    <row r="2634" spans="1:8" x14ac:dyDescent="0.25">
      <c r="A2634" t="s">
        <v>2640</v>
      </c>
      <c r="B2634">
        <v>63995</v>
      </c>
      <c r="C2634">
        <v>7509546688022</v>
      </c>
      <c r="D2634">
        <v>17.59</v>
      </c>
      <c r="E2634">
        <v>14.05</v>
      </c>
      <c r="F2634" s="3">
        <v>0.19420000000000001</v>
      </c>
      <c r="G2634">
        <v>14.173400000000001</v>
      </c>
      <c r="H2634">
        <v>1.667</v>
      </c>
    </row>
    <row r="2635" spans="1:8" x14ac:dyDescent="0.25">
      <c r="A2635" t="s">
        <v>2641</v>
      </c>
      <c r="B2635">
        <v>19804</v>
      </c>
      <c r="C2635">
        <v>7891024134610</v>
      </c>
      <c r="D2635">
        <v>8.9</v>
      </c>
      <c r="E2635">
        <v>6.42</v>
      </c>
      <c r="F2635" s="3">
        <v>0.2782</v>
      </c>
      <c r="G2635">
        <v>6.4238</v>
      </c>
      <c r="H2635">
        <v>1.333</v>
      </c>
    </row>
    <row r="2636" spans="1:8" x14ac:dyDescent="0.25">
      <c r="A2636" t="s">
        <v>2642</v>
      </c>
      <c r="B2636">
        <v>48276</v>
      </c>
      <c r="C2636">
        <v>7891024037973</v>
      </c>
      <c r="D2636">
        <v>8.49</v>
      </c>
      <c r="E2636">
        <v>6.16</v>
      </c>
      <c r="F2636" s="3">
        <v>0.2596</v>
      </c>
      <c r="G2636">
        <v>6.2862999999999998</v>
      </c>
      <c r="H2636">
        <v>40.133000000000003</v>
      </c>
    </row>
    <row r="2637" spans="1:8" x14ac:dyDescent="0.25">
      <c r="A2637" t="s">
        <v>2643</v>
      </c>
      <c r="B2637">
        <v>57423</v>
      </c>
      <c r="C2637">
        <v>7509546657738</v>
      </c>
      <c r="D2637">
        <v>16.899999999999999</v>
      </c>
      <c r="E2637">
        <v>12.57</v>
      </c>
      <c r="F2637" s="3">
        <v>0.24609999999999999</v>
      </c>
      <c r="G2637">
        <v>12.740600000000001</v>
      </c>
      <c r="H2637">
        <v>5.2</v>
      </c>
    </row>
    <row r="2638" spans="1:8" x14ac:dyDescent="0.25">
      <c r="A2638" t="s">
        <v>2644</v>
      </c>
      <c r="B2638">
        <v>63581</v>
      </c>
      <c r="C2638">
        <v>7509546686028</v>
      </c>
      <c r="D2638">
        <v>16.899999999999999</v>
      </c>
      <c r="E2638">
        <v>12.84</v>
      </c>
      <c r="F2638" s="3">
        <v>0.23699999999999999</v>
      </c>
      <c r="G2638">
        <v>12.8947</v>
      </c>
      <c r="H2638">
        <v>5.5330000000000004</v>
      </c>
    </row>
    <row r="2639" spans="1:8" x14ac:dyDescent="0.25">
      <c r="A2639" t="s">
        <v>2645</v>
      </c>
      <c r="B2639">
        <v>56727</v>
      </c>
      <c r="C2639">
        <v>7509546653280</v>
      </c>
      <c r="D2639">
        <v>16.899999999999999</v>
      </c>
      <c r="E2639">
        <v>12.73</v>
      </c>
      <c r="F2639" s="3">
        <v>0.2427</v>
      </c>
      <c r="G2639">
        <v>12.798999999999999</v>
      </c>
      <c r="H2639">
        <v>4.6669999999999998</v>
      </c>
    </row>
    <row r="2640" spans="1:8" x14ac:dyDescent="0.25">
      <c r="A2640" t="s">
        <v>2646</v>
      </c>
      <c r="B2640">
        <v>58745</v>
      </c>
      <c r="C2640">
        <v>7509546668062</v>
      </c>
      <c r="D2640">
        <v>16.899999999999999</v>
      </c>
      <c r="E2640">
        <v>12.61</v>
      </c>
      <c r="F2640" s="3">
        <v>0.24170000000000003</v>
      </c>
      <c r="G2640">
        <v>12.8148</v>
      </c>
      <c r="H2640">
        <v>2.9670000000000001</v>
      </c>
    </row>
    <row r="2641" spans="1:8" x14ac:dyDescent="0.25">
      <c r="A2641" t="s">
        <v>2647</v>
      </c>
      <c r="B2641">
        <v>59837</v>
      </c>
      <c r="C2641">
        <v>7509546670744</v>
      </c>
      <c r="D2641">
        <v>16.899999999999999</v>
      </c>
      <c r="E2641">
        <v>12.76</v>
      </c>
      <c r="F2641" s="3">
        <v>0.24840000000000001</v>
      </c>
      <c r="G2641">
        <v>12.702299999999999</v>
      </c>
      <c r="H2641">
        <v>7.6</v>
      </c>
    </row>
    <row r="2642" spans="1:8" x14ac:dyDescent="0.25">
      <c r="A2642" t="s">
        <v>2648</v>
      </c>
      <c r="B2642">
        <v>19810</v>
      </c>
      <c r="C2642">
        <v>7891024132371</v>
      </c>
      <c r="D2642">
        <v>9.9</v>
      </c>
      <c r="E2642">
        <v>6.82</v>
      </c>
      <c r="F2642" s="3">
        <v>0.2999</v>
      </c>
      <c r="G2642">
        <v>6.931</v>
      </c>
      <c r="H2642">
        <v>5.3</v>
      </c>
    </row>
    <row r="2643" spans="1:8" x14ac:dyDescent="0.25">
      <c r="A2643" t="s">
        <v>2649</v>
      </c>
      <c r="B2643">
        <v>57186</v>
      </c>
      <c r="C2643">
        <v>7891024039281</v>
      </c>
      <c r="D2643">
        <v>12.9</v>
      </c>
      <c r="E2643">
        <v>8.26</v>
      </c>
      <c r="F2643" s="3">
        <v>0.35960000000000003</v>
      </c>
      <c r="G2643">
        <v>8.2616999999999994</v>
      </c>
      <c r="H2643">
        <v>2.4670000000000001</v>
      </c>
    </row>
    <row r="2644" spans="1:8" x14ac:dyDescent="0.25">
      <c r="A2644" t="s">
        <v>2650</v>
      </c>
      <c r="B2644">
        <v>62014</v>
      </c>
      <c r="C2644">
        <v>7509546679600</v>
      </c>
      <c r="D2644">
        <v>20.99</v>
      </c>
      <c r="E2644">
        <v>16.73</v>
      </c>
      <c r="F2644" s="3">
        <v>0.19829999999999998</v>
      </c>
      <c r="G2644">
        <v>16.828299999999999</v>
      </c>
      <c r="H2644">
        <v>2.6</v>
      </c>
    </row>
    <row r="2645" spans="1:8" x14ac:dyDescent="0.25">
      <c r="A2645" t="s">
        <v>2651</v>
      </c>
      <c r="B2645">
        <v>63575</v>
      </c>
      <c r="C2645">
        <v>7509546676258</v>
      </c>
      <c r="D2645">
        <v>17.98</v>
      </c>
      <c r="E2645">
        <v>14.91</v>
      </c>
      <c r="F2645" s="3">
        <v>0.16879999999999998</v>
      </c>
      <c r="G2645">
        <v>14.944699999999999</v>
      </c>
      <c r="H2645">
        <v>3.2669999999999999</v>
      </c>
    </row>
    <row r="2646" spans="1:8" x14ac:dyDescent="0.25">
      <c r="A2646" t="s">
        <v>2652</v>
      </c>
      <c r="B2646">
        <v>35365</v>
      </c>
      <c r="C2646">
        <v>7891024030820</v>
      </c>
      <c r="D2646">
        <v>11.9</v>
      </c>
      <c r="E2646">
        <v>7.98</v>
      </c>
      <c r="F2646" s="3">
        <v>0.33049999999999996</v>
      </c>
      <c r="G2646">
        <v>7.9676</v>
      </c>
      <c r="H2646">
        <v>5.0670000000000002</v>
      </c>
    </row>
    <row r="2647" spans="1:8" x14ac:dyDescent="0.25">
      <c r="A2647" t="s">
        <v>2653</v>
      </c>
      <c r="B2647">
        <v>55808</v>
      </c>
      <c r="C2647">
        <v>7509546651040</v>
      </c>
      <c r="D2647">
        <v>11.9</v>
      </c>
      <c r="E2647">
        <v>7.8</v>
      </c>
      <c r="F2647" s="3">
        <v>0.33939999999999998</v>
      </c>
      <c r="G2647">
        <v>7.8609</v>
      </c>
      <c r="H2647">
        <v>2.8330000000000002</v>
      </c>
    </row>
    <row r="2648" spans="1:8" x14ac:dyDescent="0.25">
      <c r="A2648" t="s">
        <v>2654</v>
      </c>
      <c r="B2648">
        <v>26741</v>
      </c>
      <c r="C2648">
        <v>7891024028353</v>
      </c>
      <c r="D2648">
        <v>6.49</v>
      </c>
      <c r="E2648">
        <v>4.83</v>
      </c>
      <c r="F2648" s="3">
        <v>0.2409</v>
      </c>
      <c r="G2648">
        <v>4.9263000000000003</v>
      </c>
      <c r="H2648">
        <v>4.5999999999999996</v>
      </c>
    </row>
    <row r="2649" spans="1:8" x14ac:dyDescent="0.25">
      <c r="A2649" t="s">
        <v>2655</v>
      </c>
      <c r="B2649">
        <v>35373</v>
      </c>
      <c r="C2649">
        <v>7891024032732</v>
      </c>
      <c r="D2649">
        <v>15.8</v>
      </c>
      <c r="E2649">
        <v>12.19</v>
      </c>
      <c r="F2649" s="3">
        <v>0.23190000000000002</v>
      </c>
      <c r="G2649">
        <v>12.1366</v>
      </c>
      <c r="H2649">
        <v>2.0670000000000002</v>
      </c>
    </row>
    <row r="2650" spans="1:8" x14ac:dyDescent="0.25">
      <c r="A2650" t="s">
        <v>2656</v>
      </c>
      <c r="B2650">
        <v>44986</v>
      </c>
      <c r="C2650">
        <v>7891024034200</v>
      </c>
      <c r="D2650">
        <v>4.9000000000000004</v>
      </c>
      <c r="E2650">
        <v>3.32</v>
      </c>
      <c r="F2650" s="3">
        <v>0.31519999999999998</v>
      </c>
      <c r="G2650">
        <v>3.3555999999999999</v>
      </c>
      <c r="H2650">
        <v>6.2329999999999997</v>
      </c>
    </row>
    <row r="2651" spans="1:8" x14ac:dyDescent="0.25">
      <c r="A2651" t="s">
        <v>2657</v>
      </c>
      <c r="B2651">
        <v>50096</v>
      </c>
      <c r="C2651">
        <v>7891024132036</v>
      </c>
      <c r="D2651">
        <v>32.9</v>
      </c>
      <c r="E2651">
        <v>0</v>
      </c>
      <c r="F2651" s="3">
        <v>1</v>
      </c>
      <c r="G2651">
        <v>0</v>
      </c>
      <c r="H2651">
        <v>1.357</v>
      </c>
    </row>
    <row r="2652" spans="1:8" x14ac:dyDescent="0.25">
      <c r="A2652" t="s">
        <v>2658</v>
      </c>
      <c r="B2652">
        <v>57426</v>
      </c>
      <c r="C2652">
        <v>7509546660226</v>
      </c>
      <c r="D2652">
        <v>26.9</v>
      </c>
      <c r="E2652">
        <v>18.670000000000002</v>
      </c>
      <c r="F2652" s="3">
        <v>0.30269999999999997</v>
      </c>
      <c r="G2652">
        <v>18.7578</v>
      </c>
      <c r="H2652">
        <v>3.133</v>
      </c>
    </row>
    <row r="2653" spans="1:8" x14ac:dyDescent="0.25">
      <c r="A2653" t="s">
        <v>2659</v>
      </c>
      <c r="B2653">
        <v>60487</v>
      </c>
      <c r="C2653">
        <v>7509546654034</v>
      </c>
      <c r="D2653">
        <v>10.9</v>
      </c>
      <c r="E2653">
        <v>0</v>
      </c>
      <c r="F2653" s="3">
        <v>1</v>
      </c>
      <c r="G2653">
        <v>0</v>
      </c>
      <c r="H2653">
        <v>2.0910000000000002</v>
      </c>
    </row>
    <row r="2654" spans="1:8" x14ac:dyDescent="0.25">
      <c r="A2654" t="s">
        <v>2660</v>
      </c>
      <c r="B2654">
        <v>57794</v>
      </c>
      <c r="C2654">
        <v>7509546663012</v>
      </c>
      <c r="D2654">
        <v>26.9</v>
      </c>
      <c r="E2654">
        <v>18.86</v>
      </c>
      <c r="F2654" s="3">
        <v>0.29880000000000001</v>
      </c>
      <c r="G2654">
        <v>18.863199999999999</v>
      </c>
      <c r="H2654">
        <v>3.5</v>
      </c>
    </row>
    <row r="2655" spans="1:8" x14ac:dyDescent="0.25">
      <c r="A2655" t="s">
        <v>2661</v>
      </c>
      <c r="B2655">
        <v>59723</v>
      </c>
      <c r="C2655">
        <v>7509546673288</v>
      </c>
      <c r="D2655">
        <v>26.9</v>
      </c>
      <c r="E2655">
        <v>18.89</v>
      </c>
      <c r="F2655" s="3">
        <v>0.29719999999999996</v>
      </c>
      <c r="G2655">
        <v>18.9057</v>
      </c>
      <c r="H2655">
        <v>3.4</v>
      </c>
    </row>
    <row r="2656" spans="1:8" x14ac:dyDescent="0.25">
      <c r="A2656" t="s">
        <v>2662</v>
      </c>
      <c r="B2656">
        <v>19803</v>
      </c>
      <c r="C2656">
        <v>7891024134702</v>
      </c>
      <c r="D2656">
        <v>5.9</v>
      </c>
      <c r="E2656">
        <v>3.71</v>
      </c>
      <c r="F2656" s="3">
        <v>0.37140000000000001</v>
      </c>
      <c r="G2656">
        <v>3.7086000000000001</v>
      </c>
      <c r="H2656">
        <v>3.4670000000000001</v>
      </c>
    </row>
    <row r="2657" spans="1:8" x14ac:dyDescent="0.25">
      <c r="A2657" t="s">
        <v>2663</v>
      </c>
      <c r="B2657">
        <v>52966</v>
      </c>
      <c r="C2657">
        <v>7891024041628</v>
      </c>
      <c r="D2657">
        <v>12.99</v>
      </c>
      <c r="E2657">
        <v>11.86</v>
      </c>
      <c r="F2657" s="3">
        <v>8.5800000000000001E-2</v>
      </c>
      <c r="G2657">
        <v>11.8751</v>
      </c>
      <c r="H2657">
        <v>4.7</v>
      </c>
    </row>
    <row r="2658" spans="1:8" x14ac:dyDescent="0.25">
      <c r="A2658" t="s">
        <v>2664</v>
      </c>
      <c r="B2658">
        <v>59714</v>
      </c>
      <c r="C2658">
        <v>7509546671550</v>
      </c>
      <c r="D2658">
        <v>12.99</v>
      </c>
      <c r="E2658">
        <v>11.49</v>
      </c>
      <c r="F2658" s="3">
        <v>0.10199999999999999</v>
      </c>
      <c r="G2658">
        <v>11.6654</v>
      </c>
      <c r="H2658">
        <v>1</v>
      </c>
    </row>
    <row r="2659" spans="1:8" x14ac:dyDescent="0.25">
      <c r="A2659" t="s">
        <v>2665</v>
      </c>
      <c r="B2659">
        <v>52965</v>
      </c>
      <c r="C2659">
        <v>7891024041611</v>
      </c>
      <c r="D2659">
        <v>12.99</v>
      </c>
      <c r="E2659">
        <v>11.67</v>
      </c>
      <c r="F2659" s="3">
        <v>9.1499999999999998E-2</v>
      </c>
      <c r="G2659">
        <v>11.8011</v>
      </c>
      <c r="H2659">
        <v>6.3330000000000002</v>
      </c>
    </row>
    <row r="2660" spans="1:8" x14ac:dyDescent="0.25">
      <c r="A2660" t="s">
        <v>2666</v>
      </c>
      <c r="B2660">
        <v>63993</v>
      </c>
      <c r="C2660">
        <v>7509546687858</v>
      </c>
      <c r="D2660">
        <v>12.99</v>
      </c>
      <c r="E2660">
        <v>11.68</v>
      </c>
      <c r="F2660" s="3">
        <v>9.7799999999999998E-2</v>
      </c>
      <c r="G2660">
        <v>11.72</v>
      </c>
      <c r="H2660">
        <v>2.133</v>
      </c>
    </row>
    <row r="2661" spans="1:8" x14ac:dyDescent="0.25">
      <c r="A2661" t="s">
        <v>2667</v>
      </c>
      <c r="B2661">
        <v>19813</v>
      </c>
      <c r="C2661">
        <v>7891024135310</v>
      </c>
      <c r="D2661">
        <v>10.9</v>
      </c>
      <c r="E2661">
        <v>8.24</v>
      </c>
      <c r="F2661" s="3">
        <v>0.23480000000000001</v>
      </c>
      <c r="G2661">
        <v>8.3407</v>
      </c>
      <c r="H2661">
        <v>13.067</v>
      </c>
    </row>
    <row r="2662" spans="1:8" x14ac:dyDescent="0.25">
      <c r="A2662" t="s">
        <v>2668</v>
      </c>
      <c r="B2662">
        <v>63580</v>
      </c>
      <c r="C2662">
        <v>7509546686042</v>
      </c>
      <c r="D2662">
        <v>10.9</v>
      </c>
      <c r="E2662">
        <v>8.1</v>
      </c>
      <c r="F2662" s="3">
        <v>0.2432</v>
      </c>
      <c r="G2662">
        <v>8.2495999999999992</v>
      </c>
      <c r="H2662">
        <v>5.0330000000000004</v>
      </c>
    </row>
    <row r="2663" spans="1:8" x14ac:dyDescent="0.25">
      <c r="A2663" t="s">
        <v>2669</v>
      </c>
      <c r="B2663">
        <v>19811</v>
      </c>
      <c r="C2663">
        <v>7793100111143</v>
      </c>
      <c r="D2663">
        <v>10.9</v>
      </c>
      <c r="E2663">
        <v>7.92</v>
      </c>
      <c r="F2663" s="3">
        <v>0.26050000000000001</v>
      </c>
      <c r="G2663">
        <v>8.0603999999999996</v>
      </c>
      <c r="H2663">
        <v>15.5</v>
      </c>
    </row>
    <row r="2664" spans="1:8" x14ac:dyDescent="0.25">
      <c r="A2664" t="s">
        <v>2670</v>
      </c>
      <c r="B2664">
        <v>69367</v>
      </c>
      <c r="C2664">
        <v>7509546668055</v>
      </c>
      <c r="D2664">
        <v>10.9</v>
      </c>
      <c r="E2664">
        <v>8.41</v>
      </c>
      <c r="F2664" s="3">
        <v>0.2286</v>
      </c>
      <c r="G2664">
        <v>8.4084000000000003</v>
      </c>
      <c r="H2664">
        <v>3.738</v>
      </c>
    </row>
    <row r="2665" spans="1:8" x14ac:dyDescent="0.25">
      <c r="A2665" t="s">
        <v>2671</v>
      </c>
      <c r="B2665">
        <v>19812</v>
      </c>
      <c r="C2665">
        <v>7891024135020</v>
      </c>
      <c r="D2665">
        <v>10.9</v>
      </c>
      <c r="E2665">
        <v>8.06</v>
      </c>
      <c r="F2665" s="3">
        <v>0.2525</v>
      </c>
      <c r="G2665">
        <v>8.1479999999999997</v>
      </c>
      <c r="H2665">
        <v>17.899999999999999</v>
      </c>
    </row>
    <row r="2666" spans="1:8" x14ac:dyDescent="0.25">
      <c r="A2666" t="s">
        <v>2672</v>
      </c>
      <c r="B2666">
        <v>19809</v>
      </c>
      <c r="C2666">
        <v>7891024132128</v>
      </c>
      <c r="D2666">
        <v>5.9</v>
      </c>
      <c r="E2666">
        <v>4.0999999999999996</v>
      </c>
      <c r="F2666" s="3">
        <v>0.30420000000000003</v>
      </c>
      <c r="G2666">
        <v>4.1052</v>
      </c>
      <c r="H2666">
        <v>15.132999999999999</v>
      </c>
    </row>
    <row r="2667" spans="1:8" x14ac:dyDescent="0.25">
      <c r="A2667" t="s">
        <v>2673</v>
      </c>
      <c r="B2667">
        <v>19807</v>
      </c>
      <c r="C2667">
        <v>7891024132005</v>
      </c>
      <c r="D2667">
        <v>5.9</v>
      </c>
      <c r="E2667">
        <v>3.96</v>
      </c>
      <c r="F2667" s="3">
        <v>0.32350000000000001</v>
      </c>
      <c r="G2667">
        <v>3.9910999999999999</v>
      </c>
      <c r="H2667">
        <v>27.966999999999999</v>
      </c>
    </row>
    <row r="2668" spans="1:8" x14ac:dyDescent="0.25">
      <c r="A2668" t="s">
        <v>2674</v>
      </c>
      <c r="B2668">
        <v>41281</v>
      </c>
      <c r="C2668">
        <v>7509546060781</v>
      </c>
      <c r="D2668">
        <v>19.899999999999999</v>
      </c>
      <c r="E2668">
        <v>14.81</v>
      </c>
      <c r="F2668" s="3">
        <v>0.25900000000000001</v>
      </c>
      <c r="G2668">
        <v>14.745200000000001</v>
      </c>
      <c r="H2668">
        <v>0.96699999999999997</v>
      </c>
    </row>
    <row r="2669" spans="1:8" x14ac:dyDescent="0.25">
      <c r="A2669" t="s">
        <v>2675</v>
      </c>
      <c r="B2669">
        <v>69366</v>
      </c>
      <c r="C2669">
        <v>7509546660073</v>
      </c>
      <c r="D2669">
        <v>18.899999999999999</v>
      </c>
      <c r="E2669">
        <v>11.9</v>
      </c>
      <c r="F2669" s="3">
        <v>0.37130000000000002</v>
      </c>
      <c r="G2669">
        <v>11.8825</v>
      </c>
      <c r="H2669">
        <v>0.5</v>
      </c>
    </row>
    <row r="2670" spans="1:8" x14ac:dyDescent="0.25">
      <c r="A2670" t="s">
        <v>2676</v>
      </c>
      <c r="B2670">
        <v>62207</v>
      </c>
      <c r="C2670">
        <v>7509546680712</v>
      </c>
      <c r="D2670">
        <v>6.9</v>
      </c>
      <c r="E2670">
        <v>5.19</v>
      </c>
      <c r="F2670" s="3">
        <v>0.2359</v>
      </c>
      <c r="G2670">
        <v>5.2721</v>
      </c>
      <c r="H2670">
        <v>2.3330000000000002</v>
      </c>
    </row>
    <row r="2671" spans="1:8" x14ac:dyDescent="0.25">
      <c r="A2671" t="s">
        <v>2677</v>
      </c>
      <c r="B2671">
        <v>60151</v>
      </c>
      <c r="C2671">
        <v>7509546672021</v>
      </c>
      <c r="D2671">
        <v>3.8</v>
      </c>
      <c r="E2671">
        <v>3.44</v>
      </c>
      <c r="F2671" s="3">
        <v>9.3000000000000013E-2</v>
      </c>
      <c r="G2671">
        <v>3.4464999999999999</v>
      </c>
      <c r="H2671">
        <v>7.3</v>
      </c>
    </row>
    <row r="2672" spans="1:8" x14ac:dyDescent="0.25">
      <c r="A2672" t="s">
        <v>2678</v>
      </c>
      <c r="B2672">
        <v>62011</v>
      </c>
      <c r="C2672">
        <v>7509546678993</v>
      </c>
      <c r="D2672">
        <v>6.9</v>
      </c>
      <c r="E2672">
        <v>4.96</v>
      </c>
      <c r="F2672" s="3">
        <v>0.28170000000000001</v>
      </c>
      <c r="G2672">
        <v>4.9565000000000001</v>
      </c>
      <c r="H2672">
        <v>0.46700000000000003</v>
      </c>
    </row>
    <row r="2673" spans="1:8" x14ac:dyDescent="0.25">
      <c r="A2673" t="s">
        <v>2679</v>
      </c>
      <c r="B2673">
        <v>58123</v>
      </c>
      <c r="C2673">
        <v>7509546667638</v>
      </c>
      <c r="D2673">
        <v>3.8</v>
      </c>
      <c r="E2673">
        <v>3.14</v>
      </c>
      <c r="F2673" s="3">
        <v>0.17249999999999999</v>
      </c>
      <c r="G2673">
        <v>3.1446999999999998</v>
      </c>
      <c r="H2673">
        <v>13.233000000000001</v>
      </c>
    </row>
    <row r="2674" spans="1:8" x14ac:dyDescent="0.25">
      <c r="A2674" t="s">
        <v>2680</v>
      </c>
      <c r="B2674">
        <v>63576</v>
      </c>
      <c r="C2674">
        <v>7509546687247</v>
      </c>
      <c r="D2674">
        <v>4.9000000000000004</v>
      </c>
      <c r="E2674">
        <v>4.46</v>
      </c>
      <c r="F2674" s="3">
        <v>8.9099999999999999E-2</v>
      </c>
      <c r="G2674">
        <v>4.4634999999999998</v>
      </c>
      <c r="H2674">
        <v>3.1</v>
      </c>
    </row>
    <row r="2675" spans="1:8" x14ac:dyDescent="0.25">
      <c r="A2675" t="s">
        <v>2681</v>
      </c>
      <c r="B2675">
        <v>19927</v>
      </c>
      <c r="C2675">
        <v>7891528038001</v>
      </c>
      <c r="D2675">
        <v>5.99</v>
      </c>
      <c r="E2675">
        <v>4.26</v>
      </c>
      <c r="F2675" s="3">
        <v>0.28839999999999999</v>
      </c>
      <c r="G2675">
        <v>4.2625999999999999</v>
      </c>
      <c r="H2675">
        <v>0.5</v>
      </c>
    </row>
    <row r="2676" spans="1:8" x14ac:dyDescent="0.25">
      <c r="A2676" t="s">
        <v>2682</v>
      </c>
      <c r="B2676">
        <v>42808</v>
      </c>
      <c r="C2676">
        <v>7891528029498</v>
      </c>
      <c r="D2676">
        <v>0.99</v>
      </c>
      <c r="E2676">
        <v>2.21</v>
      </c>
      <c r="F2676" s="3">
        <v>-1.2319</v>
      </c>
      <c r="G2676">
        <v>2.2096</v>
      </c>
      <c r="H2676">
        <v>67.667000000000002</v>
      </c>
    </row>
    <row r="2677" spans="1:8" x14ac:dyDescent="0.25">
      <c r="A2677" t="s">
        <v>2683</v>
      </c>
      <c r="B2677">
        <v>19925</v>
      </c>
      <c r="C2677">
        <v>7891528030142</v>
      </c>
      <c r="D2677">
        <v>3.69</v>
      </c>
      <c r="E2677">
        <v>3.02</v>
      </c>
      <c r="F2677" s="3">
        <v>0.18090000000000001</v>
      </c>
      <c r="G2677">
        <v>3.0225</v>
      </c>
      <c r="H2677">
        <v>0.9</v>
      </c>
    </row>
    <row r="2678" spans="1:8" x14ac:dyDescent="0.25">
      <c r="A2678" t="s">
        <v>2684</v>
      </c>
      <c r="B2678">
        <v>65400</v>
      </c>
      <c r="C2678">
        <v>7891150094963</v>
      </c>
      <c r="D2678">
        <v>12.9</v>
      </c>
      <c r="E2678">
        <v>8.7899999999999991</v>
      </c>
      <c r="F2678" s="3">
        <v>0.31829999999999997</v>
      </c>
      <c r="G2678">
        <v>8.7934999999999999</v>
      </c>
      <c r="H2678">
        <v>0.4</v>
      </c>
    </row>
    <row r="2679" spans="1:8" x14ac:dyDescent="0.25">
      <c r="A2679" t="s">
        <v>2685</v>
      </c>
      <c r="B2679">
        <v>62366</v>
      </c>
      <c r="C2679">
        <v>7891150087286</v>
      </c>
      <c r="D2679">
        <v>27.9</v>
      </c>
      <c r="E2679">
        <v>18.649999999999999</v>
      </c>
      <c r="F2679" s="3">
        <v>0.3357</v>
      </c>
      <c r="G2679">
        <v>18.534700000000001</v>
      </c>
      <c r="H2679">
        <v>0.4</v>
      </c>
    </row>
    <row r="2680" spans="1:8" x14ac:dyDescent="0.25">
      <c r="A2680" t="s">
        <v>2686</v>
      </c>
      <c r="B2680">
        <v>62363</v>
      </c>
      <c r="C2680">
        <v>7891150087293</v>
      </c>
      <c r="D2680">
        <v>24.9</v>
      </c>
      <c r="E2680">
        <v>15.02</v>
      </c>
      <c r="F2680" s="3">
        <v>0.39689999999999998</v>
      </c>
      <c r="G2680">
        <v>15.0167</v>
      </c>
      <c r="H2680">
        <v>0</v>
      </c>
    </row>
    <row r="2681" spans="1:8" x14ac:dyDescent="0.25">
      <c r="A2681" t="s">
        <v>2687</v>
      </c>
      <c r="B2681">
        <v>66199</v>
      </c>
      <c r="C2681">
        <v>7891010245450</v>
      </c>
      <c r="D2681">
        <v>41.9</v>
      </c>
      <c r="E2681">
        <v>27.25</v>
      </c>
      <c r="F2681" s="3">
        <v>0.36670000000000003</v>
      </c>
      <c r="G2681">
        <v>26.534400000000002</v>
      </c>
      <c r="H2681">
        <v>0.2</v>
      </c>
    </row>
    <row r="2682" spans="1:8" x14ac:dyDescent="0.25">
      <c r="A2682" t="s">
        <v>2688</v>
      </c>
      <c r="B2682">
        <v>49622</v>
      </c>
      <c r="C2682">
        <v>7891150060883</v>
      </c>
      <c r="D2682">
        <v>10.9</v>
      </c>
      <c r="E2682">
        <v>9.18</v>
      </c>
      <c r="F2682" s="3">
        <v>0.158</v>
      </c>
      <c r="G2682">
        <v>9.1777999999999995</v>
      </c>
      <c r="H2682">
        <v>0.13300000000000001</v>
      </c>
    </row>
    <row r="2683" spans="1:8" x14ac:dyDescent="0.25">
      <c r="A2683" t="s">
        <v>2689</v>
      </c>
      <c r="B2683">
        <v>7214</v>
      </c>
      <c r="C2683">
        <v>7891037144705</v>
      </c>
      <c r="D2683">
        <v>10.9</v>
      </c>
      <c r="E2683">
        <v>9.2100000000000009</v>
      </c>
      <c r="F2683" s="3">
        <v>0.15380000000000002</v>
      </c>
      <c r="G2683">
        <v>9.2232000000000003</v>
      </c>
      <c r="H2683">
        <v>1.133</v>
      </c>
    </row>
    <row r="2684" spans="1:8" x14ac:dyDescent="0.25">
      <c r="A2684" t="s">
        <v>2690</v>
      </c>
      <c r="B2684">
        <v>59336</v>
      </c>
      <c r="C2684">
        <v>7891150080102</v>
      </c>
      <c r="D2684">
        <v>10.9</v>
      </c>
      <c r="E2684">
        <v>9.09</v>
      </c>
      <c r="F2684" s="3">
        <v>0.16269999999999998</v>
      </c>
      <c r="G2684">
        <v>9.1263000000000005</v>
      </c>
      <c r="H2684">
        <v>0.93300000000000005</v>
      </c>
    </row>
    <row r="2685" spans="1:8" x14ac:dyDescent="0.25">
      <c r="A2685" t="s">
        <v>2691</v>
      </c>
      <c r="B2685">
        <v>18603</v>
      </c>
      <c r="C2685">
        <v>7891037000322</v>
      </c>
      <c r="D2685">
        <v>10.9</v>
      </c>
      <c r="E2685">
        <v>9.66</v>
      </c>
      <c r="F2685" s="3">
        <v>0.1045</v>
      </c>
      <c r="G2685">
        <v>9.7613000000000003</v>
      </c>
      <c r="H2685">
        <v>2.4</v>
      </c>
    </row>
    <row r="2686" spans="1:8" x14ac:dyDescent="0.25">
      <c r="A2686" t="s">
        <v>2692</v>
      </c>
      <c r="B2686">
        <v>68428</v>
      </c>
      <c r="C2686">
        <v>7891150099852</v>
      </c>
      <c r="D2686">
        <v>10.9</v>
      </c>
      <c r="E2686">
        <v>8.7899999999999991</v>
      </c>
      <c r="F2686" s="3">
        <v>0.18049999999999999</v>
      </c>
      <c r="G2686">
        <v>8.9322999999999997</v>
      </c>
      <c r="H2686">
        <v>1.2</v>
      </c>
    </row>
    <row r="2687" spans="1:8" x14ac:dyDescent="0.25">
      <c r="A2687" t="s">
        <v>2693</v>
      </c>
      <c r="B2687">
        <v>19703</v>
      </c>
      <c r="C2687">
        <v>7891150031746</v>
      </c>
      <c r="D2687">
        <v>10.9</v>
      </c>
      <c r="E2687">
        <v>8.4</v>
      </c>
      <c r="F2687" s="3">
        <v>0.22920000000000001</v>
      </c>
      <c r="G2687">
        <v>8.4016999999999999</v>
      </c>
      <c r="H2687">
        <v>3.3000000000000002E-2</v>
      </c>
    </row>
    <row r="2688" spans="1:8" x14ac:dyDescent="0.25">
      <c r="A2688" t="s">
        <v>2694</v>
      </c>
      <c r="B2688">
        <v>18602</v>
      </c>
      <c r="C2688">
        <v>7891037010048</v>
      </c>
      <c r="D2688">
        <v>10.9</v>
      </c>
      <c r="E2688">
        <v>9.1199999999999992</v>
      </c>
      <c r="F2688" s="3">
        <v>0.154</v>
      </c>
      <c r="G2688">
        <v>9.2215000000000007</v>
      </c>
      <c r="H2688">
        <v>0.8</v>
      </c>
    </row>
    <row r="2689" spans="1:8" x14ac:dyDescent="0.25">
      <c r="A2689" t="s">
        <v>2695</v>
      </c>
      <c r="B2689">
        <v>64263</v>
      </c>
      <c r="C2689">
        <v>7891150091436</v>
      </c>
      <c r="D2689">
        <v>10.9</v>
      </c>
      <c r="E2689">
        <v>8.86</v>
      </c>
      <c r="F2689" s="3">
        <v>0.18609999999999999</v>
      </c>
      <c r="G2689">
        <v>8.8716000000000008</v>
      </c>
      <c r="H2689">
        <v>0.2</v>
      </c>
    </row>
    <row r="2690" spans="1:8" x14ac:dyDescent="0.25">
      <c r="A2690" t="s">
        <v>2696</v>
      </c>
      <c r="B2690">
        <v>32492</v>
      </c>
      <c r="C2690">
        <v>7898422745301</v>
      </c>
      <c r="D2690">
        <v>10.9</v>
      </c>
      <c r="E2690">
        <v>8.84</v>
      </c>
      <c r="F2690" s="3">
        <v>0.18870000000000001</v>
      </c>
      <c r="G2690">
        <v>8.8432999999999993</v>
      </c>
      <c r="H2690">
        <v>0.2</v>
      </c>
    </row>
    <row r="2691" spans="1:8" x14ac:dyDescent="0.25">
      <c r="A2691" t="s">
        <v>2697</v>
      </c>
      <c r="B2691">
        <v>61003</v>
      </c>
      <c r="C2691">
        <v>7891150082595</v>
      </c>
      <c r="D2691">
        <v>26.9</v>
      </c>
      <c r="E2691">
        <v>15.39</v>
      </c>
      <c r="F2691" s="3">
        <v>0.42780000000000001</v>
      </c>
      <c r="G2691">
        <v>15.3917</v>
      </c>
      <c r="H2691">
        <v>6.7000000000000004E-2</v>
      </c>
    </row>
    <row r="2692" spans="1:8" x14ac:dyDescent="0.25">
      <c r="A2692" t="s">
        <v>2698</v>
      </c>
      <c r="B2692">
        <v>61002</v>
      </c>
      <c r="C2692">
        <v>7891150082588</v>
      </c>
      <c r="D2692">
        <v>26.9</v>
      </c>
      <c r="E2692">
        <v>14.06</v>
      </c>
      <c r="F2692" s="3">
        <v>0.47720000000000001</v>
      </c>
      <c r="G2692">
        <v>14.0625</v>
      </c>
      <c r="H2692">
        <v>3.3000000000000002E-2</v>
      </c>
    </row>
    <row r="2693" spans="1:8" x14ac:dyDescent="0.25">
      <c r="A2693" t="s">
        <v>2699</v>
      </c>
      <c r="B2693">
        <v>61005</v>
      </c>
      <c r="C2693">
        <v>7891150082601</v>
      </c>
      <c r="D2693">
        <v>27.9</v>
      </c>
      <c r="E2693">
        <v>15.69</v>
      </c>
      <c r="F2693" s="3">
        <v>0.43819999999999998</v>
      </c>
      <c r="G2693">
        <v>15.6754</v>
      </c>
      <c r="H2693">
        <v>3.3000000000000002E-2</v>
      </c>
    </row>
    <row r="2694" spans="1:8" x14ac:dyDescent="0.25">
      <c r="A2694" t="s">
        <v>2700</v>
      </c>
      <c r="B2694">
        <v>64267</v>
      </c>
      <c r="C2694">
        <v>7891150091788</v>
      </c>
      <c r="D2694">
        <v>22.9</v>
      </c>
      <c r="E2694">
        <v>21.69</v>
      </c>
      <c r="F2694" s="3">
        <v>5.28E-2</v>
      </c>
      <c r="G2694">
        <v>21.69</v>
      </c>
      <c r="H2694">
        <v>0.23300000000000001</v>
      </c>
    </row>
    <row r="2695" spans="1:8" x14ac:dyDescent="0.25">
      <c r="A2695" t="s">
        <v>2701</v>
      </c>
      <c r="B2695">
        <v>66943</v>
      </c>
      <c r="C2695">
        <v>7891150095922</v>
      </c>
      <c r="D2695">
        <v>22.9</v>
      </c>
      <c r="E2695">
        <v>20.71</v>
      </c>
      <c r="F2695" s="3">
        <v>9.5399999999999985E-2</v>
      </c>
      <c r="G2695">
        <v>20.7148</v>
      </c>
      <c r="H2695">
        <v>0.33300000000000002</v>
      </c>
    </row>
    <row r="2696" spans="1:8" x14ac:dyDescent="0.25">
      <c r="A2696" t="s">
        <v>2702</v>
      </c>
      <c r="B2696">
        <v>66944</v>
      </c>
      <c r="C2696">
        <v>7891150095908</v>
      </c>
      <c r="D2696">
        <v>22.9</v>
      </c>
      <c r="E2696">
        <v>21.08</v>
      </c>
      <c r="F2696" s="3">
        <v>8.3499999999999991E-2</v>
      </c>
      <c r="G2696">
        <v>20.988099999999999</v>
      </c>
      <c r="H2696">
        <v>1.167</v>
      </c>
    </row>
    <row r="2697" spans="1:8" x14ac:dyDescent="0.25">
      <c r="A2697" t="s">
        <v>2703</v>
      </c>
      <c r="B2697">
        <v>66945</v>
      </c>
      <c r="C2697">
        <v>7891150095892</v>
      </c>
      <c r="D2697">
        <v>22.9</v>
      </c>
      <c r="E2697">
        <v>20.96</v>
      </c>
      <c r="F2697" s="3">
        <v>8.0399999999999985E-2</v>
      </c>
      <c r="G2697">
        <v>21.058</v>
      </c>
      <c r="H2697">
        <v>0.26700000000000002</v>
      </c>
    </row>
    <row r="2698" spans="1:8" x14ac:dyDescent="0.25">
      <c r="A2698" t="s">
        <v>2704</v>
      </c>
      <c r="B2698">
        <v>66941</v>
      </c>
      <c r="C2698">
        <v>7891150095915</v>
      </c>
      <c r="D2698">
        <v>9.9</v>
      </c>
      <c r="E2698">
        <v>10.27</v>
      </c>
      <c r="F2698" s="3">
        <v>-3.7100000000000001E-2</v>
      </c>
      <c r="G2698">
        <v>10.2675</v>
      </c>
      <c r="H2698">
        <v>0.2</v>
      </c>
    </row>
    <row r="2699" spans="1:8" x14ac:dyDescent="0.25">
      <c r="A2699" t="s">
        <v>2705</v>
      </c>
      <c r="B2699">
        <v>62378</v>
      </c>
      <c r="C2699">
        <v>7891150088399</v>
      </c>
      <c r="D2699">
        <v>9.9</v>
      </c>
      <c r="E2699">
        <v>10.69</v>
      </c>
      <c r="F2699" s="3">
        <v>-8.4600000000000009E-2</v>
      </c>
      <c r="G2699">
        <v>10.7372</v>
      </c>
      <c r="H2699">
        <v>0.63300000000000001</v>
      </c>
    </row>
    <row r="2700" spans="1:8" x14ac:dyDescent="0.25">
      <c r="A2700" t="s">
        <v>2706</v>
      </c>
      <c r="B2700">
        <v>62380</v>
      </c>
      <c r="C2700">
        <v>7891150088368</v>
      </c>
      <c r="D2700">
        <v>9.9</v>
      </c>
      <c r="E2700">
        <v>10.75</v>
      </c>
      <c r="F2700" s="3">
        <v>-8.7100000000000011E-2</v>
      </c>
      <c r="G2700">
        <v>10.7621</v>
      </c>
      <c r="H2700">
        <v>0.7</v>
      </c>
    </row>
    <row r="2701" spans="1:8" x14ac:dyDescent="0.25">
      <c r="A2701" t="s">
        <v>2707</v>
      </c>
      <c r="B2701">
        <v>66942</v>
      </c>
      <c r="C2701">
        <v>7891150095885</v>
      </c>
      <c r="D2701">
        <v>9.9</v>
      </c>
      <c r="E2701">
        <v>10.27</v>
      </c>
      <c r="F2701" s="3">
        <v>-3.7100000000000001E-2</v>
      </c>
      <c r="G2701">
        <v>10.2676</v>
      </c>
      <c r="H2701">
        <v>0.33300000000000002</v>
      </c>
    </row>
    <row r="2702" spans="1:8" x14ac:dyDescent="0.25">
      <c r="A2702" t="s">
        <v>2708</v>
      </c>
      <c r="B2702">
        <v>62379</v>
      </c>
      <c r="C2702">
        <v>7891150088375</v>
      </c>
      <c r="D2702">
        <v>9.9</v>
      </c>
      <c r="E2702">
        <v>10.31</v>
      </c>
      <c r="F2702" s="3">
        <v>-4.8600000000000004E-2</v>
      </c>
      <c r="G2702">
        <v>10.381399999999999</v>
      </c>
      <c r="H2702">
        <v>0.56699999999999995</v>
      </c>
    </row>
    <row r="2703" spans="1:8" x14ac:dyDescent="0.25">
      <c r="A2703" t="s">
        <v>2709</v>
      </c>
      <c r="B2703">
        <v>60660</v>
      </c>
      <c r="C2703">
        <v>7891150083639</v>
      </c>
      <c r="D2703">
        <v>13.9</v>
      </c>
      <c r="E2703">
        <v>9.2100000000000009</v>
      </c>
      <c r="F2703" s="3">
        <v>0.33649999999999997</v>
      </c>
      <c r="G2703">
        <v>9.2230000000000008</v>
      </c>
      <c r="H2703">
        <v>0.5</v>
      </c>
    </row>
    <row r="2704" spans="1:8" x14ac:dyDescent="0.25">
      <c r="A2704" t="s">
        <v>2710</v>
      </c>
      <c r="B2704">
        <v>60668</v>
      </c>
      <c r="C2704">
        <v>7891150083646</v>
      </c>
      <c r="D2704">
        <v>13.9</v>
      </c>
      <c r="E2704">
        <v>9.44</v>
      </c>
      <c r="F2704" s="3">
        <v>0.3125</v>
      </c>
      <c r="G2704">
        <v>9.5556000000000001</v>
      </c>
      <c r="H2704">
        <v>0.76700000000000002</v>
      </c>
    </row>
    <row r="2705" spans="1:8" x14ac:dyDescent="0.25">
      <c r="A2705" t="s">
        <v>2711</v>
      </c>
      <c r="B2705">
        <v>49085</v>
      </c>
      <c r="C2705">
        <v>7891150058972</v>
      </c>
      <c r="D2705">
        <v>17.899999999999999</v>
      </c>
      <c r="E2705">
        <v>10.19</v>
      </c>
      <c r="F2705" s="3">
        <v>0.40990000000000004</v>
      </c>
      <c r="G2705">
        <v>10.562900000000001</v>
      </c>
      <c r="H2705">
        <v>0.1</v>
      </c>
    </row>
    <row r="2706" spans="1:8" x14ac:dyDescent="0.25">
      <c r="A2706" t="s">
        <v>2712</v>
      </c>
      <c r="B2706">
        <v>49082</v>
      </c>
      <c r="C2706">
        <v>7891150058965</v>
      </c>
      <c r="D2706">
        <v>17.899999999999999</v>
      </c>
      <c r="E2706">
        <v>10.98</v>
      </c>
      <c r="F2706" s="3">
        <v>0.38670000000000004</v>
      </c>
      <c r="G2706">
        <v>10.9779</v>
      </c>
      <c r="H2706">
        <v>0.13300000000000001</v>
      </c>
    </row>
    <row r="2707" spans="1:8" x14ac:dyDescent="0.25">
      <c r="A2707" t="s">
        <v>2713</v>
      </c>
      <c r="B2707">
        <v>65215</v>
      </c>
      <c r="C2707">
        <v>7891150091153</v>
      </c>
      <c r="D2707">
        <v>14.9</v>
      </c>
      <c r="E2707">
        <v>9.76</v>
      </c>
      <c r="F2707" s="3">
        <v>0.34499999999999997</v>
      </c>
      <c r="G2707">
        <v>9.7599</v>
      </c>
      <c r="H2707">
        <v>0</v>
      </c>
    </row>
    <row r="2708" spans="1:8" x14ac:dyDescent="0.25">
      <c r="A2708" t="s">
        <v>2714</v>
      </c>
      <c r="B2708">
        <v>68362</v>
      </c>
      <c r="C2708">
        <v>7899852023649</v>
      </c>
      <c r="D2708">
        <v>24.99</v>
      </c>
      <c r="E2708">
        <v>17.48</v>
      </c>
      <c r="F2708" s="3">
        <v>0.30049999999999999</v>
      </c>
      <c r="G2708">
        <v>17.48</v>
      </c>
      <c r="H2708">
        <v>0.23300000000000001</v>
      </c>
    </row>
    <row r="2709" spans="1:8" x14ac:dyDescent="0.25">
      <c r="A2709" t="s">
        <v>2715</v>
      </c>
      <c r="B2709">
        <v>68353</v>
      </c>
      <c r="C2709">
        <v>7899852025117</v>
      </c>
      <c r="D2709">
        <v>24.99</v>
      </c>
      <c r="E2709">
        <v>17.48</v>
      </c>
      <c r="F2709" s="3">
        <v>0.30049999999999999</v>
      </c>
      <c r="G2709">
        <v>17.48</v>
      </c>
      <c r="H2709">
        <v>0.1</v>
      </c>
    </row>
    <row r="2710" spans="1:8" x14ac:dyDescent="0.25">
      <c r="A2710" t="s">
        <v>2716</v>
      </c>
      <c r="B2710">
        <v>68351</v>
      </c>
      <c r="C2710">
        <v>7899852025445</v>
      </c>
      <c r="D2710">
        <v>24.99</v>
      </c>
      <c r="E2710">
        <v>17.48</v>
      </c>
      <c r="F2710" s="3">
        <v>0.30049999999999999</v>
      </c>
      <c r="G2710">
        <v>17.48</v>
      </c>
      <c r="H2710">
        <v>0</v>
      </c>
    </row>
    <row r="2711" spans="1:8" x14ac:dyDescent="0.25">
      <c r="A2711" t="s">
        <v>2717</v>
      </c>
      <c r="B2711">
        <v>66953</v>
      </c>
      <c r="C2711">
        <v>7891150095557</v>
      </c>
      <c r="D2711">
        <v>55.9</v>
      </c>
      <c r="E2711">
        <v>36.32</v>
      </c>
      <c r="F2711" s="3">
        <v>0.34820000000000001</v>
      </c>
      <c r="G2711">
        <v>36.433900000000001</v>
      </c>
      <c r="H2711">
        <v>0.13300000000000001</v>
      </c>
    </row>
    <row r="2712" spans="1:8" x14ac:dyDescent="0.25">
      <c r="A2712" t="s">
        <v>2718</v>
      </c>
      <c r="B2712">
        <v>65399</v>
      </c>
      <c r="C2712">
        <v>7891150094932</v>
      </c>
      <c r="D2712">
        <v>53.9</v>
      </c>
      <c r="E2712">
        <v>36.36</v>
      </c>
      <c r="F2712" s="3">
        <v>0.32280000000000003</v>
      </c>
      <c r="G2712">
        <v>36.498600000000003</v>
      </c>
      <c r="H2712">
        <v>3.3000000000000002E-2</v>
      </c>
    </row>
    <row r="2713" spans="1:8" x14ac:dyDescent="0.25">
      <c r="A2713" t="s">
        <v>2719</v>
      </c>
      <c r="B2713">
        <v>65398</v>
      </c>
      <c r="C2713">
        <v>7891150094949</v>
      </c>
      <c r="D2713">
        <v>53.9</v>
      </c>
      <c r="E2713">
        <v>37.049999999999997</v>
      </c>
      <c r="F2713" s="3">
        <v>0.3125</v>
      </c>
      <c r="G2713">
        <v>37.056399999999996</v>
      </c>
      <c r="H2713">
        <v>0.1</v>
      </c>
    </row>
    <row r="2714" spans="1:8" x14ac:dyDescent="0.25">
      <c r="A2714" t="s">
        <v>2720</v>
      </c>
      <c r="B2714">
        <v>65397</v>
      </c>
      <c r="C2714">
        <v>7891150094895</v>
      </c>
      <c r="D2714">
        <v>53.9</v>
      </c>
      <c r="E2714">
        <v>37.01</v>
      </c>
      <c r="F2714" s="3">
        <v>0.31340000000000001</v>
      </c>
      <c r="G2714">
        <v>37.009900000000002</v>
      </c>
      <c r="H2714">
        <v>0.13300000000000001</v>
      </c>
    </row>
    <row r="2715" spans="1:8" x14ac:dyDescent="0.25">
      <c r="A2715" t="s">
        <v>2721</v>
      </c>
      <c r="B2715">
        <v>65396</v>
      </c>
      <c r="C2715">
        <v>7891150094918</v>
      </c>
      <c r="D2715">
        <v>53.9</v>
      </c>
      <c r="E2715">
        <v>36</v>
      </c>
      <c r="F2715" s="3">
        <v>0.33210000000000001</v>
      </c>
      <c r="G2715">
        <v>35.998899999999999</v>
      </c>
      <c r="H2715">
        <v>6.7000000000000004E-2</v>
      </c>
    </row>
    <row r="2716" spans="1:8" x14ac:dyDescent="0.25">
      <c r="A2716" t="s">
        <v>2722</v>
      </c>
      <c r="B2716">
        <v>66958</v>
      </c>
      <c r="C2716">
        <v>7891150096738</v>
      </c>
      <c r="D2716">
        <v>31.9</v>
      </c>
      <c r="E2716">
        <v>21.55</v>
      </c>
      <c r="F2716" s="3">
        <v>0.309</v>
      </c>
      <c r="G2716">
        <v>22.043399999999998</v>
      </c>
      <c r="H2716">
        <v>0.53300000000000003</v>
      </c>
    </row>
    <row r="2717" spans="1:8" x14ac:dyDescent="0.25">
      <c r="A2717" t="s">
        <v>2723</v>
      </c>
      <c r="B2717">
        <v>66957</v>
      </c>
      <c r="C2717">
        <v>7891150096752</v>
      </c>
      <c r="D2717">
        <v>31.9</v>
      </c>
      <c r="E2717">
        <v>21.41</v>
      </c>
      <c r="F2717" s="3">
        <v>0.32750000000000001</v>
      </c>
      <c r="G2717">
        <v>21.453900000000001</v>
      </c>
      <c r="H2717">
        <v>0.83299999999999996</v>
      </c>
    </row>
    <row r="2718" spans="1:8" x14ac:dyDescent="0.25">
      <c r="A2718" t="s">
        <v>2724</v>
      </c>
      <c r="B2718">
        <v>66956</v>
      </c>
      <c r="C2718">
        <v>7891150096745</v>
      </c>
      <c r="D2718">
        <v>31.9</v>
      </c>
      <c r="E2718">
        <v>20.76</v>
      </c>
      <c r="F2718" s="3">
        <v>0.35210000000000002</v>
      </c>
      <c r="G2718">
        <v>20.667899999999999</v>
      </c>
      <c r="H2718">
        <v>0.36699999999999999</v>
      </c>
    </row>
    <row r="2719" spans="1:8" x14ac:dyDescent="0.25">
      <c r="A2719" t="s">
        <v>2725</v>
      </c>
      <c r="B2719">
        <v>62368</v>
      </c>
      <c r="C2719">
        <v>7891150084803</v>
      </c>
      <c r="D2719">
        <v>31.9</v>
      </c>
      <c r="E2719">
        <v>21.04</v>
      </c>
      <c r="F2719" s="3">
        <v>0.33610000000000001</v>
      </c>
      <c r="G2719">
        <v>21.177499999999998</v>
      </c>
      <c r="H2719">
        <v>0.5</v>
      </c>
    </row>
    <row r="2720" spans="1:8" x14ac:dyDescent="0.25">
      <c r="A2720" t="s">
        <v>2726</v>
      </c>
      <c r="B2720">
        <v>68323</v>
      </c>
      <c r="C2720">
        <v>7891033535064</v>
      </c>
      <c r="D2720">
        <v>76.989999999999995</v>
      </c>
      <c r="E2720">
        <v>53.84</v>
      </c>
      <c r="F2720" s="3">
        <v>0.30070000000000002</v>
      </c>
      <c r="G2720">
        <v>53.84</v>
      </c>
      <c r="H2720">
        <v>0.1</v>
      </c>
    </row>
    <row r="2721" spans="1:8" x14ac:dyDescent="0.25">
      <c r="A2721" t="s">
        <v>2727</v>
      </c>
      <c r="B2721">
        <v>68345</v>
      </c>
      <c r="C2721">
        <v>7891033517497</v>
      </c>
      <c r="D2721">
        <v>76.989999999999995</v>
      </c>
      <c r="E2721">
        <v>53.84</v>
      </c>
      <c r="F2721" s="3">
        <v>0.30070000000000002</v>
      </c>
      <c r="G2721">
        <v>53.84</v>
      </c>
      <c r="H2721">
        <v>6.7000000000000004E-2</v>
      </c>
    </row>
    <row r="2722" spans="1:8" x14ac:dyDescent="0.25">
      <c r="A2722" t="s">
        <v>2728</v>
      </c>
      <c r="B2722">
        <v>68316</v>
      </c>
      <c r="C2722">
        <v>7891033473649</v>
      </c>
      <c r="D2722">
        <v>76.989999999999995</v>
      </c>
      <c r="E2722">
        <v>53.84</v>
      </c>
      <c r="F2722" s="3">
        <v>0.30070000000000002</v>
      </c>
      <c r="G2722">
        <v>53.84</v>
      </c>
      <c r="H2722">
        <v>3.3000000000000002E-2</v>
      </c>
    </row>
    <row r="2723" spans="1:8" x14ac:dyDescent="0.25">
      <c r="A2723" t="s">
        <v>2729</v>
      </c>
      <c r="B2723">
        <v>68320</v>
      </c>
      <c r="C2723">
        <v>7891033471775</v>
      </c>
      <c r="D2723">
        <v>76.989999999999995</v>
      </c>
      <c r="E2723">
        <v>53.84</v>
      </c>
      <c r="F2723" s="3">
        <v>0.30070000000000002</v>
      </c>
      <c r="G2723">
        <v>53.84</v>
      </c>
      <c r="H2723">
        <v>0.13300000000000001</v>
      </c>
    </row>
    <row r="2724" spans="1:8" x14ac:dyDescent="0.25">
      <c r="A2724" t="s">
        <v>2730</v>
      </c>
      <c r="B2724">
        <v>68317</v>
      </c>
      <c r="C2724">
        <v>7891033016440</v>
      </c>
      <c r="D2724">
        <v>76.989999999999995</v>
      </c>
      <c r="E2724">
        <v>53.84</v>
      </c>
      <c r="F2724" s="3">
        <v>0.30070000000000002</v>
      </c>
      <c r="G2724">
        <v>53.84</v>
      </c>
      <c r="H2724">
        <v>0.3</v>
      </c>
    </row>
    <row r="2725" spans="1:8" x14ac:dyDescent="0.25">
      <c r="A2725" t="s">
        <v>2731</v>
      </c>
      <c r="B2725">
        <v>68321</v>
      </c>
      <c r="C2725">
        <v>7891033302031</v>
      </c>
      <c r="D2725">
        <v>76.989999999999995</v>
      </c>
      <c r="E2725">
        <v>53.84</v>
      </c>
      <c r="F2725" s="3">
        <v>0.30070000000000002</v>
      </c>
      <c r="G2725">
        <v>53.84</v>
      </c>
      <c r="H2725">
        <v>0.2</v>
      </c>
    </row>
    <row r="2726" spans="1:8" x14ac:dyDescent="0.25">
      <c r="A2726" t="s">
        <v>2732</v>
      </c>
      <c r="B2726">
        <v>68318</v>
      </c>
      <c r="C2726">
        <v>7891033535002</v>
      </c>
      <c r="D2726">
        <v>76.989999999999995</v>
      </c>
      <c r="E2726">
        <v>53.84</v>
      </c>
      <c r="F2726" s="3">
        <v>0.30070000000000002</v>
      </c>
      <c r="G2726">
        <v>53.84</v>
      </c>
      <c r="H2726">
        <v>0.16700000000000001</v>
      </c>
    </row>
    <row r="2727" spans="1:8" x14ac:dyDescent="0.25">
      <c r="A2727" t="s">
        <v>2733</v>
      </c>
      <c r="B2727">
        <v>68315</v>
      </c>
      <c r="C2727">
        <v>7891033534371</v>
      </c>
      <c r="D2727">
        <v>76.989999999999995</v>
      </c>
      <c r="E2727">
        <v>53.84</v>
      </c>
      <c r="F2727" s="3">
        <v>0.30070000000000002</v>
      </c>
      <c r="G2727">
        <v>53.84</v>
      </c>
      <c r="H2727">
        <v>0.33300000000000002</v>
      </c>
    </row>
    <row r="2728" spans="1:8" x14ac:dyDescent="0.25">
      <c r="A2728" t="s">
        <v>2734</v>
      </c>
      <c r="B2728">
        <v>68344</v>
      </c>
      <c r="C2728">
        <v>7891033533558</v>
      </c>
      <c r="D2728">
        <v>76.989999999999995</v>
      </c>
      <c r="E2728">
        <v>53.84</v>
      </c>
      <c r="F2728" s="3">
        <v>0.30070000000000002</v>
      </c>
      <c r="G2728">
        <v>53.84</v>
      </c>
      <c r="H2728">
        <v>0.2</v>
      </c>
    </row>
    <row r="2729" spans="1:8" x14ac:dyDescent="0.25">
      <c r="A2729" t="s">
        <v>2735</v>
      </c>
      <c r="B2729">
        <v>68322</v>
      </c>
      <c r="C2729">
        <v>7891033535217</v>
      </c>
      <c r="D2729">
        <v>76.989999999999995</v>
      </c>
      <c r="E2729">
        <v>53.84</v>
      </c>
      <c r="F2729" s="3">
        <v>0.30070000000000002</v>
      </c>
      <c r="G2729">
        <v>53.84</v>
      </c>
      <c r="H2729">
        <v>6.7000000000000004E-2</v>
      </c>
    </row>
    <row r="2730" spans="1:8" x14ac:dyDescent="0.25">
      <c r="A2730" t="s">
        <v>2736</v>
      </c>
      <c r="B2730">
        <v>68454</v>
      </c>
      <c r="C2730">
        <v>7891033558049</v>
      </c>
      <c r="D2730">
        <v>76.900000000000006</v>
      </c>
      <c r="E2730">
        <v>53.84</v>
      </c>
      <c r="F2730" s="3">
        <v>0.2999</v>
      </c>
      <c r="G2730">
        <v>53.84</v>
      </c>
      <c r="H2730">
        <v>0.4</v>
      </c>
    </row>
    <row r="2731" spans="1:8" x14ac:dyDescent="0.25">
      <c r="A2731" t="s">
        <v>2737</v>
      </c>
      <c r="B2731">
        <v>59340</v>
      </c>
      <c r="C2731">
        <v>7891150080119</v>
      </c>
      <c r="D2731">
        <v>20.9</v>
      </c>
      <c r="E2731">
        <v>12.07</v>
      </c>
      <c r="F2731" s="3">
        <v>0.42259999999999998</v>
      </c>
      <c r="G2731">
        <v>12.067500000000001</v>
      </c>
      <c r="H2731">
        <v>0.16700000000000001</v>
      </c>
    </row>
    <row r="2732" spans="1:8" x14ac:dyDescent="0.25">
      <c r="A2732" t="s">
        <v>2738</v>
      </c>
      <c r="B2732">
        <v>68429</v>
      </c>
      <c r="C2732">
        <v>7891150099883</v>
      </c>
      <c r="D2732">
        <v>24.9</v>
      </c>
      <c r="E2732">
        <v>14.76</v>
      </c>
      <c r="F2732" s="3">
        <v>0.36969999999999997</v>
      </c>
      <c r="G2732">
        <v>13.391299999999999</v>
      </c>
      <c r="H2732">
        <v>0.26300000000000001</v>
      </c>
    </row>
    <row r="2733" spans="1:8" x14ac:dyDescent="0.25">
      <c r="A2733" t="s">
        <v>2739</v>
      </c>
      <c r="B2733">
        <v>62381</v>
      </c>
      <c r="C2733">
        <v>7891150088573</v>
      </c>
      <c r="D2733">
        <v>24.9</v>
      </c>
      <c r="E2733">
        <v>21.16</v>
      </c>
      <c r="F2733" s="3">
        <v>0.14800000000000002</v>
      </c>
      <c r="G2733">
        <v>21.215199999999999</v>
      </c>
      <c r="H2733">
        <v>0.1</v>
      </c>
    </row>
    <row r="2734" spans="1:8" x14ac:dyDescent="0.25">
      <c r="A2734" t="s">
        <v>2740</v>
      </c>
      <c r="B2734">
        <v>69539</v>
      </c>
      <c r="C2734">
        <v>7891150100350</v>
      </c>
      <c r="D2734">
        <v>37.9</v>
      </c>
      <c r="E2734">
        <v>24.5</v>
      </c>
      <c r="F2734" s="3">
        <v>0.35350000000000004</v>
      </c>
      <c r="G2734">
        <v>24.503299999999999</v>
      </c>
      <c r="H2734">
        <v>0</v>
      </c>
    </row>
    <row r="2735" spans="1:8" x14ac:dyDescent="0.25">
      <c r="A2735" t="s">
        <v>2741</v>
      </c>
      <c r="B2735">
        <v>33270</v>
      </c>
      <c r="C2735">
        <v>7891150080225</v>
      </c>
      <c r="D2735">
        <v>33.9</v>
      </c>
      <c r="E2735">
        <v>21.29</v>
      </c>
      <c r="F2735" s="3">
        <v>0.38329999999999997</v>
      </c>
      <c r="G2735">
        <v>20.905799999999999</v>
      </c>
      <c r="H2735">
        <v>3.3000000000000002E-2</v>
      </c>
    </row>
    <row r="2736" spans="1:8" x14ac:dyDescent="0.25">
      <c r="A2736" t="s">
        <v>2742</v>
      </c>
      <c r="B2736">
        <v>65209</v>
      </c>
      <c r="C2736">
        <v>7891150091252</v>
      </c>
      <c r="D2736">
        <v>33.9</v>
      </c>
      <c r="E2736">
        <v>20.61</v>
      </c>
      <c r="F2736" s="3">
        <v>0.39039999999999997</v>
      </c>
      <c r="G2736">
        <v>20.667100000000001</v>
      </c>
      <c r="H2736">
        <v>3.3000000000000002E-2</v>
      </c>
    </row>
    <row r="2737" spans="1:8" x14ac:dyDescent="0.25">
      <c r="A2737" t="s">
        <v>2743</v>
      </c>
      <c r="B2737">
        <v>65208</v>
      </c>
      <c r="C2737">
        <v>7891150091245</v>
      </c>
      <c r="D2737">
        <v>33.9</v>
      </c>
      <c r="E2737">
        <v>21.83</v>
      </c>
      <c r="F2737" s="3">
        <v>0.34799999999999998</v>
      </c>
      <c r="G2737">
        <v>22.101900000000001</v>
      </c>
      <c r="H2737">
        <v>0.23300000000000001</v>
      </c>
    </row>
    <row r="2738" spans="1:8" x14ac:dyDescent="0.25">
      <c r="A2738" t="s">
        <v>2744</v>
      </c>
      <c r="B2738">
        <v>39951</v>
      </c>
      <c r="C2738">
        <v>7891150023321</v>
      </c>
      <c r="D2738">
        <v>33.9</v>
      </c>
      <c r="E2738">
        <v>22.43</v>
      </c>
      <c r="F2738" s="3">
        <v>0.33340000000000003</v>
      </c>
      <c r="G2738">
        <v>22.597100000000001</v>
      </c>
      <c r="H2738">
        <v>0.36699999999999999</v>
      </c>
    </row>
    <row r="2739" spans="1:8" x14ac:dyDescent="0.25">
      <c r="A2739" t="s">
        <v>2745</v>
      </c>
      <c r="B2739">
        <v>32038</v>
      </c>
      <c r="C2739">
        <v>7891150029583</v>
      </c>
      <c r="D2739">
        <v>33.9</v>
      </c>
      <c r="E2739">
        <v>20.420000000000002</v>
      </c>
      <c r="F2739" s="3">
        <v>0.3821</v>
      </c>
      <c r="G2739">
        <v>20.947600000000001</v>
      </c>
      <c r="H2739">
        <v>0.1</v>
      </c>
    </row>
    <row r="2740" spans="1:8" x14ac:dyDescent="0.25">
      <c r="A2740" t="s">
        <v>2746</v>
      </c>
      <c r="B2740">
        <v>68348</v>
      </c>
      <c r="C2740">
        <v>7899852025100</v>
      </c>
      <c r="D2740">
        <v>25.99</v>
      </c>
      <c r="E2740">
        <v>18.18</v>
      </c>
      <c r="F2740" s="3">
        <v>0.30049999999999999</v>
      </c>
      <c r="G2740">
        <v>18.18</v>
      </c>
      <c r="H2740">
        <v>0.33300000000000002</v>
      </c>
    </row>
    <row r="2741" spans="1:8" x14ac:dyDescent="0.25">
      <c r="A2741" t="s">
        <v>2747</v>
      </c>
      <c r="B2741">
        <v>68346</v>
      </c>
      <c r="C2741">
        <v>7899852025438</v>
      </c>
      <c r="D2741">
        <v>25.99</v>
      </c>
      <c r="E2741">
        <v>18.059999999999999</v>
      </c>
      <c r="F2741" s="3">
        <v>0.31359999999999999</v>
      </c>
      <c r="G2741">
        <v>17.838899999999999</v>
      </c>
      <c r="H2741">
        <v>0.73299999999999998</v>
      </c>
    </row>
    <row r="2742" spans="1:8" x14ac:dyDescent="0.25">
      <c r="A2742" t="s">
        <v>2748</v>
      </c>
      <c r="B2742">
        <v>26269</v>
      </c>
      <c r="C2742">
        <v>7898629610624</v>
      </c>
      <c r="D2742">
        <v>5.99</v>
      </c>
      <c r="E2742">
        <v>2.56</v>
      </c>
      <c r="F2742" s="3">
        <v>0.41689999999999999</v>
      </c>
      <c r="G2742">
        <v>1.8603000000000001</v>
      </c>
      <c r="H2742">
        <v>9.8330000000000002</v>
      </c>
    </row>
    <row r="2743" spans="1:8" x14ac:dyDescent="0.25">
      <c r="A2743" t="s">
        <v>2749</v>
      </c>
      <c r="B2743">
        <v>4884</v>
      </c>
      <c r="C2743">
        <v>7891095154289</v>
      </c>
      <c r="D2743">
        <v>6.99</v>
      </c>
      <c r="E2743">
        <v>3.22</v>
      </c>
      <c r="F2743" s="3">
        <v>0.39520000000000005</v>
      </c>
      <c r="G2743">
        <v>2.3227000000000002</v>
      </c>
      <c r="H2743">
        <v>7.9329999999999998</v>
      </c>
    </row>
    <row r="2744" spans="1:8" x14ac:dyDescent="0.25">
      <c r="A2744" t="s">
        <v>2750</v>
      </c>
      <c r="B2744">
        <v>66539</v>
      </c>
      <c r="C2744">
        <v>7898692300453</v>
      </c>
      <c r="D2744">
        <v>9.9</v>
      </c>
      <c r="E2744">
        <v>5</v>
      </c>
      <c r="F2744" s="3">
        <v>0.3594</v>
      </c>
      <c r="G2744">
        <v>3.6440000000000001</v>
      </c>
      <c r="H2744">
        <v>8.1999999999999993</v>
      </c>
    </row>
    <row r="2745" spans="1:8" x14ac:dyDescent="0.25">
      <c r="A2745" t="s">
        <v>2751</v>
      </c>
      <c r="B2745">
        <v>61135</v>
      </c>
      <c r="C2745">
        <v>7898070111169</v>
      </c>
      <c r="D2745">
        <v>28.9</v>
      </c>
      <c r="E2745">
        <v>20.100000000000001</v>
      </c>
      <c r="F2745" s="3">
        <v>0.25459999999999999</v>
      </c>
      <c r="G2745">
        <v>16.846</v>
      </c>
      <c r="H2745">
        <v>0.26700000000000002</v>
      </c>
    </row>
    <row r="2746" spans="1:8" x14ac:dyDescent="0.25">
      <c r="A2746" t="s">
        <v>2752</v>
      </c>
      <c r="B2746">
        <v>61136</v>
      </c>
      <c r="C2746">
        <v>7898070111145</v>
      </c>
      <c r="D2746">
        <v>34.9</v>
      </c>
      <c r="E2746">
        <v>20.399999999999999</v>
      </c>
      <c r="F2746" s="3">
        <v>0.34799999999999998</v>
      </c>
      <c r="G2746">
        <v>17.084199999999999</v>
      </c>
      <c r="H2746">
        <v>0.6</v>
      </c>
    </row>
    <row r="2747" spans="1:8" x14ac:dyDescent="0.25">
      <c r="A2747" t="s">
        <v>2753</v>
      </c>
      <c r="B2747">
        <v>58243</v>
      </c>
      <c r="C2747">
        <v>7891000304020</v>
      </c>
      <c r="D2747">
        <v>7.99</v>
      </c>
      <c r="E2747">
        <v>4.93</v>
      </c>
      <c r="F2747" s="3">
        <v>0.27699999999999997</v>
      </c>
      <c r="G2747">
        <v>3.5998000000000001</v>
      </c>
      <c r="H2747">
        <v>7.9329999999999998</v>
      </c>
    </row>
    <row r="2748" spans="1:8" x14ac:dyDescent="0.25">
      <c r="A2748" t="s">
        <v>2754</v>
      </c>
      <c r="B2748">
        <v>67801</v>
      </c>
      <c r="C2748">
        <v>7891000303559</v>
      </c>
      <c r="D2748">
        <v>7.99</v>
      </c>
      <c r="E2748">
        <v>4.83</v>
      </c>
      <c r="F2748" s="3">
        <v>0.2848</v>
      </c>
      <c r="G2748">
        <v>3.5373000000000001</v>
      </c>
      <c r="H2748">
        <v>1.7</v>
      </c>
    </row>
    <row r="2749" spans="1:8" x14ac:dyDescent="0.25">
      <c r="A2749" t="s">
        <v>2755</v>
      </c>
      <c r="B2749">
        <v>3519</v>
      </c>
      <c r="C2749">
        <v>7891000538517</v>
      </c>
      <c r="D2749">
        <v>7.99</v>
      </c>
      <c r="E2749">
        <v>4.93</v>
      </c>
      <c r="F2749" s="3">
        <v>0.27829999999999999</v>
      </c>
      <c r="G2749">
        <v>3.589</v>
      </c>
      <c r="H2749">
        <v>11.933</v>
      </c>
    </row>
    <row r="2750" spans="1:8" x14ac:dyDescent="0.25">
      <c r="A2750" t="s">
        <v>2756</v>
      </c>
      <c r="B2750">
        <v>67802</v>
      </c>
      <c r="C2750">
        <v>7891000279380</v>
      </c>
      <c r="D2750">
        <v>7.99</v>
      </c>
      <c r="E2750">
        <v>4.99</v>
      </c>
      <c r="F2750" s="3">
        <v>0.27210000000000001</v>
      </c>
      <c r="G2750">
        <v>3.6389999999999998</v>
      </c>
      <c r="H2750">
        <v>5.2670000000000003</v>
      </c>
    </row>
    <row r="2751" spans="1:8" x14ac:dyDescent="0.25">
      <c r="A2751" t="s">
        <v>2757</v>
      </c>
      <c r="B2751">
        <v>43429</v>
      </c>
      <c r="C2751">
        <v>7898409951787</v>
      </c>
      <c r="D2751">
        <v>28.9</v>
      </c>
      <c r="E2751">
        <v>18.38</v>
      </c>
      <c r="F2751" s="3">
        <v>0.26910000000000001</v>
      </c>
      <c r="G2751">
        <v>13.248799999999999</v>
      </c>
      <c r="H2751">
        <v>0.76700000000000002</v>
      </c>
    </row>
    <row r="2752" spans="1:8" x14ac:dyDescent="0.25">
      <c r="A2752" t="s">
        <v>2758</v>
      </c>
      <c r="B2752">
        <v>43425</v>
      </c>
      <c r="C2752">
        <v>7898409951084</v>
      </c>
      <c r="D2752">
        <v>7.9</v>
      </c>
      <c r="E2752">
        <v>4.9400000000000004</v>
      </c>
      <c r="F2752" s="3">
        <v>0.27879999999999999</v>
      </c>
      <c r="G2752">
        <v>3.5451000000000001</v>
      </c>
      <c r="H2752">
        <v>5.2329999999999997</v>
      </c>
    </row>
    <row r="2753" spans="1:8" x14ac:dyDescent="0.25">
      <c r="A2753" t="s">
        <v>2759</v>
      </c>
      <c r="B2753">
        <v>45728</v>
      </c>
      <c r="C2753">
        <v>7898331014420</v>
      </c>
      <c r="D2753">
        <v>34.9</v>
      </c>
      <c r="E2753">
        <v>17.25</v>
      </c>
      <c r="F2753" s="3">
        <v>0.3679</v>
      </c>
      <c r="G2753">
        <v>12.5501</v>
      </c>
      <c r="H2753">
        <v>2.5</v>
      </c>
    </row>
    <row r="2754" spans="1:8" x14ac:dyDescent="0.25">
      <c r="A2754" t="s">
        <v>2760</v>
      </c>
      <c r="B2754">
        <v>59069</v>
      </c>
      <c r="C2754">
        <v>7898215157700</v>
      </c>
      <c r="D2754">
        <v>8.2899999999999991</v>
      </c>
      <c r="E2754">
        <v>5.59</v>
      </c>
      <c r="F2754" s="3">
        <v>0.29350000000000004</v>
      </c>
      <c r="G2754">
        <v>5.0903999999999998</v>
      </c>
      <c r="H2754">
        <v>11.167</v>
      </c>
    </row>
    <row r="2755" spans="1:8" x14ac:dyDescent="0.25">
      <c r="A2755" t="s">
        <v>2761</v>
      </c>
      <c r="B2755">
        <v>67984</v>
      </c>
      <c r="C2755">
        <v>3608580065340</v>
      </c>
      <c r="D2755">
        <v>29.9</v>
      </c>
      <c r="E2755">
        <v>30.24</v>
      </c>
      <c r="F2755" s="3">
        <v>-1.6E-2</v>
      </c>
      <c r="G2755">
        <v>27.614000000000001</v>
      </c>
      <c r="H2755">
        <v>0.76700000000000002</v>
      </c>
    </row>
    <row r="2756" spans="1:8" x14ac:dyDescent="0.25">
      <c r="A2756" t="s">
        <v>2762</v>
      </c>
      <c r="B2756">
        <v>68003</v>
      </c>
      <c r="C2756">
        <v>742832992091</v>
      </c>
      <c r="D2756">
        <v>59.9</v>
      </c>
      <c r="E2756">
        <v>43.48</v>
      </c>
      <c r="F2756" s="3">
        <v>0.24879999999999999</v>
      </c>
      <c r="G2756">
        <v>39.453800000000001</v>
      </c>
      <c r="H2756">
        <v>6.7000000000000004E-2</v>
      </c>
    </row>
    <row r="2757" spans="1:8" x14ac:dyDescent="0.25">
      <c r="A2757" t="s">
        <v>2763</v>
      </c>
      <c r="B2757">
        <v>23302</v>
      </c>
      <c r="C2757">
        <v>7896001210073</v>
      </c>
      <c r="D2757">
        <v>0</v>
      </c>
      <c r="E2757">
        <v>18.18</v>
      </c>
      <c r="F2757" s="3">
        <v>0</v>
      </c>
      <c r="G2757">
        <v>16.464600000000001</v>
      </c>
      <c r="H2757">
        <v>0.433</v>
      </c>
    </row>
    <row r="2758" spans="1:8" x14ac:dyDescent="0.25">
      <c r="A2758" t="s">
        <v>2764</v>
      </c>
      <c r="B2758">
        <v>9318</v>
      </c>
      <c r="C2758">
        <v>7898024395232</v>
      </c>
      <c r="D2758">
        <v>13.9</v>
      </c>
      <c r="E2758">
        <v>10.8</v>
      </c>
      <c r="F2758" s="3">
        <v>0.20300000000000001</v>
      </c>
      <c r="G2758">
        <v>9.7926000000000002</v>
      </c>
      <c r="H2758">
        <v>28.466999999999999</v>
      </c>
    </row>
    <row r="2759" spans="1:8" x14ac:dyDescent="0.25">
      <c r="A2759" t="s">
        <v>2765</v>
      </c>
      <c r="B2759">
        <v>11097</v>
      </c>
      <c r="C2759">
        <v>7898024398622</v>
      </c>
      <c r="D2759">
        <v>29.9</v>
      </c>
      <c r="E2759">
        <v>22.2</v>
      </c>
      <c r="F2759" s="3">
        <v>0.22940000000000002</v>
      </c>
      <c r="G2759">
        <v>20.273800000000001</v>
      </c>
      <c r="H2759">
        <v>43.8</v>
      </c>
    </row>
    <row r="2760" spans="1:8" x14ac:dyDescent="0.25">
      <c r="A2760" t="s">
        <v>2766</v>
      </c>
      <c r="B2760">
        <v>46550</v>
      </c>
      <c r="C2760">
        <v>7898024396529</v>
      </c>
      <c r="D2760">
        <v>44.9</v>
      </c>
      <c r="E2760">
        <v>40.65</v>
      </c>
      <c r="F2760" s="3">
        <v>8.6400000000000005E-2</v>
      </c>
      <c r="G2760">
        <v>36.868499999999997</v>
      </c>
      <c r="H2760">
        <v>37.067</v>
      </c>
    </row>
    <row r="2761" spans="1:8" x14ac:dyDescent="0.25">
      <c r="A2761" t="s">
        <v>2767</v>
      </c>
      <c r="B2761">
        <v>64627</v>
      </c>
      <c r="C2761">
        <v>7896063285255</v>
      </c>
      <c r="D2761">
        <v>49.9</v>
      </c>
      <c r="E2761">
        <v>30.81</v>
      </c>
      <c r="F2761" s="3">
        <v>0.34710000000000002</v>
      </c>
      <c r="G2761">
        <v>27.963799999999999</v>
      </c>
      <c r="H2761">
        <v>0.23300000000000001</v>
      </c>
    </row>
    <row r="2762" spans="1:8" x14ac:dyDescent="0.25">
      <c r="A2762" t="s">
        <v>2768</v>
      </c>
      <c r="B2762">
        <v>58205</v>
      </c>
      <c r="C2762">
        <v>7891000327371</v>
      </c>
      <c r="D2762">
        <v>5.49</v>
      </c>
      <c r="E2762">
        <v>3.99</v>
      </c>
      <c r="F2762" s="3">
        <v>0.24010000000000001</v>
      </c>
      <c r="G2762">
        <v>3.6638000000000002</v>
      </c>
      <c r="H2762">
        <v>18</v>
      </c>
    </row>
    <row r="2763" spans="1:8" x14ac:dyDescent="0.25">
      <c r="A2763" t="s">
        <v>2769</v>
      </c>
      <c r="B2763">
        <v>63112</v>
      </c>
      <c r="C2763">
        <v>7891000253182</v>
      </c>
      <c r="D2763">
        <v>5.49</v>
      </c>
      <c r="E2763">
        <v>4.25</v>
      </c>
      <c r="F2763" s="3">
        <v>0.2079</v>
      </c>
      <c r="G2763">
        <v>3.8411</v>
      </c>
      <c r="H2763">
        <v>14.5</v>
      </c>
    </row>
    <row r="2764" spans="1:8" x14ac:dyDescent="0.25">
      <c r="A2764" t="s">
        <v>2770</v>
      </c>
      <c r="B2764">
        <v>58206</v>
      </c>
      <c r="C2764">
        <v>7891000316849</v>
      </c>
      <c r="D2764">
        <v>13.8</v>
      </c>
      <c r="E2764">
        <v>10.43</v>
      </c>
      <c r="F2764" s="3">
        <v>0.22320000000000001</v>
      </c>
      <c r="G2764">
        <v>9.4434000000000005</v>
      </c>
      <c r="H2764">
        <v>8.8670000000000009</v>
      </c>
    </row>
    <row r="2765" spans="1:8" x14ac:dyDescent="0.25">
      <c r="A2765" t="s">
        <v>2771</v>
      </c>
      <c r="B2765">
        <v>6797</v>
      </c>
      <c r="C2765">
        <v>7891000120101</v>
      </c>
      <c r="D2765">
        <v>8.9</v>
      </c>
      <c r="E2765">
        <v>6.55</v>
      </c>
      <c r="F2765" s="3">
        <v>0.23579999999999998</v>
      </c>
      <c r="G2765">
        <v>5.9781000000000004</v>
      </c>
      <c r="H2765">
        <v>58.2</v>
      </c>
    </row>
    <row r="2766" spans="1:8" x14ac:dyDescent="0.25">
      <c r="A2766" t="s">
        <v>2772</v>
      </c>
      <c r="B2766">
        <v>6791</v>
      </c>
      <c r="C2766">
        <v>7891000126905</v>
      </c>
      <c r="D2766">
        <v>4.9400000000000004</v>
      </c>
      <c r="E2766">
        <v>3.68</v>
      </c>
      <c r="F2766" s="3">
        <v>0.22949999999999998</v>
      </c>
      <c r="G2766">
        <v>3.3488000000000002</v>
      </c>
      <c r="H2766">
        <v>216.1</v>
      </c>
    </row>
    <row r="2767" spans="1:8" x14ac:dyDescent="0.25">
      <c r="A2767" t="s">
        <v>2773</v>
      </c>
      <c r="B2767">
        <v>6814</v>
      </c>
      <c r="C2767">
        <v>7896294901825</v>
      </c>
      <c r="D2767">
        <v>3.02</v>
      </c>
      <c r="E2767">
        <v>2.88</v>
      </c>
      <c r="F2767" s="3">
        <v>4.41E-2</v>
      </c>
      <c r="G2767">
        <v>2.6107999999999998</v>
      </c>
      <c r="H2767">
        <v>126.967</v>
      </c>
    </row>
    <row r="2768" spans="1:8" x14ac:dyDescent="0.25">
      <c r="A2768" t="s">
        <v>2774</v>
      </c>
      <c r="B2768">
        <v>56126</v>
      </c>
      <c r="C2768">
        <v>7898215151784</v>
      </c>
      <c r="D2768">
        <v>3.99</v>
      </c>
      <c r="E2768">
        <v>2.9</v>
      </c>
      <c r="F2768" s="3">
        <v>0.24399999999999999</v>
      </c>
      <c r="G2768">
        <v>2.6474000000000002</v>
      </c>
      <c r="H2768">
        <v>466.36700000000002</v>
      </c>
    </row>
    <row r="2769" spans="1:8" x14ac:dyDescent="0.25">
      <c r="A2769" t="s">
        <v>2775</v>
      </c>
      <c r="B2769">
        <v>33041</v>
      </c>
      <c r="C2769">
        <v>7898215151982</v>
      </c>
      <c r="D2769">
        <v>4.99</v>
      </c>
      <c r="E2769">
        <v>3.39</v>
      </c>
      <c r="F2769" s="3">
        <v>0.29039999999999999</v>
      </c>
      <c r="G2769">
        <v>3.0792000000000002</v>
      </c>
      <c r="H2769">
        <v>51.232999999999997</v>
      </c>
    </row>
    <row r="2770" spans="1:8" x14ac:dyDescent="0.25">
      <c r="A2770" t="s">
        <v>2776</v>
      </c>
      <c r="B2770">
        <v>68004</v>
      </c>
      <c r="C2770">
        <v>798190256719</v>
      </c>
      <c r="D2770">
        <v>99.9</v>
      </c>
      <c r="E2770">
        <v>83.63</v>
      </c>
      <c r="F2770" s="3">
        <v>0.14779999999999999</v>
      </c>
      <c r="G2770">
        <v>75.891300000000001</v>
      </c>
      <c r="H2770">
        <v>0</v>
      </c>
    </row>
    <row r="2771" spans="1:8" x14ac:dyDescent="0.25">
      <c r="A2771" t="s">
        <v>2777</v>
      </c>
      <c r="B2771">
        <v>68868</v>
      </c>
      <c r="C2771">
        <v>7896196070858</v>
      </c>
      <c r="D2771">
        <v>52.9</v>
      </c>
      <c r="E2771">
        <v>34.33</v>
      </c>
      <c r="F2771" s="3">
        <v>0.31850000000000001</v>
      </c>
      <c r="G2771">
        <v>31.158300000000001</v>
      </c>
      <c r="H2771">
        <v>0.13300000000000001</v>
      </c>
    </row>
    <row r="2772" spans="1:8" x14ac:dyDescent="0.25">
      <c r="A2772" t="s">
        <v>2778</v>
      </c>
      <c r="B2772">
        <v>6822</v>
      </c>
      <c r="C2772">
        <v>7891150068278</v>
      </c>
      <c r="D2772">
        <v>7.99</v>
      </c>
      <c r="E2772">
        <v>5.59</v>
      </c>
      <c r="F2772" s="3">
        <v>0.27239999999999998</v>
      </c>
      <c r="G2772">
        <v>5.0747</v>
      </c>
      <c r="H2772">
        <v>0.433</v>
      </c>
    </row>
    <row r="2773" spans="1:8" x14ac:dyDescent="0.25">
      <c r="A2773" t="s">
        <v>2779</v>
      </c>
      <c r="B2773">
        <v>6825</v>
      </c>
      <c r="C2773">
        <v>7891150068308</v>
      </c>
      <c r="D2773">
        <v>7.99</v>
      </c>
      <c r="E2773">
        <v>5.61</v>
      </c>
      <c r="F2773" s="3">
        <v>0.27</v>
      </c>
      <c r="G2773">
        <v>5.0934999999999997</v>
      </c>
      <c r="H2773">
        <v>0.96699999999999997</v>
      </c>
    </row>
    <row r="2774" spans="1:8" x14ac:dyDescent="0.25">
      <c r="A2774" t="s">
        <v>2780</v>
      </c>
      <c r="B2774">
        <v>6827</v>
      </c>
      <c r="C2774">
        <v>7891150068261</v>
      </c>
      <c r="D2774">
        <v>7.99</v>
      </c>
      <c r="E2774">
        <v>5.59</v>
      </c>
      <c r="F2774" s="3">
        <v>0.27210000000000001</v>
      </c>
      <c r="G2774">
        <v>5.0769000000000002</v>
      </c>
      <c r="H2774">
        <v>1.5669999999999999</v>
      </c>
    </row>
    <row r="2775" spans="1:8" x14ac:dyDescent="0.25">
      <c r="A2775" t="s">
        <v>2781</v>
      </c>
      <c r="B2775">
        <v>3624</v>
      </c>
      <c r="C2775">
        <v>7891079013090</v>
      </c>
      <c r="D2775">
        <v>4.99</v>
      </c>
      <c r="E2775">
        <v>3.85</v>
      </c>
      <c r="F2775" s="3">
        <v>0.22839999999999999</v>
      </c>
      <c r="G2775">
        <v>3.8504</v>
      </c>
      <c r="H2775">
        <v>3.3</v>
      </c>
    </row>
    <row r="2776" spans="1:8" x14ac:dyDescent="0.25">
      <c r="A2776" t="s">
        <v>2782</v>
      </c>
      <c r="B2776">
        <v>3263</v>
      </c>
      <c r="C2776">
        <v>7891079013052</v>
      </c>
      <c r="D2776">
        <v>4.99</v>
      </c>
      <c r="E2776">
        <v>3.82</v>
      </c>
      <c r="F2776" s="3">
        <v>0.23780000000000001</v>
      </c>
      <c r="G2776">
        <v>3.8035999999999999</v>
      </c>
      <c r="H2776">
        <v>19.766999999999999</v>
      </c>
    </row>
    <row r="2777" spans="1:8" x14ac:dyDescent="0.25">
      <c r="A2777" t="s">
        <v>2783</v>
      </c>
      <c r="B2777">
        <v>3623</v>
      </c>
      <c r="C2777">
        <v>7891079013038</v>
      </c>
      <c r="D2777">
        <v>4.99</v>
      </c>
      <c r="E2777">
        <v>3.81</v>
      </c>
      <c r="F2777" s="3">
        <v>0.23469999999999999</v>
      </c>
      <c r="G2777">
        <v>3.8191000000000002</v>
      </c>
      <c r="H2777">
        <v>25.933</v>
      </c>
    </row>
    <row r="2778" spans="1:8" x14ac:dyDescent="0.25">
      <c r="A2778" t="s">
        <v>2784</v>
      </c>
      <c r="B2778">
        <v>55985</v>
      </c>
      <c r="C2778">
        <v>7891079013069</v>
      </c>
      <c r="D2778">
        <v>4.99</v>
      </c>
      <c r="E2778">
        <v>3.79</v>
      </c>
      <c r="F2778" s="3">
        <v>0.23989999999999997</v>
      </c>
      <c r="G2778">
        <v>3.7927</v>
      </c>
      <c r="H2778">
        <v>9.4</v>
      </c>
    </row>
    <row r="2779" spans="1:8" x14ac:dyDescent="0.25">
      <c r="A2779" t="s">
        <v>2785</v>
      </c>
      <c r="B2779">
        <v>66256</v>
      </c>
      <c r="C2779">
        <v>7891010504779</v>
      </c>
      <c r="D2779">
        <v>7.9</v>
      </c>
      <c r="E2779">
        <v>4.9000000000000004</v>
      </c>
      <c r="F2779" s="3">
        <v>0.34439999999999998</v>
      </c>
      <c r="G2779">
        <v>4.4484000000000004</v>
      </c>
      <c r="H2779">
        <v>2.1</v>
      </c>
    </row>
    <row r="2780" spans="1:8" x14ac:dyDescent="0.25">
      <c r="A2780" t="s">
        <v>2786</v>
      </c>
      <c r="B2780">
        <v>66255</v>
      </c>
      <c r="C2780">
        <v>7891010504755</v>
      </c>
      <c r="D2780">
        <v>16.899999999999999</v>
      </c>
      <c r="E2780">
        <v>10.26</v>
      </c>
      <c r="F2780" s="3">
        <v>0.35649999999999998</v>
      </c>
      <c r="G2780">
        <v>9.3119999999999994</v>
      </c>
      <c r="H2780">
        <v>1.167</v>
      </c>
    </row>
    <row r="2781" spans="1:8" x14ac:dyDescent="0.25">
      <c r="A2781" t="s">
        <v>2787</v>
      </c>
      <c r="B2781">
        <v>66259</v>
      </c>
      <c r="C2781">
        <v>7891010695415</v>
      </c>
      <c r="D2781">
        <v>9.9</v>
      </c>
      <c r="E2781">
        <v>6.11</v>
      </c>
      <c r="F2781" s="3">
        <v>0.34539999999999998</v>
      </c>
      <c r="G2781">
        <v>5.5651000000000002</v>
      </c>
      <c r="H2781">
        <v>0.53300000000000003</v>
      </c>
    </row>
    <row r="2782" spans="1:8" x14ac:dyDescent="0.25">
      <c r="A2782" t="s">
        <v>2788</v>
      </c>
      <c r="B2782">
        <v>3629</v>
      </c>
      <c r="C2782">
        <v>7891095290321</v>
      </c>
      <c r="D2782">
        <v>12.9</v>
      </c>
      <c r="E2782">
        <v>7.57</v>
      </c>
      <c r="F2782" s="3">
        <v>0.29949999999999999</v>
      </c>
      <c r="G2782">
        <v>5.5213999999999999</v>
      </c>
      <c r="H2782">
        <v>0.96699999999999997</v>
      </c>
    </row>
    <row r="2783" spans="1:8" x14ac:dyDescent="0.25">
      <c r="A2783" t="s">
        <v>2789</v>
      </c>
      <c r="B2783">
        <v>63759</v>
      </c>
      <c r="C2783">
        <v>7898635644118</v>
      </c>
      <c r="D2783">
        <v>13.9</v>
      </c>
      <c r="E2783">
        <v>8.41</v>
      </c>
      <c r="F2783" s="3">
        <v>0.28749999999999998</v>
      </c>
      <c r="G2783">
        <v>6.1154999999999999</v>
      </c>
      <c r="H2783">
        <v>2.2000000000000002</v>
      </c>
    </row>
    <row r="2784" spans="1:8" x14ac:dyDescent="0.25">
      <c r="A2784" t="s">
        <v>2790</v>
      </c>
      <c r="B2784">
        <v>66642</v>
      </c>
      <c r="C2784">
        <v>7898453462208</v>
      </c>
      <c r="D2784">
        <v>17.899999999999999</v>
      </c>
      <c r="E2784">
        <v>11.74</v>
      </c>
      <c r="F2784" s="3">
        <v>0.31230000000000002</v>
      </c>
      <c r="G2784">
        <v>10.6539</v>
      </c>
      <c r="H2784">
        <v>0.4</v>
      </c>
    </row>
    <row r="2785" spans="1:8" x14ac:dyDescent="0.25">
      <c r="A2785" t="s">
        <v>2791</v>
      </c>
      <c r="B2785">
        <v>66638</v>
      </c>
      <c r="C2785">
        <v>7898453460426</v>
      </c>
      <c r="D2785">
        <v>22.9</v>
      </c>
      <c r="E2785">
        <v>15.94</v>
      </c>
      <c r="F2785" s="3">
        <v>0.27600000000000002</v>
      </c>
      <c r="G2785">
        <v>14.4612</v>
      </c>
      <c r="H2785">
        <v>0.4</v>
      </c>
    </row>
    <row r="2786" spans="1:8" x14ac:dyDescent="0.25">
      <c r="A2786" t="s">
        <v>2792</v>
      </c>
      <c r="B2786">
        <v>26319</v>
      </c>
      <c r="C2786">
        <v>7898629610518</v>
      </c>
      <c r="D2786">
        <v>6.49</v>
      </c>
      <c r="E2786">
        <v>2</v>
      </c>
      <c r="F2786" s="3">
        <v>0.62790000000000001</v>
      </c>
      <c r="G2786">
        <v>1.8149</v>
      </c>
      <c r="H2786">
        <v>7.367</v>
      </c>
    </row>
    <row r="2787" spans="1:8" x14ac:dyDescent="0.25">
      <c r="A2787" t="s">
        <v>2793</v>
      </c>
      <c r="B2787">
        <v>4886</v>
      </c>
      <c r="C2787">
        <v>7891095604777</v>
      </c>
      <c r="D2787">
        <v>4.3899999999999997</v>
      </c>
      <c r="E2787">
        <v>2.71</v>
      </c>
      <c r="F2787" s="3">
        <v>0.27889999999999998</v>
      </c>
      <c r="G2787">
        <v>1.9696</v>
      </c>
      <c r="H2787">
        <v>0.3</v>
      </c>
    </row>
    <row r="2788" spans="1:8" x14ac:dyDescent="0.25">
      <c r="A2788" t="s">
        <v>2794</v>
      </c>
      <c r="B2788">
        <v>58306</v>
      </c>
      <c r="C2788">
        <v>7891112225497</v>
      </c>
      <c r="D2788">
        <v>37.9</v>
      </c>
      <c r="E2788">
        <v>20.63</v>
      </c>
      <c r="F2788" s="3">
        <v>0.32780000000000004</v>
      </c>
      <c r="G2788">
        <v>15.148300000000001</v>
      </c>
      <c r="H2788">
        <v>0.16700000000000001</v>
      </c>
    </row>
    <row r="2789" spans="1:8" x14ac:dyDescent="0.25">
      <c r="A2789" t="s">
        <v>2795</v>
      </c>
      <c r="B2789">
        <v>58309</v>
      </c>
      <c r="C2789">
        <v>7891112106345</v>
      </c>
      <c r="D2789">
        <v>20.9</v>
      </c>
      <c r="E2789">
        <v>11.41</v>
      </c>
      <c r="F2789" s="3">
        <v>0.3281</v>
      </c>
      <c r="G2789">
        <v>8.3482000000000003</v>
      </c>
      <c r="H2789">
        <v>0.13300000000000001</v>
      </c>
    </row>
    <row r="2790" spans="1:8" x14ac:dyDescent="0.25">
      <c r="A2790" t="s">
        <v>2796</v>
      </c>
      <c r="B2790">
        <v>66128</v>
      </c>
      <c r="C2790">
        <v>7896001004993</v>
      </c>
      <c r="D2790">
        <v>19.899999999999999</v>
      </c>
      <c r="E2790">
        <v>12.11</v>
      </c>
      <c r="F2790" s="3">
        <v>0.27610000000000001</v>
      </c>
      <c r="G2790">
        <v>8.9827999999999992</v>
      </c>
      <c r="H2790">
        <v>1.0329999999999999</v>
      </c>
    </row>
    <row r="2791" spans="1:8" x14ac:dyDescent="0.25">
      <c r="A2791" t="s">
        <v>2797</v>
      </c>
      <c r="B2791">
        <v>63590</v>
      </c>
      <c r="C2791">
        <v>7509546667898</v>
      </c>
      <c r="D2791">
        <v>12.9</v>
      </c>
      <c r="E2791">
        <v>8.56</v>
      </c>
      <c r="F2791" s="3">
        <v>0.23769999999999999</v>
      </c>
      <c r="G2791">
        <v>6.3188000000000004</v>
      </c>
      <c r="H2791">
        <v>0.16700000000000001</v>
      </c>
    </row>
    <row r="2792" spans="1:8" x14ac:dyDescent="0.25">
      <c r="A2792" t="s">
        <v>2798</v>
      </c>
      <c r="B2792">
        <v>66541</v>
      </c>
      <c r="C2792">
        <v>7509546690186</v>
      </c>
      <c r="D2792">
        <v>10.3</v>
      </c>
      <c r="E2792">
        <v>6.41</v>
      </c>
      <c r="F2792" s="3">
        <v>0.27479999999999999</v>
      </c>
      <c r="G2792">
        <v>4.6623000000000001</v>
      </c>
      <c r="H2792">
        <v>0.23300000000000001</v>
      </c>
    </row>
    <row r="2793" spans="1:8" x14ac:dyDescent="0.25">
      <c r="A2793" t="s">
        <v>2799</v>
      </c>
      <c r="B2793">
        <v>5215</v>
      </c>
      <c r="C2793">
        <v>7896097607214</v>
      </c>
      <c r="D2793">
        <v>6.95</v>
      </c>
      <c r="E2793">
        <v>4.13</v>
      </c>
      <c r="F2793" s="3">
        <v>0.29469999999999996</v>
      </c>
      <c r="G2793">
        <v>3.0081000000000002</v>
      </c>
      <c r="H2793">
        <v>3.6669999999999998</v>
      </c>
    </row>
    <row r="2794" spans="1:8" x14ac:dyDescent="0.25">
      <c r="A2794" t="s">
        <v>2800</v>
      </c>
      <c r="B2794">
        <v>5216</v>
      </c>
      <c r="C2794">
        <v>7896097607320</v>
      </c>
      <c r="D2794">
        <v>6.95</v>
      </c>
      <c r="E2794">
        <v>4.1399999999999997</v>
      </c>
      <c r="F2794" s="3">
        <v>0.29469999999999996</v>
      </c>
      <c r="G2794">
        <v>3.0083000000000002</v>
      </c>
      <c r="H2794">
        <v>1.167</v>
      </c>
    </row>
    <row r="2795" spans="1:8" x14ac:dyDescent="0.25">
      <c r="A2795" t="s">
        <v>2801</v>
      </c>
      <c r="B2795">
        <v>5217</v>
      </c>
      <c r="C2795">
        <v>7896097607344</v>
      </c>
      <c r="D2795">
        <v>6.95</v>
      </c>
      <c r="E2795">
        <v>4.13</v>
      </c>
      <c r="F2795" s="3">
        <v>0.29469999999999996</v>
      </c>
      <c r="G2795">
        <v>3.0082</v>
      </c>
      <c r="H2795">
        <v>2.2669999999999999</v>
      </c>
    </row>
    <row r="2796" spans="1:8" x14ac:dyDescent="0.25">
      <c r="A2796" t="s">
        <v>2802</v>
      </c>
      <c r="B2796">
        <v>5218</v>
      </c>
      <c r="C2796">
        <v>7896097607221</v>
      </c>
      <c r="D2796">
        <v>6.95</v>
      </c>
      <c r="E2796">
        <v>4.13</v>
      </c>
      <c r="F2796" s="3">
        <v>0.29480000000000001</v>
      </c>
      <c r="G2796">
        <v>3.0074000000000001</v>
      </c>
      <c r="H2796">
        <v>1.6</v>
      </c>
    </row>
    <row r="2797" spans="1:8" x14ac:dyDescent="0.25">
      <c r="A2797" t="s">
        <v>2803</v>
      </c>
      <c r="B2797">
        <v>5219</v>
      </c>
      <c r="C2797">
        <v>7896097607238</v>
      </c>
      <c r="D2797">
        <v>6.95</v>
      </c>
      <c r="E2797">
        <v>4.13</v>
      </c>
      <c r="F2797" s="3">
        <v>0.29469999999999996</v>
      </c>
      <c r="G2797">
        <v>3.0081000000000002</v>
      </c>
      <c r="H2797">
        <v>2.2330000000000001</v>
      </c>
    </row>
    <row r="2798" spans="1:8" x14ac:dyDescent="0.25">
      <c r="A2798" t="s">
        <v>2804</v>
      </c>
      <c r="B2798">
        <v>5220</v>
      </c>
      <c r="C2798">
        <v>7896097607351</v>
      </c>
      <c r="D2798">
        <v>6.95</v>
      </c>
      <c r="E2798">
        <v>4.13</v>
      </c>
      <c r="F2798" s="3">
        <v>0.29469999999999996</v>
      </c>
      <c r="G2798">
        <v>3.008</v>
      </c>
      <c r="H2798">
        <v>0.73299999999999998</v>
      </c>
    </row>
    <row r="2799" spans="1:8" x14ac:dyDescent="0.25">
      <c r="A2799" t="s">
        <v>2805</v>
      </c>
      <c r="B2799">
        <v>5221</v>
      </c>
      <c r="C2799">
        <v>7896097607245</v>
      </c>
      <c r="D2799">
        <v>6.95</v>
      </c>
      <c r="E2799">
        <v>4.1399999999999997</v>
      </c>
      <c r="F2799" s="3">
        <v>0.29460000000000003</v>
      </c>
      <c r="G2799">
        <v>3.0083000000000002</v>
      </c>
      <c r="H2799">
        <v>0.2</v>
      </c>
    </row>
    <row r="2800" spans="1:8" x14ac:dyDescent="0.25">
      <c r="A2800" t="s">
        <v>2806</v>
      </c>
      <c r="B2800">
        <v>59266</v>
      </c>
      <c r="C2800">
        <v>7891035001727</v>
      </c>
      <c r="D2800">
        <v>8.9</v>
      </c>
      <c r="E2800">
        <v>4.4400000000000004</v>
      </c>
      <c r="F2800" s="3">
        <v>0.4546</v>
      </c>
      <c r="G2800">
        <v>4.0308999999999999</v>
      </c>
      <c r="H2800">
        <v>0.56699999999999995</v>
      </c>
    </row>
    <row r="2801" spans="1:8" x14ac:dyDescent="0.25">
      <c r="A2801" t="s">
        <v>2807</v>
      </c>
      <c r="B2801">
        <v>8802</v>
      </c>
      <c r="C2801">
        <v>7891022855678</v>
      </c>
      <c r="D2801">
        <v>17.899999999999999</v>
      </c>
      <c r="E2801">
        <v>8.6300000000000008</v>
      </c>
      <c r="F2801" s="3">
        <v>0.3765</v>
      </c>
      <c r="G2801">
        <v>6.2827999999999999</v>
      </c>
      <c r="H2801">
        <v>1.1000000000000001</v>
      </c>
    </row>
    <row r="2802" spans="1:8" x14ac:dyDescent="0.25">
      <c r="A2802" t="s">
        <v>2808</v>
      </c>
      <c r="B2802">
        <v>5066</v>
      </c>
      <c r="C2802">
        <v>7891022853490</v>
      </c>
      <c r="D2802">
        <v>17.899999999999999</v>
      </c>
      <c r="E2802">
        <v>8.49</v>
      </c>
      <c r="F2802" s="3">
        <v>0.3821</v>
      </c>
      <c r="G2802">
        <v>6.1833</v>
      </c>
      <c r="H2802">
        <v>1.2330000000000001</v>
      </c>
    </row>
    <row r="2803" spans="1:8" x14ac:dyDescent="0.25">
      <c r="A2803" t="s">
        <v>2809</v>
      </c>
      <c r="B2803">
        <v>19021</v>
      </c>
      <c r="C2803">
        <v>7891022853827</v>
      </c>
      <c r="D2803">
        <v>17.899999999999999</v>
      </c>
      <c r="E2803">
        <v>8.59</v>
      </c>
      <c r="F2803" s="3">
        <v>0.379</v>
      </c>
      <c r="G2803">
        <v>6.2377000000000002</v>
      </c>
      <c r="H2803">
        <v>1.867</v>
      </c>
    </row>
    <row r="2804" spans="1:8" x14ac:dyDescent="0.25">
      <c r="A2804" t="s">
        <v>2810</v>
      </c>
      <c r="B2804">
        <v>5067</v>
      </c>
      <c r="C2804">
        <v>7891022853483</v>
      </c>
      <c r="D2804">
        <v>17.899999999999999</v>
      </c>
      <c r="E2804">
        <v>8.57</v>
      </c>
      <c r="F2804" s="3">
        <v>0.37969999999999998</v>
      </c>
      <c r="G2804">
        <v>6.2263999999999999</v>
      </c>
      <c r="H2804">
        <v>1.2669999999999999</v>
      </c>
    </row>
    <row r="2805" spans="1:8" x14ac:dyDescent="0.25">
      <c r="A2805" t="s">
        <v>2811</v>
      </c>
      <c r="B2805">
        <v>5222</v>
      </c>
      <c r="C2805">
        <v>7891022854862</v>
      </c>
      <c r="D2805">
        <v>13.9</v>
      </c>
      <c r="E2805">
        <v>7.99</v>
      </c>
      <c r="F2805" s="3">
        <v>0.30969999999999998</v>
      </c>
      <c r="G2805">
        <v>5.8079000000000001</v>
      </c>
      <c r="H2805">
        <v>1.4</v>
      </c>
    </row>
    <row r="2806" spans="1:8" x14ac:dyDescent="0.25">
      <c r="A2806" t="s">
        <v>2812</v>
      </c>
      <c r="B2806">
        <v>5223</v>
      </c>
      <c r="C2806">
        <v>7891022854879</v>
      </c>
      <c r="D2806">
        <v>13.9</v>
      </c>
      <c r="E2806">
        <v>7.98</v>
      </c>
      <c r="F2806" s="3">
        <v>0.30969999999999998</v>
      </c>
      <c r="G2806">
        <v>5.8075000000000001</v>
      </c>
      <c r="H2806">
        <v>0.83299999999999996</v>
      </c>
    </row>
    <row r="2807" spans="1:8" x14ac:dyDescent="0.25">
      <c r="A2807" t="s">
        <v>2813</v>
      </c>
      <c r="B2807">
        <v>12952</v>
      </c>
      <c r="C2807">
        <v>7891022854893</v>
      </c>
      <c r="D2807">
        <v>13.9</v>
      </c>
      <c r="E2807">
        <v>7.94</v>
      </c>
      <c r="F2807" s="3">
        <v>0.31040000000000001</v>
      </c>
      <c r="G2807">
        <v>5.7969999999999997</v>
      </c>
      <c r="H2807">
        <v>1.0329999999999999</v>
      </c>
    </row>
    <row r="2808" spans="1:8" x14ac:dyDescent="0.25">
      <c r="A2808" t="s">
        <v>2814</v>
      </c>
      <c r="B2808">
        <v>12953</v>
      </c>
      <c r="C2808">
        <v>7891022848076</v>
      </c>
      <c r="D2808">
        <v>13.9</v>
      </c>
      <c r="E2808">
        <v>7.9</v>
      </c>
      <c r="F2808" s="3">
        <v>0.311</v>
      </c>
      <c r="G2808">
        <v>5.7889999999999997</v>
      </c>
      <c r="H2808">
        <v>0.53300000000000003</v>
      </c>
    </row>
    <row r="2809" spans="1:8" x14ac:dyDescent="0.25">
      <c r="A2809" t="s">
        <v>2815</v>
      </c>
      <c r="B2809">
        <v>32680</v>
      </c>
      <c r="C2809">
        <v>7896495000983</v>
      </c>
      <c r="D2809">
        <v>13.9</v>
      </c>
      <c r="E2809">
        <v>7.86</v>
      </c>
      <c r="F2809" s="3">
        <v>0.31670000000000004</v>
      </c>
      <c r="G2809">
        <v>5.71</v>
      </c>
      <c r="H2809">
        <v>7.7670000000000003</v>
      </c>
    </row>
    <row r="2810" spans="1:8" x14ac:dyDescent="0.25">
      <c r="A2810" t="s">
        <v>2816</v>
      </c>
      <c r="B2810">
        <v>45263</v>
      </c>
      <c r="C2810">
        <v>7896495003281</v>
      </c>
      <c r="D2810">
        <v>13.9</v>
      </c>
      <c r="E2810">
        <v>7.9</v>
      </c>
      <c r="F2810" s="3">
        <v>0.31390000000000001</v>
      </c>
      <c r="G2810">
        <v>5.7489999999999997</v>
      </c>
      <c r="H2810">
        <v>4.7</v>
      </c>
    </row>
    <row r="2811" spans="1:8" x14ac:dyDescent="0.25">
      <c r="A2811" t="s">
        <v>2817</v>
      </c>
      <c r="B2811">
        <v>32681</v>
      </c>
      <c r="C2811">
        <v>7896495000976</v>
      </c>
      <c r="D2811">
        <v>35.9</v>
      </c>
      <c r="E2811">
        <v>21.47</v>
      </c>
      <c r="F2811" s="3">
        <v>0.29239999999999999</v>
      </c>
      <c r="G2811">
        <v>15.618499999999999</v>
      </c>
      <c r="H2811">
        <v>1.5</v>
      </c>
    </row>
    <row r="2812" spans="1:8" x14ac:dyDescent="0.25">
      <c r="A2812" t="s">
        <v>2818</v>
      </c>
      <c r="B2812">
        <v>57134</v>
      </c>
      <c r="C2812">
        <v>7896495001188</v>
      </c>
      <c r="D2812">
        <v>8.9</v>
      </c>
      <c r="E2812">
        <v>4.91</v>
      </c>
      <c r="F2812" s="3">
        <v>0.32679999999999998</v>
      </c>
      <c r="G2812">
        <v>3.5657999999999999</v>
      </c>
      <c r="H2812">
        <v>1.633</v>
      </c>
    </row>
    <row r="2813" spans="1:8" x14ac:dyDescent="0.25">
      <c r="A2813" t="s">
        <v>2819</v>
      </c>
      <c r="B2813">
        <v>45262</v>
      </c>
      <c r="C2813">
        <v>7896495003328</v>
      </c>
      <c r="D2813">
        <v>8.9</v>
      </c>
      <c r="E2813">
        <v>4.88</v>
      </c>
      <c r="F2813" s="3">
        <v>0.32669999999999999</v>
      </c>
      <c r="G2813">
        <v>3.5668000000000002</v>
      </c>
      <c r="H2813">
        <v>1.2669999999999999</v>
      </c>
    </row>
    <row r="2814" spans="1:8" x14ac:dyDescent="0.25">
      <c r="A2814" t="s">
        <v>2820</v>
      </c>
      <c r="B2814">
        <v>57591</v>
      </c>
      <c r="C2814">
        <v>7891035001031</v>
      </c>
      <c r="D2814">
        <v>25.9</v>
      </c>
      <c r="E2814">
        <v>17.68</v>
      </c>
      <c r="F2814" s="3">
        <v>0.23089999999999999</v>
      </c>
      <c r="G2814">
        <v>12.8627</v>
      </c>
      <c r="H2814">
        <v>0.13300000000000001</v>
      </c>
    </row>
    <row r="2815" spans="1:8" x14ac:dyDescent="0.25">
      <c r="A2815" t="s">
        <v>2821</v>
      </c>
      <c r="B2815">
        <v>12992</v>
      </c>
      <c r="C2815">
        <v>7891022854787</v>
      </c>
      <c r="D2815">
        <v>9.4499999999999993</v>
      </c>
      <c r="E2815">
        <v>4.7300000000000004</v>
      </c>
      <c r="F2815" s="3">
        <v>0.37969999999999998</v>
      </c>
      <c r="G2815">
        <v>3.2866</v>
      </c>
      <c r="H2815">
        <v>2.0670000000000002</v>
      </c>
    </row>
    <row r="2816" spans="1:8" x14ac:dyDescent="0.25">
      <c r="A2816" t="s">
        <v>2822</v>
      </c>
      <c r="B2816">
        <v>4972</v>
      </c>
      <c r="C2816">
        <v>7891022100990</v>
      </c>
      <c r="D2816">
        <v>9.4499999999999993</v>
      </c>
      <c r="E2816">
        <v>4.49</v>
      </c>
      <c r="F2816" s="3">
        <v>0.37420000000000003</v>
      </c>
      <c r="G2816">
        <v>3.3391000000000002</v>
      </c>
      <c r="H2816">
        <v>2.5</v>
      </c>
    </row>
    <row r="2817" spans="1:8" x14ac:dyDescent="0.25">
      <c r="A2817" t="s">
        <v>2823</v>
      </c>
      <c r="B2817">
        <v>4973</v>
      </c>
      <c r="C2817">
        <v>7891022854244</v>
      </c>
      <c r="D2817">
        <v>9.4499999999999993</v>
      </c>
      <c r="E2817">
        <v>4.6500000000000004</v>
      </c>
      <c r="F2817" s="3">
        <v>0.37380000000000002</v>
      </c>
      <c r="G2817">
        <v>3.3424999999999998</v>
      </c>
      <c r="H2817">
        <v>2.1669999999999998</v>
      </c>
    </row>
    <row r="2818" spans="1:8" x14ac:dyDescent="0.25">
      <c r="A2818" t="s">
        <v>2824</v>
      </c>
      <c r="B2818">
        <v>48837</v>
      </c>
      <c r="C2818">
        <v>7891024037379</v>
      </c>
      <c r="D2818">
        <v>17.899999999999999</v>
      </c>
      <c r="E2818">
        <v>16.5</v>
      </c>
      <c r="F2818" s="3">
        <v>5.3399999999999996E-2</v>
      </c>
      <c r="G2818">
        <v>12.0661</v>
      </c>
      <c r="H2818">
        <v>5.1669999999999998</v>
      </c>
    </row>
    <row r="2819" spans="1:8" x14ac:dyDescent="0.25">
      <c r="A2819" t="s">
        <v>2825</v>
      </c>
      <c r="B2819">
        <v>63592</v>
      </c>
      <c r="C2819">
        <v>7509546687742</v>
      </c>
      <c r="D2819">
        <v>17.899999999999999</v>
      </c>
      <c r="E2819">
        <v>16.27</v>
      </c>
      <c r="F2819" s="3">
        <v>6.4299999999999996E-2</v>
      </c>
      <c r="G2819">
        <v>11.8719</v>
      </c>
      <c r="H2819">
        <v>3.133</v>
      </c>
    </row>
    <row r="2820" spans="1:8" x14ac:dyDescent="0.25">
      <c r="A2820" t="s">
        <v>2826</v>
      </c>
      <c r="B2820">
        <v>48836</v>
      </c>
      <c r="C2820">
        <v>7891024037362</v>
      </c>
      <c r="D2820">
        <v>17.899999999999999</v>
      </c>
      <c r="E2820">
        <v>16.38</v>
      </c>
      <c r="F2820" s="3">
        <v>5.62E-2</v>
      </c>
      <c r="G2820">
        <v>12.0167</v>
      </c>
      <c r="H2820">
        <v>5.6669999999999998</v>
      </c>
    </row>
    <row r="2821" spans="1:8" x14ac:dyDescent="0.25">
      <c r="A2821" t="s">
        <v>2827</v>
      </c>
      <c r="B2821">
        <v>57556</v>
      </c>
      <c r="C2821">
        <v>7509546661094</v>
      </c>
      <c r="D2821">
        <v>19.899999999999999</v>
      </c>
      <c r="E2821">
        <v>12.97</v>
      </c>
      <c r="F2821" s="3">
        <v>0.24510000000000001</v>
      </c>
      <c r="G2821">
        <v>9.6001999999999992</v>
      </c>
      <c r="H2821">
        <v>0.73299999999999998</v>
      </c>
    </row>
    <row r="2822" spans="1:8" x14ac:dyDescent="0.25">
      <c r="A2822" t="s">
        <v>2828</v>
      </c>
      <c r="B2822">
        <v>62356</v>
      </c>
      <c r="C2822">
        <v>7509546680231</v>
      </c>
      <c r="D2822">
        <v>16.899999999999999</v>
      </c>
      <c r="E2822">
        <v>11.15</v>
      </c>
      <c r="F2822" s="3">
        <v>0.24230000000000002</v>
      </c>
      <c r="G2822">
        <v>8.1998999999999995</v>
      </c>
      <c r="H2822">
        <v>0.83299999999999996</v>
      </c>
    </row>
    <row r="2823" spans="1:8" x14ac:dyDescent="0.25">
      <c r="A2823" t="s">
        <v>2829</v>
      </c>
      <c r="B2823">
        <v>59855</v>
      </c>
      <c r="C2823">
        <v>7509546662770</v>
      </c>
      <c r="D2823">
        <v>16.899999999999999</v>
      </c>
      <c r="E2823">
        <v>11.25</v>
      </c>
      <c r="F2823" s="3">
        <v>0.24249999999999999</v>
      </c>
      <c r="G2823">
        <v>8.1971000000000007</v>
      </c>
      <c r="H2823">
        <v>4.0670000000000002</v>
      </c>
    </row>
    <row r="2824" spans="1:8" x14ac:dyDescent="0.25">
      <c r="A2824" t="s">
        <v>2830</v>
      </c>
      <c r="B2824">
        <v>46036</v>
      </c>
      <c r="C2824">
        <v>7891024037690</v>
      </c>
      <c r="D2824">
        <v>16.899999999999999</v>
      </c>
      <c r="E2824">
        <v>11.14</v>
      </c>
      <c r="F2824" s="3">
        <v>0.24399999999999999</v>
      </c>
      <c r="G2824">
        <v>8.1708999999999996</v>
      </c>
      <c r="H2824">
        <v>3.5329999999999999</v>
      </c>
    </row>
    <row r="2825" spans="1:8" x14ac:dyDescent="0.25">
      <c r="A2825" t="s">
        <v>2831</v>
      </c>
      <c r="B2825">
        <v>20071</v>
      </c>
      <c r="C2825">
        <v>7891024195604</v>
      </c>
      <c r="D2825">
        <v>13.49</v>
      </c>
      <c r="E2825">
        <v>11.35</v>
      </c>
      <c r="F2825" s="3">
        <v>0.1153</v>
      </c>
      <c r="G2825">
        <v>8.2581000000000007</v>
      </c>
      <c r="H2825">
        <v>1.7</v>
      </c>
    </row>
    <row r="2826" spans="1:8" x14ac:dyDescent="0.25">
      <c r="A2826" t="s">
        <v>2832</v>
      </c>
      <c r="B2826">
        <v>47578</v>
      </c>
      <c r="C2826">
        <v>7891024039885</v>
      </c>
      <c r="D2826">
        <v>19.899999999999999</v>
      </c>
      <c r="E2826">
        <v>13.97</v>
      </c>
      <c r="F2826" s="3">
        <v>0.27060000000000001</v>
      </c>
      <c r="G2826">
        <v>12.675000000000001</v>
      </c>
      <c r="H2826">
        <v>0.89</v>
      </c>
    </row>
    <row r="2827" spans="1:8" x14ac:dyDescent="0.25">
      <c r="A2827" t="s">
        <v>2833</v>
      </c>
      <c r="B2827">
        <v>52980</v>
      </c>
      <c r="C2827">
        <v>7891024039892</v>
      </c>
      <c r="D2827">
        <v>18.899999999999999</v>
      </c>
      <c r="E2827">
        <v>13.47</v>
      </c>
      <c r="F2827" s="3">
        <v>0.2452</v>
      </c>
      <c r="G2827">
        <v>12.517200000000001</v>
      </c>
      <c r="H2827">
        <v>1.167</v>
      </c>
    </row>
    <row r="2828" spans="1:8" x14ac:dyDescent="0.25">
      <c r="A2828" t="s">
        <v>2834</v>
      </c>
      <c r="B2828">
        <v>64542</v>
      </c>
      <c r="C2828">
        <v>7891024194652</v>
      </c>
      <c r="D2828">
        <v>15.2</v>
      </c>
      <c r="E2828">
        <v>10.15</v>
      </c>
      <c r="F2828" s="3">
        <v>0.2404</v>
      </c>
      <c r="G2828">
        <v>7.4036999999999997</v>
      </c>
      <c r="H2828">
        <v>1.8</v>
      </c>
    </row>
    <row r="2829" spans="1:8" x14ac:dyDescent="0.25">
      <c r="A2829" t="s">
        <v>2835</v>
      </c>
      <c r="B2829">
        <v>20070</v>
      </c>
      <c r="C2829">
        <v>7891024194607</v>
      </c>
      <c r="D2829">
        <v>16.899999999999999</v>
      </c>
      <c r="E2829">
        <v>11.3</v>
      </c>
      <c r="F2829" s="3">
        <v>0.24030000000000001</v>
      </c>
      <c r="G2829">
        <v>8.2332000000000001</v>
      </c>
      <c r="H2829">
        <v>3.7669999999999999</v>
      </c>
    </row>
    <row r="2830" spans="1:8" x14ac:dyDescent="0.25">
      <c r="A2830" t="s">
        <v>2836</v>
      </c>
      <c r="B2830">
        <v>20068</v>
      </c>
      <c r="C2830">
        <v>7891024193280</v>
      </c>
      <c r="D2830">
        <v>9.9</v>
      </c>
      <c r="E2830">
        <v>6.4</v>
      </c>
      <c r="F2830" s="3">
        <v>0.25269999999999998</v>
      </c>
      <c r="G2830">
        <v>4.7004000000000001</v>
      </c>
      <c r="H2830">
        <v>2.2999999999999998</v>
      </c>
    </row>
    <row r="2831" spans="1:8" x14ac:dyDescent="0.25">
      <c r="A2831" t="s">
        <v>2837</v>
      </c>
      <c r="B2831">
        <v>20064</v>
      </c>
      <c r="C2831">
        <v>7891024193006</v>
      </c>
      <c r="D2831">
        <v>9.9</v>
      </c>
      <c r="E2831">
        <v>6.46</v>
      </c>
      <c r="F2831" s="3">
        <v>0.24729999999999999</v>
      </c>
      <c r="G2831">
        <v>4.7538999999999998</v>
      </c>
      <c r="H2831">
        <v>3.4670000000000001</v>
      </c>
    </row>
    <row r="2832" spans="1:8" x14ac:dyDescent="0.25">
      <c r="A2832" t="s">
        <v>2838</v>
      </c>
      <c r="B2832">
        <v>20063</v>
      </c>
      <c r="C2832">
        <v>7891024195307</v>
      </c>
      <c r="D2832">
        <v>9.9</v>
      </c>
      <c r="E2832">
        <v>6.44</v>
      </c>
      <c r="F2832" s="3">
        <v>0.25230000000000002</v>
      </c>
      <c r="G2832">
        <v>4.7042999999999999</v>
      </c>
      <c r="H2832">
        <v>3.0329999999999999</v>
      </c>
    </row>
    <row r="2833" spans="1:8" x14ac:dyDescent="0.25">
      <c r="A2833" t="s">
        <v>2839</v>
      </c>
      <c r="B2833">
        <v>20062</v>
      </c>
      <c r="C2833">
        <v>7891024194102</v>
      </c>
      <c r="D2833">
        <v>9.9</v>
      </c>
      <c r="E2833">
        <v>6.56</v>
      </c>
      <c r="F2833" s="3">
        <v>0.24590000000000001</v>
      </c>
      <c r="G2833">
        <v>4.7674000000000003</v>
      </c>
      <c r="H2833">
        <v>5.6669999999999998</v>
      </c>
    </row>
    <row r="2834" spans="1:8" x14ac:dyDescent="0.25">
      <c r="A2834" t="s">
        <v>2840</v>
      </c>
      <c r="B2834">
        <v>4975</v>
      </c>
      <c r="C2834">
        <v>7896098900628</v>
      </c>
      <c r="D2834">
        <v>5.95</v>
      </c>
      <c r="E2834">
        <v>2.88</v>
      </c>
      <c r="F2834" s="3">
        <v>0.37560000000000004</v>
      </c>
      <c r="G2834">
        <v>2.0937999999999999</v>
      </c>
      <c r="H2834">
        <v>4.0670000000000002</v>
      </c>
    </row>
    <row r="2835" spans="1:8" x14ac:dyDescent="0.25">
      <c r="A2835" t="s">
        <v>2841</v>
      </c>
      <c r="B2835">
        <v>4976</v>
      </c>
      <c r="C2835">
        <v>7896098900604</v>
      </c>
      <c r="D2835">
        <v>5.95</v>
      </c>
      <c r="E2835">
        <v>2.86</v>
      </c>
      <c r="F2835" s="3">
        <v>0.36869999999999997</v>
      </c>
      <c r="G2835">
        <v>2.1349</v>
      </c>
      <c r="H2835">
        <v>3.0670000000000002</v>
      </c>
    </row>
    <row r="2836" spans="1:8" x14ac:dyDescent="0.25">
      <c r="A2836" t="s">
        <v>2842</v>
      </c>
      <c r="B2836">
        <v>65655</v>
      </c>
      <c r="C2836">
        <v>7896183300180</v>
      </c>
      <c r="D2836">
        <v>7.9</v>
      </c>
      <c r="E2836">
        <v>4.47</v>
      </c>
      <c r="F2836" s="3">
        <v>0.31340000000000001</v>
      </c>
      <c r="G2836">
        <v>3.2709999999999999</v>
      </c>
      <c r="H2836">
        <v>5.2329999999999997</v>
      </c>
    </row>
    <row r="2837" spans="1:8" x14ac:dyDescent="0.25">
      <c r="A2837" t="s">
        <v>2843</v>
      </c>
      <c r="B2837">
        <v>65654</v>
      </c>
      <c r="C2837">
        <v>7896183300173</v>
      </c>
      <c r="D2837">
        <v>7.9</v>
      </c>
      <c r="E2837">
        <v>4.5199999999999996</v>
      </c>
      <c r="F2837" s="3">
        <v>0.31129999999999997</v>
      </c>
      <c r="G2837">
        <v>3.2877999999999998</v>
      </c>
      <c r="H2837">
        <v>6.0670000000000002</v>
      </c>
    </row>
    <row r="2838" spans="1:8" x14ac:dyDescent="0.25">
      <c r="A2838" t="s">
        <v>2844</v>
      </c>
      <c r="B2838">
        <v>65652</v>
      </c>
      <c r="C2838">
        <v>7896183301019</v>
      </c>
      <c r="D2838">
        <v>7.9</v>
      </c>
      <c r="E2838">
        <v>4.7</v>
      </c>
      <c r="F2838" s="3">
        <v>0.29430000000000001</v>
      </c>
      <c r="G2838">
        <v>3.4220999999999999</v>
      </c>
      <c r="H2838">
        <v>9.4</v>
      </c>
    </row>
    <row r="2839" spans="1:8" x14ac:dyDescent="0.25">
      <c r="A2839" t="s">
        <v>2845</v>
      </c>
      <c r="B2839">
        <v>65653</v>
      </c>
      <c r="C2839">
        <v>7896183300333</v>
      </c>
      <c r="D2839">
        <v>7.9</v>
      </c>
      <c r="E2839">
        <v>4.83</v>
      </c>
      <c r="F2839" s="3">
        <v>0.28270000000000001</v>
      </c>
      <c r="G2839">
        <v>3.5139999999999998</v>
      </c>
      <c r="H2839">
        <v>5.5330000000000004</v>
      </c>
    </row>
    <row r="2840" spans="1:8" x14ac:dyDescent="0.25">
      <c r="A2840" t="s">
        <v>2846</v>
      </c>
      <c r="B2840">
        <v>63867</v>
      </c>
      <c r="C2840">
        <v>7897744501176</v>
      </c>
      <c r="D2840">
        <v>9.99</v>
      </c>
      <c r="E2840">
        <v>5.6</v>
      </c>
      <c r="F2840" s="3">
        <v>0.32030000000000003</v>
      </c>
      <c r="G2840">
        <v>4.0679999999999996</v>
      </c>
      <c r="H2840">
        <v>29.733000000000001</v>
      </c>
    </row>
    <row r="2841" spans="1:8" x14ac:dyDescent="0.25">
      <c r="A2841" t="s">
        <v>2847</v>
      </c>
      <c r="B2841">
        <v>60182</v>
      </c>
      <c r="C2841">
        <v>7891035001673</v>
      </c>
      <c r="D2841">
        <v>13.45</v>
      </c>
      <c r="E2841">
        <v>8.89</v>
      </c>
      <c r="F2841" s="3">
        <v>0.2465</v>
      </c>
      <c r="G2841">
        <v>6.4688999999999997</v>
      </c>
      <c r="H2841">
        <v>0.86699999999999999</v>
      </c>
    </row>
    <row r="2842" spans="1:8" x14ac:dyDescent="0.25">
      <c r="A2842" t="s">
        <v>2848</v>
      </c>
      <c r="B2842">
        <v>60181</v>
      </c>
      <c r="C2842">
        <v>7891035001642</v>
      </c>
      <c r="D2842">
        <v>13.45</v>
      </c>
      <c r="E2842">
        <v>8.9</v>
      </c>
      <c r="F2842" s="3">
        <v>0.24609999999999999</v>
      </c>
      <c r="G2842">
        <v>6.4741999999999997</v>
      </c>
      <c r="H2842">
        <v>0.13300000000000001</v>
      </c>
    </row>
    <row r="2843" spans="1:8" x14ac:dyDescent="0.25">
      <c r="A2843" t="s">
        <v>2849</v>
      </c>
      <c r="B2843">
        <v>60180</v>
      </c>
      <c r="C2843">
        <v>7891035001666</v>
      </c>
      <c r="D2843">
        <v>6.9</v>
      </c>
      <c r="E2843">
        <v>4.9400000000000004</v>
      </c>
      <c r="F2843" s="3">
        <v>0.20660000000000001</v>
      </c>
      <c r="G2843">
        <v>3.5945</v>
      </c>
      <c r="H2843">
        <v>0.83299999999999996</v>
      </c>
    </row>
    <row r="2844" spans="1:8" x14ac:dyDescent="0.25">
      <c r="A2844" t="s">
        <v>2850</v>
      </c>
      <c r="B2844">
        <v>63798</v>
      </c>
      <c r="C2844">
        <v>7891035001949</v>
      </c>
      <c r="D2844">
        <v>8.9</v>
      </c>
      <c r="E2844">
        <v>5.95</v>
      </c>
      <c r="F2844" s="3">
        <v>0.24100000000000002</v>
      </c>
      <c r="G2844">
        <v>4.3296999999999999</v>
      </c>
      <c r="H2844">
        <v>0.96699999999999997</v>
      </c>
    </row>
    <row r="2845" spans="1:8" x14ac:dyDescent="0.25">
      <c r="A2845" t="s">
        <v>2851</v>
      </c>
      <c r="B2845">
        <v>63609</v>
      </c>
      <c r="C2845">
        <v>7891035001505</v>
      </c>
      <c r="D2845">
        <v>14.9</v>
      </c>
      <c r="E2845">
        <v>10</v>
      </c>
      <c r="F2845" s="3">
        <v>0.2984</v>
      </c>
      <c r="G2845">
        <v>9.0749999999999993</v>
      </c>
      <c r="H2845">
        <v>5.9669999999999996</v>
      </c>
    </row>
    <row r="2846" spans="1:8" x14ac:dyDescent="0.25">
      <c r="A2846" t="s">
        <v>2852</v>
      </c>
      <c r="B2846">
        <v>60569</v>
      </c>
      <c r="C2846">
        <v>7896098903674</v>
      </c>
      <c r="D2846">
        <v>12.9</v>
      </c>
      <c r="E2846">
        <v>6.71</v>
      </c>
      <c r="F2846" s="3">
        <v>0.35090000000000005</v>
      </c>
      <c r="G2846">
        <v>4.8586</v>
      </c>
      <c r="H2846">
        <v>1.5329999999999999</v>
      </c>
    </row>
    <row r="2847" spans="1:8" x14ac:dyDescent="0.25">
      <c r="A2847" t="s">
        <v>2853</v>
      </c>
      <c r="B2847">
        <v>60365</v>
      </c>
      <c r="C2847">
        <v>7896098903681</v>
      </c>
      <c r="D2847">
        <v>12.9</v>
      </c>
      <c r="E2847">
        <v>6.65</v>
      </c>
      <c r="F2847" s="3">
        <v>0.35229999999999995</v>
      </c>
      <c r="G2847">
        <v>4.8398000000000003</v>
      </c>
      <c r="H2847">
        <v>1.2</v>
      </c>
    </row>
    <row r="2848" spans="1:8" x14ac:dyDescent="0.25">
      <c r="A2848" t="s">
        <v>2854</v>
      </c>
      <c r="B2848">
        <v>59988</v>
      </c>
      <c r="C2848">
        <v>7896098903698</v>
      </c>
      <c r="D2848">
        <v>12.9</v>
      </c>
      <c r="E2848">
        <v>7.55</v>
      </c>
      <c r="F2848" s="3">
        <v>0.30159999999999998</v>
      </c>
      <c r="G2848">
        <v>5.4942000000000002</v>
      </c>
      <c r="H2848">
        <v>0.33300000000000002</v>
      </c>
    </row>
    <row r="2849" spans="1:8" x14ac:dyDescent="0.25">
      <c r="A2849" t="s">
        <v>2855</v>
      </c>
      <c r="B2849">
        <v>5212</v>
      </c>
      <c r="C2849">
        <v>7896098903605</v>
      </c>
      <c r="D2849">
        <v>4.9000000000000004</v>
      </c>
      <c r="E2849">
        <v>2.0099999999999998</v>
      </c>
      <c r="F2849" s="3">
        <v>0.4289</v>
      </c>
      <c r="G2849">
        <v>1.4631000000000001</v>
      </c>
      <c r="H2849">
        <v>3.2</v>
      </c>
    </row>
    <row r="2850" spans="1:8" x14ac:dyDescent="0.25">
      <c r="A2850" t="s">
        <v>2856</v>
      </c>
      <c r="B2850">
        <v>5213</v>
      </c>
      <c r="C2850">
        <v>7896098903612</v>
      </c>
      <c r="D2850">
        <v>4.9000000000000004</v>
      </c>
      <c r="E2850">
        <v>2.0499999999999998</v>
      </c>
      <c r="F2850" s="3">
        <v>0.42349999999999999</v>
      </c>
      <c r="G2850">
        <v>1.4898</v>
      </c>
      <c r="H2850">
        <v>4.5</v>
      </c>
    </row>
    <row r="2851" spans="1:8" x14ac:dyDescent="0.25">
      <c r="A2851" t="s">
        <v>2857</v>
      </c>
      <c r="B2851">
        <v>5214</v>
      </c>
      <c r="C2851">
        <v>7896098903629</v>
      </c>
      <c r="D2851">
        <v>4.9000000000000004</v>
      </c>
      <c r="E2851">
        <v>2.0099999999999998</v>
      </c>
      <c r="F2851" s="3">
        <v>0.42899999999999999</v>
      </c>
      <c r="G2851">
        <v>1.4629000000000001</v>
      </c>
      <c r="H2851">
        <v>5.9329999999999998</v>
      </c>
    </row>
    <row r="2852" spans="1:8" x14ac:dyDescent="0.25">
      <c r="A2852" t="s">
        <v>2858</v>
      </c>
      <c r="B2852">
        <v>17687</v>
      </c>
      <c r="C2852">
        <v>7791293032467</v>
      </c>
      <c r="D2852">
        <v>23.24</v>
      </c>
      <c r="E2852">
        <v>14.02</v>
      </c>
      <c r="F2852" s="3">
        <v>0.39779999999999999</v>
      </c>
      <c r="G2852">
        <v>13.9954</v>
      </c>
      <c r="H2852">
        <v>0.433</v>
      </c>
    </row>
    <row r="2853" spans="1:8" x14ac:dyDescent="0.25">
      <c r="A2853" t="s">
        <v>2859</v>
      </c>
      <c r="B2853">
        <v>29062</v>
      </c>
      <c r="C2853">
        <v>7791293028781</v>
      </c>
      <c r="D2853">
        <v>13.9</v>
      </c>
      <c r="E2853">
        <v>8.66</v>
      </c>
      <c r="F2853" s="3">
        <v>0.36499999999999999</v>
      </c>
      <c r="G2853">
        <v>8.8265999999999991</v>
      </c>
      <c r="H2853">
        <v>4.9000000000000004</v>
      </c>
    </row>
    <row r="2854" spans="1:8" x14ac:dyDescent="0.25">
      <c r="A2854" t="s">
        <v>2860</v>
      </c>
      <c r="B2854">
        <v>29064</v>
      </c>
      <c r="C2854">
        <v>7791293025797</v>
      </c>
      <c r="D2854">
        <v>13.9</v>
      </c>
      <c r="E2854">
        <v>8.1999999999999993</v>
      </c>
      <c r="F2854" s="3">
        <v>0.40009999999999996</v>
      </c>
      <c r="G2854">
        <v>8.3384</v>
      </c>
      <c r="H2854">
        <v>5.7</v>
      </c>
    </row>
    <row r="2855" spans="1:8" x14ac:dyDescent="0.25">
      <c r="A2855" t="s">
        <v>2861</v>
      </c>
      <c r="B2855">
        <v>60032</v>
      </c>
      <c r="C2855">
        <v>7891150080966</v>
      </c>
      <c r="D2855">
        <v>13.9</v>
      </c>
      <c r="E2855">
        <v>8.02</v>
      </c>
      <c r="F2855" s="3">
        <v>0.42320000000000002</v>
      </c>
      <c r="G2855">
        <v>8.0178999999999991</v>
      </c>
      <c r="H2855">
        <v>3.0670000000000002</v>
      </c>
    </row>
    <row r="2856" spans="1:8" x14ac:dyDescent="0.25">
      <c r="A2856" t="s">
        <v>2862</v>
      </c>
      <c r="B2856">
        <v>60034</v>
      </c>
      <c r="C2856">
        <v>7891150080973</v>
      </c>
      <c r="D2856">
        <v>13.9</v>
      </c>
      <c r="E2856">
        <v>8.02</v>
      </c>
      <c r="F2856" s="3">
        <v>0.4229</v>
      </c>
      <c r="G2856">
        <v>8.0219000000000005</v>
      </c>
      <c r="H2856">
        <v>2</v>
      </c>
    </row>
    <row r="2857" spans="1:8" x14ac:dyDescent="0.25">
      <c r="A2857" t="s">
        <v>2863</v>
      </c>
      <c r="B2857">
        <v>7340</v>
      </c>
      <c r="C2857">
        <v>7791293025780</v>
      </c>
      <c r="D2857">
        <v>13.9</v>
      </c>
      <c r="E2857">
        <v>8.02</v>
      </c>
      <c r="F2857" s="3">
        <v>0.42270000000000002</v>
      </c>
      <c r="G2857">
        <v>8.0249000000000006</v>
      </c>
      <c r="H2857">
        <v>6.633</v>
      </c>
    </row>
    <row r="2858" spans="1:8" x14ac:dyDescent="0.25">
      <c r="A2858" t="s">
        <v>2864</v>
      </c>
      <c r="B2858">
        <v>58553</v>
      </c>
      <c r="C2858">
        <v>7891150073081</v>
      </c>
      <c r="D2858">
        <v>25.9</v>
      </c>
      <c r="E2858">
        <v>16.079999999999998</v>
      </c>
      <c r="F2858" s="3">
        <v>0.37020000000000003</v>
      </c>
      <c r="G2858">
        <v>16.3125</v>
      </c>
      <c r="H2858">
        <v>1.633</v>
      </c>
    </row>
    <row r="2859" spans="1:8" x14ac:dyDescent="0.25">
      <c r="A2859" t="s">
        <v>2865</v>
      </c>
      <c r="B2859">
        <v>58552</v>
      </c>
      <c r="C2859">
        <v>7891150073098</v>
      </c>
      <c r="D2859">
        <v>25.9</v>
      </c>
      <c r="E2859">
        <v>16.510000000000002</v>
      </c>
      <c r="F2859" s="3">
        <v>0.3493</v>
      </c>
      <c r="G2859">
        <v>16.852499999999999</v>
      </c>
      <c r="H2859">
        <v>2.367</v>
      </c>
    </row>
    <row r="2860" spans="1:8" x14ac:dyDescent="0.25">
      <c r="A2860" t="s">
        <v>2866</v>
      </c>
      <c r="B2860">
        <v>7325</v>
      </c>
      <c r="C2860">
        <v>7506306241176</v>
      </c>
      <c r="D2860">
        <v>22.9</v>
      </c>
      <c r="E2860">
        <v>16.149999999999999</v>
      </c>
      <c r="F2860" s="3">
        <v>0.29249999999999998</v>
      </c>
      <c r="G2860">
        <v>16.2014</v>
      </c>
      <c r="H2860">
        <v>1.5329999999999999</v>
      </c>
    </row>
    <row r="2861" spans="1:8" x14ac:dyDescent="0.25">
      <c r="A2861" t="s">
        <v>2867</v>
      </c>
      <c r="B2861">
        <v>7495</v>
      </c>
      <c r="C2861">
        <v>7791293018874</v>
      </c>
      <c r="D2861">
        <v>22.9</v>
      </c>
      <c r="E2861">
        <v>14.3</v>
      </c>
      <c r="F2861" s="3">
        <v>0.38569999999999999</v>
      </c>
      <c r="G2861">
        <v>14.067299999999999</v>
      </c>
      <c r="H2861">
        <v>0.23300000000000001</v>
      </c>
    </row>
    <row r="2862" spans="1:8" x14ac:dyDescent="0.25">
      <c r="A2862" t="s">
        <v>2868</v>
      </c>
      <c r="B2862">
        <v>14917</v>
      </c>
      <c r="C2862">
        <v>7791293022819</v>
      </c>
      <c r="D2862">
        <v>22.9</v>
      </c>
      <c r="E2862">
        <v>16.149999999999999</v>
      </c>
      <c r="F2862" s="3">
        <v>0.29320000000000002</v>
      </c>
      <c r="G2862">
        <v>16.185700000000001</v>
      </c>
      <c r="H2862">
        <v>1.9330000000000001</v>
      </c>
    </row>
    <row r="2863" spans="1:8" x14ac:dyDescent="0.25">
      <c r="A2863" t="s">
        <v>2869</v>
      </c>
      <c r="B2863">
        <v>62360</v>
      </c>
      <c r="C2863">
        <v>7891150087347</v>
      </c>
      <c r="D2863">
        <v>22.9</v>
      </c>
      <c r="E2863">
        <v>16.04</v>
      </c>
      <c r="F2863" s="3">
        <v>0.29670000000000002</v>
      </c>
      <c r="G2863">
        <v>16.106400000000001</v>
      </c>
      <c r="H2863">
        <v>1.2669999999999999</v>
      </c>
    </row>
    <row r="2864" spans="1:8" x14ac:dyDescent="0.25">
      <c r="A2864" t="s">
        <v>2870</v>
      </c>
      <c r="B2864">
        <v>7337</v>
      </c>
      <c r="C2864">
        <v>7791293014838</v>
      </c>
      <c r="D2864">
        <v>22.9</v>
      </c>
      <c r="E2864">
        <v>16.05</v>
      </c>
      <c r="F2864" s="3">
        <v>0.29410000000000003</v>
      </c>
      <c r="G2864">
        <v>16.164400000000001</v>
      </c>
      <c r="H2864">
        <v>2.6</v>
      </c>
    </row>
    <row r="2865" spans="1:8" x14ac:dyDescent="0.25">
      <c r="A2865" t="s">
        <v>2871</v>
      </c>
      <c r="B2865">
        <v>61311</v>
      </c>
      <c r="C2865">
        <v>7891150081215</v>
      </c>
      <c r="D2865">
        <v>27.9</v>
      </c>
      <c r="E2865">
        <v>24.06</v>
      </c>
      <c r="F2865" s="3">
        <v>9.2300000000000007E-2</v>
      </c>
      <c r="G2865">
        <v>25.3247</v>
      </c>
      <c r="H2865">
        <v>5.5</v>
      </c>
    </row>
    <row r="2866" spans="1:8" x14ac:dyDescent="0.25">
      <c r="A2866" t="s">
        <v>2872</v>
      </c>
      <c r="B2866">
        <v>61407</v>
      </c>
      <c r="C2866">
        <v>7891150081222</v>
      </c>
      <c r="D2866">
        <v>27.9</v>
      </c>
      <c r="E2866">
        <v>24.3</v>
      </c>
      <c r="F2866" s="3">
        <v>7.22E-2</v>
      </c>
      <c r="G2866">
        <v>25.887</v>
      </c>
      <c r="H2866">
        <v>5.2</v>
      </c>
    </row>
    <row r="2867" spans="1:8" x14ac:dyDescent="0.25">
      <c r="A2867" t="s">
        <v>2873</v>
      </c>
      <c r="B2867">
        <v>7339</v>
      </c>
      <c r="C2867">
        <v>7791293012087</v>
      </c>
      <c r="D2867">
        <v>22.9</v>
      </c>
      <c r="E2867">
        <v>15.81</v>
      </c>
      <c r="F2867" s="3">
        <v>0.3049</v>
      </c>
      <c r="G2867">
        <v>15.9168</v>
      </c>
      <c r="H2867">
        <v>1.5329999999999999</v>
      </c>
    </row>
    <row r="2868" spans="1:8" x14ac:dyDescent="0.25">
      <c r="A2868" t="s">
        <v>2874</v>
      </c>
      <c r="B2868">
        <v>60992</v>
      </c>
      <c r="C2868">
        <v>7891150084155</v>
      </c>
      <c r="D2868">
        <v>22.9</v>
      </c>
      <c r="E2868">
        <v>18.350000000000001</v>
      </c>
      <c r="F2868" s="3">
        <v>0.19489999999999999</v>
      </c>
      <c r="G2868">
        <v>18.436299999999999</v>
      </c>
      <c r="H2868">
        <v>0.4</v>
      </c>
    </row>
    <row r="2869" spans="1:8" x14ac:dyDescent="0.25">
      <c r="A2869" t="s">
        <v>2875</v>
      </c>
      <c r="B2869">
        <v>60993</v>
      </c>
      <c r="C2869">
        <v>7891150084148</v>
      </c>
      <c r="D2869">
        <v>22.9</v>
      </c>
      <c r="E2869">
        <v>16.18</v>
      </c>
      <c r="F2869" s="3">
        <v>0.29210000000000003</v>
      </c>
      <c r="G2869">
        <v>16.2104</v>
      </c>
      <c r="H2869">
        <v>0.53300000000000003</v>
      </c>
    </row>
    <row r="2870" spans="1:8" x14ac:dyDescent="0.25">
      <c r="A2870" t="s">
        <v>2876</v>
      </c>
      <c r="B2870">
        <v>17572</v>
      </c>
      <c r="C2870">
        <v>7506306241169</v>
      </c>
      <c r="D2870">
        <v>22.9</v>
      </c>
      <c r="E2870">
        <v>17.940000000000001</v>
      </c>
      <c r="F2870" s="3">
        <v>0.21660000000000001</v>
      </c>
      <c r="G2870">
        <v>17.9406</v>
      </c>
      <c r="H2870">
        <v>0.5</v>
      </c>
    </row>
    <row r="2871" spans="1:8" x14ac:dyDescent="0.25">
      <c r="A2871" t="s">
        <v>2877</v>
      </c>
      <c r="B2871">
        <v>7335</v>
      </c>
      <c r="C2871">
        <v>7506306241183</v>
      </c>
      <c r="D2871">
        <v>22.9</v>
      </c>
      <c r="E2871">
        <v>16.28</v>
      </c>
      <c r="F2871" s="3">
        <v>0.28920000000000001</v>
      </c>
      <c r="G2871">
        <v>16.277000000000001</v>
      </c>
      <c r="H2871">
        <v>6.133</v>
      </c>
    </row>
    <row r="2872" spans="1:8" x14ac:dyDescent="0.25">
      <c r="A2872" t="s">
        <v>2878</v>
      </c>
      <c r="B2872">
        <v>61313</v>
      </c>
      <c r="C2872">
        <v>7891150081246</v>
      </c>
      <c r="D2872">
        <v>27.9</v>
      </c>
      <c r="E2872">
        <v>23.55</v>
      </c>
      <c r="F2872" s="3">
        <v>0.11070000000000001</v>
      </c>
      <c r="G2872">
        <v>24.8126</v>
      </c>
      <c r="H2872">
        <v>5.3</v>
      </c>
    </row>
    <row r="2873" spans="1:8" x14ac:dyDescent="0.25">
      <c r="A2873" t="s">
        <v>2879</v>
      </c>
      <c r="B2873">
        <v>61312</v>
      </c>
      <c r="C2873">
        <v>7891150081239</v>
      </c>
      <c r="D2873">
        <v>27.9</v>
      </c>
      <c r="E2873">
        <v>23.06</v>
      </c>
      <c r="F2873" s="3">
        <v>0.1168</v>
      </c>
      <c r="G2873">
        <v>24.6416</v>
      </c>
      <c r="H2873">
        <v>9.4670000000000005</v>
      </c>
    </row>
    <row r="2874" spans="1:8" x14ac:dyDescent="0.25">
      <c r="A2874" t="s">
        <v>2880</v>
      </c>
      <c r="B2874">
        <v>57630</v>
      </c>
      <c r="C2874">
        <v>4005900707543</v>
      </c>
      <c r="D2874">
        <v>19.899999999999999</v>
      </c>
      <c r="E2874">
        <v>12.59</v>
      </c>
      <c r="F2874" s="3">
        <v>0.36719999999999997</v>
      </c>
      <c r="G2874">
        <v>12.5923</v>
      </c>
      <c r="H2874">
        <v>1.7330000000000001</v>
      </c>
    </row>
    <row r="2875" spans="1:8" x14ac:dyDescent="0.25">
      <c r="A2875" t="s">
        <v>2881</v>
      </c>
      <c r="B2875">
        <v>61579</v>
      </c>
      <c r="C2875">
        <v>4005900878137</v>
      </c>
      <c r="D2875">
        <v>19.899999999999999</v>
      </c>
      <c r="E2875">
        <v>12.38</v>
      </c>
      <c r="F2875" s="3">
        <v>0.379</v>
      </c>
      <c r="G2875">
        <v>12.3588</v>
      </c>
      <c r="H2875">
        <v>0.63300000000000001</v>
      </c>
    </row>
    <row r="2876" spans="1:8" x14ac:dyDescent="0.25">
      <c r="A2876" t="s">
        <v>2882</v>
      </c>
      <c r="B2876">
        <v>57629</v>
      </c>
      <c r="C2876">
        <v>4005900707536</v>
      </c>
      <c r="D2876">
        <v>19.899999999999999</v>
      </c>
      <c r="E2876">
        <v>12.6</v>
      </c>
      <c r="F2876" s="3">
        <v>0.36700000000000005</v>
      </c>
      <c r="G2876">
        <v>12.596</v>
      </c>
      <c r="H2876">
        <v>0.76700000000000002</v>
      </c>
    </row>
    <row r="2877" spans="1:8" x14ac:dyDescent="0.25">
      <c r="A2877" t="s">
        <v>2883</v>
      </c>
      <c r="B2877">
        <v>63773</v>
      </c>
      <c r="C2877">
        <v>4005900950925</v>
      </c>
      <c r="D2877">
        <v>23.9</v>
      </c>
      <c r="E2877">
        <v>14.72</v>
      </c>
      <c r="F2877" s="3">
        <v>0.38429999999999997</v>
      </c>
      <c r="G2877">
        <v>14.716200000000001</v>
      </c>
      <c r="H2877">
        <v>0.83299999999999996</v>
      </c>
    </row>
    <row r="2878" spans="1:8" x14ac:dyDescent="0.25">
      <c r="A2878" t="s">
        <v>2884</v>
      </c>
      <c r="B2878">
        <v>63774</v>
      </c>
      <c r="C2878">
        <v>4005900950918</v>
      </c>
      <c r="D2878">
        <v>23.9</v>
      </c>
      <c r="E2878">
        <v>14.81</v>
      </c>
      <c r="F2878" s="3">
        <v>0.37869999999999998</v>
      </c>
      <c r="G2878">
        <v>14.8489</v>
      </c>
      <c r="H2878">
        <v>0.96699999999999997</v>
      </c>
    </row>
    <row r="2879" spans="1:8" x14ac:dyDescent="0.25">
      <c r="A2879" t="s">
        <v>2885</v>
      </c>
      <c r="B2879">
        <v>63076</v>
      </c>
      <c r="C2879">
        <v>4005900105073</v>
      </c>
      <c r="D2879">
        <v>21.9</v>
      </c>
      <c r="E2879">
        <v>13.69</v>
      </c>
      <c r="F2879" s="3">
        <v>0.37430000000000002</v>
      </c>
      <c r="G2879">
        <v>13.7028</v>
      </c>
      <c r="H2879">
        <v>4.1669999999999998</v>
      </c>
    </row>
    <row r="2880" spans="1:8" x14ac:dyDescent="0.25">
      <c r="A2880" t="s">
        <v>2886</v>
      </c>
      <c r="B2880">
        <v>63073</v>
      </c>
      <c r="C2880">
        <v>4005900633293</v>
      </c>
      <c r="D2880">
        <v>21.9</v>
      </c>
      <c r="E2880">
        <v>13.68</v>
      </c>
      <c r="F2880" s="3">
        <v>0.37450000000000006</v>
      </c>
      <c r="G2880">
        <v>13.698</v>
      </c>
      <c r="H2880">
        <v>4.1669999999999998</v>
      </c>
    </row>
    <row r="2881" spans="1:8" x14ac:dyDescent="0.25">
      <c r="A2881" t="s">
        <v>2887</v>
      </c>
      <c r="B2881">
        <v>63077</v>
      </c>
      <c r="C2881">
        <v>4005900105080</v>
      </c>
      <c r="D2881">
        <v>21.9</v>
      </c>
      <c r="E2881">
        <v>13.72</v>
      </c>
      <c r="F2881" s="3">
        <v>0.37369999999999998</v>
      </c>
      <c r="G2881">
        <v>13.7156</v>
      </c>
      <c r="H2881">
        <v>7.633</v>
      </c>
    </row>
    <row r="2882" spans="1:8" x14ac:dyDescent="0.25">
      <c r="A2882" t="s">
        <v>2888</v>
      </c>
      <c r="B2882">
        <v>63074</v>
      </c>
      <c r="C2882">
        <v>4005900633309</v>
      </c>
      <c r="D2882">
        <v>21.9</v>
      </c>
      <c r="E2882">
        <v>13.71</v>
      </c>
      <c r="F2882" s="3">
        <v>0.374</v>
      </c>
      <c r="G2882">
        <v>13.708600000000001</v>
      </c>
      <c r="H2882">
        <v>5.7329999999999997</v>
      </c>
    </row>
    <row r="2883" spans="1:8" x14ac:dyDescent="0.25">
      <c r="A2883" t="s">
        <v>2889</v>
      </c>
      <c r="B2883">
        <v>63079</v>
      </c>
      <c r="C2883">
        <v>4005900705143</v>
      </c>
      <c r="D2883">
        <v>21.9</v>
      </c>
      <c r="E2883">
        <v>13.68</v>
      </c>
      <c r="F2883" s="3">
        <v>0.37450000000000006</v>
      </c>
      <c r="G2883">
        <v>13.698600000000001</v>
      </c>
      <c r="H2883">
        <v>5.0670000000000002</v>
      </c>
    </row>
    <row r="2884" spans="1:8" x14ac:dyDescent="0.25">
      <c r="A2884" t="s">
        <v>2890</v>
      </c>
      <c r="B2884">
        <v>7262</v>
      </c>
      <c r="C2884">
        <v>7791293032436</v>
      </c>
      <c r="D2884">
        <v>23.24</v>
      </c>
      <c r="E2884">
        <v>13.88</v>
      </c>
      <c r="F2884" s="3">
        <v>0.3997</v>
      </c>
      <c r="G2884">
        <v>13.9506</v>
      </c>
      <c r="H2884">
        <v>2.0670000000000002</v>
      </c>
    </row>
    <row r="2885" spans="1:8" x14ac:dyDescent="0.25">
      <c r="A2885" t="s">
        <v>2891</v>
      </c>
      <c r="B2885">
        <v>7283</v>
      </c>
      <c r="C2885">
        <v>7791293022567</v>
      </c>
      <c r="D2885">
        <v>23.24</v>
      </c>
      <c r="E2885">
        <v>13.98</v>
      </c>
      <c r="F2885" s="3">
        <v>0.3987</v>
      </c>
      <c r="G2885">
        <v>13.9748</v>
      </c>
      <c r="H2885">
        <v>0.83299999999999996</v>
      </c>
    </row>
    <row r="2886" spans="1:8" x14ac:dyDescent="0.25">
      <c r="A2886" t="s">
        <v>2892</v>
      </c>
      <c r="B2886">
        <v>17581</v>
      </c>
      <c r="C2886">
        <v>7791293022581</v>
      </c>
      <c r="D2886">
        <v>20.9</v>
      </c>
      <c r="E2886">
        <v>14.18</v>
      </c>
      <c r="F2886" s="3">
        <v>0.31950000000000001</v>
      </c>
      <c r="G2886">
        <v>14.2235</v>
      </c>
      <c r="H2886">
        <v>1.2</v>
      </c>
    </row>
    <row r="2887" spans="1:8" x14ac:dyDescent="0.25">
      <c r="A2887" t="s">
        <v>2893</v>
      </c>
      <c r="B2887">
        <v>7571</v>
      </c>
      <c r="C2887">
        <v>7791293022598</v>
      </c>
      <c r="D2887">
        <v>23.24</v>
      </c>
      <c r="E2887">
        <v>13.84</v>
      </c>
      <c r="F2887" s="3">
        <v>0.40350000000000003</v>
      </c>
      <c r="G2887">
        <v>13.8637</v>
      </c>
      <c r="H2887">
        <v>0.9</v>
      </c>
    </row>
    <row r="2888" spans="1:8" x14ac:dyDescent="0.25">
      <c r="A2888" t="s">
        <v>2894</v>
      </c>
      <c r="B2888">
        <v>12873</v>
      </c>
      <c r="C2888">
        <v>7791293022635</v>
      </c>
      <c r="D2888">
        <v>23.24</v>
      </c>
      <c r="E2888">
        <v>14.09</v>
      </c>
      <c r="F2888" s="3">
        <v>0.39189999999999997</v>
      </c>
      <c r="G2888">
        <v>14.1333</v>
      </c>
      <c r="H2888">
        <v>0.8</v>
      </c>
    </row>
    <row r="2889" spans="1:8" x14ac:dyDescent="0.25">
      <c r="A2889" t="s">
        <v>2895</v>
      </c>
      <c r="B2889">
        <v>42018</v>
      </c>
      <c r="C2889">
        <v>7506306244184</v>
      </c>
      <c r="D2889">
        <v>23.24</v>
      </c>
      <c r="E2889">
        <v>14.06</v>
      </c>
      <c r="F2889" s="3">
        <v>0.39630000000000004</v>
      </c>
      <c r="G2889">
        <v>14.0299</v>
      </c>
      <c r="H2889">
        <v>1.0329999999999999</v>
      </c>
    </row>
    <row r="2890" spans="1:8" x14ac:dyDescent="0.25">
      <c r="A2890" t="s">
        <v>2896</v>
      </c>
      <c r="B2890">
        <v>42019</v>
      </c>
      <c r="C2890">
        <v>7506306244177</v>
      </c>
      <c r="D2890">
        <v>23.24</v>
      </c>
      <c r="E2890">
        <v>13.77</v>
      </c>
      <c r="F2890" s="3">
        <v>0.40679999999999999</v>
      </c>
      <c r="G2890">
        <v>13.7865</v>
      </c>
      <c r="H2890">
        <v>0.36699999999999999</v>
      </c>
    </row>
    <row r="2891" spans="1:8" x14ac:dyDescent="0.25">
      <c r="A2891" t="s">
        <v>2897</v>
      </c>
      <c r="B2891">
        <v>17688</v>
      </c>
      <c r="C2891">
        <v>7791293032481</v>
      </c>
      <c r="D2891">
        <v>23.24</v>
      </c>
      <c r="E2891">
        <v>14.09</v>
      </c>
      <c r="F2891" s="3">
        <v>0.39200000000000002</v>
      </c>
      <c r="G2891">
        <v>14.129799999999999</v>
      </c>
      <c r="H2891">
        <v>0.46700000000000003</v>
      </c>
    </row>
    <row r="2892" spans="1:8" x14ac:dyDescent="0.25">
      <c r="A2892" t="s">
        <v>2898</v>
      </c>
      <c r="B2892">
        <v>61297</v>
      </c>
      <c r="C2892">
        <v>7891150081260</v>
      </c>
      <c r="D2892">
        <v>21.9</v>
      </c>
      <c r="E2892">
        <v>19.510000000000002</v>
      </c>
      <c r="F2892" s="3">
        <v>0.10859999999999999</v>
      </c>
      <c r="G2892">
        <v>19.520600000000002</v>
      </c>
      <c r="H2892">
        <v>5.6669999999999998</v>
      </c>
    </row>
    <row r="2893" spans="1:8" x14ac:dyDescent="0.25">
      <c r="A2893" t="s">
        <v>2899</v>
      </c>
      <c r="B2893">
        <v>61296</v>
      </c>
      <c r="C2893">
        <v>7891150081253</v>
      </c>
      <c r="D2893">
        <v>21.9</v>
      </c>
      <c r="E2893">
        <v>19.399999999999999</v>
      </c>
      <c r="F2893" s="3">
        <v>0.11269999999999999</v>
      </c>
      <c r="G2893">
        <v>19.431899999999999</v>
      </c>
      <c r="H2893">
        <v>10.167</v>
      </c>
    </row>
    <row r="2894" spans="1:8" x14ac:dyDescent="0.25">
      <c r="A2894" t="s">
        <v>2900</v>
      </c>
      <c r="B2894">
        <v>61310</v>
      </c>
      <c r="C2894">
        <v>7891150081284</v>
      </c>
      <c r="D2894">
        <v>21.9</v>
      </c>
      <c r="E2894">
        <v>19.440000000000001</v>
      </c>
      <c r="F2894" s="3">
        <v>0.11070000000000001</v>
      </c>
      <c r="G2894">
        <v>19.4756</v>
      </c>
      <c r="H2894">
        <v>4.8330000000000002</v>
      </c>
    </row>
    <row r="2895" spans="1:8" x14ac:dyDescent="0.25">
      <c r="A2895" t="s">
        <v>2901</v>
      </c>
      <c r="B2895">
        <v>61308</v>
      </c>
      <c r="C2895">
        <v>7891150081277</v>
      </c>
      <c r="D2895">
        <v>21.9</v>
      </c>
      <c r="E2895">
        <v>19.34</v>
      </c>
      <c r="F2895" s="3">
        <v>0.1128</v>
      </c>
      <c r="G2895">
        <v>19.430399999999999</v>
      </c>
      <c r="H2895">
        <v>5.633</v>
      </c>
    </row>
    <row r="2896" spans="1:8" x14ac:dyDescent="0.25">
      <c r="A2896" t="s">
        <v>2902</v>
      </c>
      <c r="B2896">
        <v>53640</v>
      </c>
      <c r="C2896">
        <v>7506306214989</v>
      </c>
      <c r="D2896">
        <v>19.899999999999999</v>
      </c>
      <c r="E2896">
        <v>16.850000000000001</v>
      </c>
      <c r="F2896" s="3">
        <v>0.14380000000000001</v>
      </c>
      <c r="G2896">
        <v>17.038</v>
      </c>
      <c r="H2896">
        <v>4</v>
      </c>
    </row>
    <row r="2897" spans="1:8" x14ac:dyDescent="0.25">
      <c r="A2897" t="s">
        <v>2903</v>
      </c>
      <c r="B2897">
        <v>53637</v>
      </c>
      <c r="C2897">
        <v>7891150064300</v>
      </c>
      <c r="D2897">
        <v>19.899999999999999</v>
      </c>
      <c r="E2897">
        <v>16.350000000000001</v>
      </c>
      <c r="F2897" s="3">
        <v>0.1724</v>
      </c>
      <c r="G2897">
        <v>16.470199999999998</v>
      </c>
      <c r="H2897">
        <v>2.2999999999999998</v>
      </c>
    </row>
    <row r="2898" spans="1:8" x14ac:dyDescent="0.25">
      <c r="A2898" t="s">
        <v>2904</v>
      </c>
      <c r="B2898">
        <v>64257</v>
      </c>
      <c r="C2898">
        <v>7891150089983</v>
      </c>
      <c r="D2898">
        <v>19.899999999999999</v>
      </c>
      <c r="E2898">
        <v>15.72</v>
      </c>
      <c r="F2898" s="3">
        <v>0.18510000000000001</v>
      </c>
      <c r="G2898">
        <v>16.216799999999999</v>
      </c>
      <c r="H2898">
        <v>1.5669999999999999</v>
      </c>
    </row>
    <row r="2899" spans="1:8" x14ac:dyDescent="0.25">
      <c r="A2899" t="s">
        <v>2905</v>
      </c>
      <c r="B2899">
        <v>53641</v>
      </c>
      <c r="C2899">
        <v>7506306214972</v>
      </c>
      <c r="D2899">
        <v>19.899999999999999</v>
      </c>
      <c r="E2899">
        <v>16.579999999999998</v>
      </c>
      <c r="F2899" s="3">
        <v>0.16370000000000001</v>
      </c>
      <c r="G2899">
        <v>16.642299999999999</v>
      </c>
      <c r="H2899">
        <v>2.2000000000000002</v>
      </c>
    </row>
    <row r="2900" spans="1:8" x14ac:dyDescent="0.25">
      <c r="A2900" t="s">
        <v>2906</v>
      </c>
      <c r="B2900">
        <v>64259</v>
      </c>
      <c r="C2900">
        <v>7891150089952</v>
      </c>
      <c r="D2900">
        <v>19.899999999999999</v>
      </c>
      <c r="E2900">
        <v>16.64</v>
      </c>
      <c r="F2900" s="3">
        <v>0.16350000000000001</v>
      </c>
      <c r="G2900">
        <v>16.6464</v>
      </c>
      <c r="H2900">
        <v>0.76700000000000002</v>
      </c>
    </row>
    <row r="2901" spans="1:8" x14ac:dyDescent="0.25">
      <c r="A2901" t="s">
        <v>2907</v>
      </c>
      <c r="B2901">
        <v>56007</v>
      </c>
      <c r="C2901">
        <v>7891150068728</v>
      </c>
      <c r="D2901">
        <v>19.899999999999999</v>
      </c>
      <c r="E2901">
        <v>16.600000000000001</v>
      </c>
      <c r="F2901" s="3">
        <v>0.1457</v>
      </c>
      <c r="G2901">
        <v>16.9999</v>
      </c>
      <c r="H2901">
        <v>3.7669999999999999</v>
      </c>
    </row>
    <row r="2902" spans="1:8" x14ac:dyDescent="0.25">
      <c r="A2902" t="s">
        <v>2908</v>
      </c>
      <c r="B2902">
        <v>56003</v>
      </c>
      <c r="C2902">
        <v>7891150068735</v>
      </c>
      <c r="D2902">
        <v>19.899999999999999</v>
      </c>
      <c r="E2902">
        <v>16.600000000000001</v>
      </c>
      <c r="F2902" s="3">
        <v>0.16239999999999999</v>
      </c>
      <c r="G2902">
        <v>16.668299999999999</v>
      </c>
      <c r="H2902">
        <v>1.5</v>
      </c>
    </row>
    <row r="2903" spans="1:8" x14ac:dyDescent="0.25">
      <c r="A2903" t="s">
        <v>2909</v>
      </c>
      <c r="B2903">
        <v>44126</v>
      </c>
      <c r="C2903">
        <v>7891150054646</v>
      </c>
      <c r="D2903">
        <v>20.9</v>
      </c>
      <c r="E2903">
        <v>14.24</v>
      </c>
      <c r="F2903" s="3">
        <v>0.31790000000000002</v>
      </c>
      <c r="G2903">
        <v>14.2569</v>
      </c>
      <c r="H2903">
        <v>1.9</v>
      </c>
    </row>
    <row r="2904" spans="1:8" x14ac:dyDescent="0.25">
      <c r="A2904" t="s">
        <v>2910</v>
      </c>
      <c r="B2904">
        <v>61315</v>
      </c>
      <c r="C2904">
        <v>7891150081307</v>
      </c>
      <c r="D2904">
        <v>21.9</v>
      </c>
      <c r="E2904">
        <v>19.75</v>
      </c>
      <c r="F2904" s="3">
        <v>8.3400000000000002E-2</v>
      </c>
      <c r="G2904">
        <v>20.073599999999999</v>
      </c>
      <c r="H2904">
        <v>9.6999999999999993</v>
      </c>
    </row>
    <row r="2905" spans="1:8" x14ac:dyDescent="0.25">
      <c r="A2905" t="s">
        <v>2911</v>
      </c>
      <c r="B2905">
        <v>61317</v>
      </c>
      <c r="C2905">
        <v>7891150081321</v>
      </c>
      <c r="D2905">
        <v>21.9</v>
      </c>
      <c r="E2905">
        <v>19.52</v>
      </c>
      <c r="F2905" s="3">
        <v>0.1085</v>
      </c>
      <c r="G2905">
        <v>19.523499999999999</v>
      </c>
      <c r="H2905">
        <v>8.5</v>
      </c>
    </row>
    <row r="2906" spans="1:8" x14ac:dyDescent="0.25">
      <c r="A2906" t="s">
        <v>2912</v>
      </c>
      <c r="B2906">
        <v>61314</v>
      </c>
      <c r="C2906">
        <v>7891150081291</v>
      </c>
      <c r="D2906">
        <v>21.9</v>
      </c>
      <c r="E2906">
        <v>19.47</v>
      </c>
      <c r="F2906" s="3">
        <v>0.1101</v>
      </c>
      <c r="G2906">
        <v>19.488099999999999</v>
      </c>
      <c r="H2906">
        <v>6.6669999999999998</v>
      </c>
    </row>
    <row r="2907" spans="1:8" x14ac:dyDescent="0.25">
      <c r="A2907" t="s">
        <v>2913</v>
      </c>
      <c r="B2907">
        <v>61316</v>
      </c>
      <c r="C2907">
        <v>7891150081314</v>
      </c>
      <c r="D2907">
        <v>21.9</v>
      </c>
      <c r="E2907">
        <v>19.43</v>
      </c>
      <c r="F2907" s="3">
        <v>0.1137</v>
      </c>
      <c r="G2907">
        <v>19.411000000000001</v>
      </c>
      <c r="H2907">
        <v>6.8</v>
      </c>
    </row>
    <row r="2908" spans="1:8" x14ac:dyDescent="0.25">
      <c r="A2908" t="s">
        <v>2914</v>
      </c>
      <c r="B2908">
        <v>60030</v>
      </c>
      <c r="C2908">
        <v>7791293040417</v>
      </c>
      <c r="D2908">
        <v>19.899999999999999</v>
      </c>
      <c r="E2908">
        <v>13.42</v>
      </c>
      <c r="F2908" s="3">
        <v>0.3175</v>
      </c>
      <c r="G2908">
        <v>13.5816</v>
      </c>
      <c r="H2908">
        <v>1.0329999999999999</v>
      </c>
    </row>
    <row r="2909" spans="1:8" x14ac:dyDescent="0.25">
      <c r="A2909" t="s">
        <v>2915</v>
      </c>
      <c r="B2909">
        <v>60111</v>
      </c>
      <c r="C2909">
        <v>7791293040431</v>
      </c>
      <c r="D2909">
        <v>19.899999999999999</v>
      </c>
      <c r="E2909">
        <v>13.75</v>
      </c>
      <c r="F2909" s="3">
        <v>0.29350000000000004</v>
      </c>
      <c r="G2909">
        <v>14.0602</v>
      </c>
      <c r="H2909">
        <v>1.0669999999999999</v>
      </c>
    </row>
    <row r="2910" spans="1:8" x14ac:dyDescent="0.25">
      <c r="A2910" t="s">
        <v>2916</v>
      </c>
      <c r="B2910">
        <v>7219</v>
      </c>
      <c r="C2910">
        <v>7791293032443</v>
      </c>
      <c r="D2910">
        <v>20.9</v>
      </c>
      <c r="E2910">
        <v>14.19</v>
      </c>
      <c r="F2910" s="3">
        <v>0.32229999999999998</v>
      </c>
      <c r="G2910">
        <v>14.163399999999999</v>
      </c>
      <c r="H2910">
        <v>1.0669999999999999</v>
      </c>
    </row>
    <row r="2911" spans="1:8" x14ac:dyDescent="0.25">
      <c r="A2911" t="s">
        <v>2917</v>
      </c>
      <c r="B2911">
        <v>7291</v>
      </c>
      <c r="C2911">
        <v>7791293032498</v>
      </c>
      <c r="D2911">
        <v>20.9</v>
      </c>
      <c r="E2911">
        <v>14.26</v>
      </c>
      <c r="F2911" s="3">
        <v>0.317</v>
      </c>
      <c r="G2911">
        <v>14.2744</v>
      </c>
      <c r="H2911">
        <v>0.86699999999999999</v>
      </c>
    </row>
    <row r="2912" spans="1:8" x14ac:dyDescent="0.25">
      <c r="A2912" t="s">
        <v>2918</v>
      </c>
      <c r="B2912">
        <v>18525</v>
      </c>
      <c r="C2912">
        <v>7791293032368</v>
      </c>
      <c r="D2912">
        <v>23.24</v>
      </c>
      <c r="E2912">
        <v>14.29</v>
      </c>
      <c r="F2912" s="3">
        <v>0.38490000000000002</v>
      </c>
      <c r="G2912">
        <v>14.2958</v>
      </c>
      <c r="H2912">
        <v>2.1669999999999998</v>
      </c>
    </row>
    <row r="2913" spans="1:8" x14ac:dyDescent="0.25">
      <c r="A2913" t="s">
        <v>2919</v>
      </c>
      <c r="B2913">
        <v>62557</v>
      </c>
      <c r="C2913">
        <v>7891150070363</v>
      </c>
      <c r="D2913">
        <v>12.9</v>
      </c>
      <c r="E2913">
        <v>7.5</v>
      </c>
      <c r="F2913" s="3">
        <v>0.41880000000000001</v>
      </c>
      <c r="G2913">
        <v>7.4973000000000001</v>
      </c>
      <c r="H2913">
        <v>2.2999999999999998</v>
      </c>
    </row>
    <row r="2914" spans="1:8" x14ac:dyDescent="0.25">
      <c r="A2914" t="s">
        <v>2920</v>
      </c>
      <c r="B2914">
        <v>62558</v>
      </c>
      <c r="C2914">
        <v>7891150070356</v>
      </c>
      <c r="D2914">
        <v>12.9</v>
      </c>
      <c r="E2914">
        <v>7.5</v>
      </c>
      <c r="F2914" s="3">
        <v>0.41889999999999999</v>
      </c>
      <c r="G2914">
        <v>7.4965000000000002</v>
      </c>
      <c r="H2914">
        <v>1.9330000000000001</v>
      </c>
    </row>
    <row r="2915" spans="1:8" x14ac:dyDescent="0.25">
      <c r="A2915" t="s">
        <v>2921</v>
      </c>
      <c r="B2915">
        <v>62556</v>
      </c>
      <c r="C2915">
        <v>7891150070370</v>
      </c>
      <c r="D2915">
        <v>12.9</v>
      </c>
      <c r="E2915">
        <v>7.5</v>
      </c>
      <c r="F2915" s="3">
        <v>0.41880000000000001</v>
      </c>
      <c r="G2915">
        <v>7.4969000000000001</v>
      </c>
      <c r="H2915">
        <v>0.433</v>
      </c>
    </row>
    <row r="2916" spans="1:8" x14ac:dyDescent="0.25">
      <c r="A2916" t="s">
        <v>2922</v>
      </c>
      <c r="B2916">
        <v>62555</v>
      </c>
      <c r="C2916">
        <v>7891150070394</v>
      </c>
      <c r="D2916">
        <v>12.9</v>
      </c>
      <c r="E2916">
        <v>7.5</v>
      </c>
      <c r="F2916" s="3">
        <v>0.41889999999999999</v>
      </c>
      <c r="G2916">
        <v>7.4958999999999998</v>
      </c>
      <c r="H2916">
        <v>0.63300000000000001</v>
      </c>
    </row>
    <row r="2917" spans="1:8" x14ac:dyDescent="0.25">
      <c r="A2917" t="s">
        <v>2923</v>
      </c>
      <c r="B2917">
        <v>38601</v>
      </c>
      <c r="C2917">
        <v>7791293033266</v>
      </c>
      <c r="D2917">
        <v>22.9</v>
      </c>
      <c r="E2917">
        <v>18.05</v>
      </c>
      <c r="F2917" s="3">
        <v>0.21170000000000003</v>
      </c>
      <c r="G2917">
        <v>18.053100000000001</v>
      </c>
      <c r="H2917">
        <v>0.5</v>
      </c>
    </row>
    <row r="2918" spans="1:8" x14ac:dyDescent="0.25">
      <c r="A2918" t="s">
        <v>2924</v>
      </c>
      <c r="B2918">
        <v>7332</v>
      </c>
      <c r="C2918">
        <v>7791293033273</v>
      </c>
      <c r="D2918">
        <v>22.9</v>
      </c>
      <c r="E2918">
        <v>16.100000000000001</v>
      </c>
      <c r="F2918" s="3">
        <v>0.29480000000000001</v>
      </c>
      <c r="G2918">
        <v>16.148599999999998</v>
      </c>
      <c r="H2918">
        <v>2.2330000000000001</v>
      </c>
    </row>
    <row r="2919" spans="1:8" x14ac:dyDescent="0.25">
      <c r="A2919" t="s">
        <v>2925</v>
      </c>
      <c r="B2919">
        <v>7439</v>
      </c>
      <c r="C2919">
        <v>4005900036667</v>
      </c>
      <c r="D2919">
        <v>12.9</v>
      </c>
      <c r="E2919">
        <v>12.59</v>
      </c>
      <c r="F2919" s="3">
        <v>2.3599999999999999E-2</v>
      </c>
      <c r="G2919">
        <v>12.595000000000001</v>
      </c>
      <c r="H2919">
        <v>1.5329999999999999</v>
      </c>
    </row>
    <row r="2920" spans="1:8" x14ac:dyDescent="0.25">
      <c r="A2920" t="s">
        <v>2926</v>
      </c>
      <c r="B2920">
        <v>55450</v>
      </c>
      <c r="C2920">
        <v>4005900449559</v>
      </c>
      <c r="D2920">
        <v>12.9</v>
      </c>
      <c r="E2920">
        <v>12.57</v>
      </c>
      <c r="F2920" s="3">
        <v>2.41E-2</v>
      </c>
      <c r="G2920">
        <v>12.5886</v>
      </c>
      <c r="H2920">
        <v>1.333</v>
      </c>
    </row>
    <row r="2921" spans="1:8" x14ac:dyDescent="0.25">
      <c r="A2921" t="s">
        <v>2927</v>
      </c>
      <c r="B2921">
        <v>7437</v>
      </c>
      <c r="C2921">
        <v>4005900036728</v>
      </c>
      <c r="D2921">
        <v>12.9</v>
      </c>
      <c r="E2921">
        <v>12.58</v>
      </c>
      <c r="F2921" s="3">
        <v>2.3900000000000001E-2</v>
      </c>
      <c r="G2921">
        <v>12.5922</v>
      </c>
      <c r="H2921">
        <v>2.9</v>
      </c>
    </row>
    <row r="2922" spans="1:8" x14ac:dyDescent="0.25">
      <c r="A2922" t="s">
        <v>2928</v>
      </c>
      <c r="B2922">
        <v>7442</v>
      </c>
      <c r="C2922">
        <v>7791969016036</v>
      </c>
      <c r="D2922">
        <v>12.9</v>
      </c>
      <c r="E2922">
        <v>12.56</v>
      </c>
      <c r="F2922" s="3">
        <v>2.46E-2</v>
      </c>
      <c r="G2922">
        <v>12.5822</v>
      </c>
      <c r="H2922">
        <v>1.2</v>
      </c>
    </row>
    <row r="2923" spans="1:8" x14ac:dyDescent="0.25">
      <c r="A2923" t="s">
        <v>2929</v>
      </c>
      <c r="B2923">
        <v>7423</v>
      </c>
      <c r="C2923">
        <v>7791969016029</v>
      </c>
      <c r="D2923">
        <v>12.9</v>
      </c>
      <c r="E2923">
        <v>12.59</v>
      </c>
      <c r="F2923" s="3">
        <v>2.3799999999999998E-2</v>
      </c>
      <c r="G2923">
        <v>12.5936</v>
      </c>
      <c r="H2923">
        <v>1.333</v>
      </c>
    </row>
    <row r="2924" spans="1:8" x14ac:dyDescent="0.25">
      <c r="A2924" t="s">
        <v>2930</v>
      </c>
      <c r="B2924">
        <v>63775</v>
      </c>
      <c r="C2924">
        <v>4005900937520</v>
      </c>
      <c r="D2924">
        <v>12.9</v>
      </c>
      <c r="E2924">
        <v>12.59</v>
      </c>
      <c r="F2924" s="3">
        <v>2.3900000000000001E-2</v>
      </c>
      <c r="G2924">
        <v>12.591200000000001</v>
      </c>
      <c r="H2924">
        <v>1.167</v>
      </c>
    </row>
    <row r="2925" spans="1:8" x14ac:dyDescent="0.25">
      <c r="A2925" t="s">
        <v>2931</v>
      </c>
      <c r="B2925">
        <v>55447</v>
      </c>
      <c r="C2925">
        <v>4005900396938</v>
      </c>
      <c r="D2925">
        <v>12.9</v>
      </c>
      <c r="E2925">
        <v>12.6</v>
      </c>
      <c r="F2925" s="3">
        <v>2.35E-2</v>
      </c>
      <c r="G2925">
        <v>12.596399999999999</v>
      </c>
      <c r="H2925">
        <v>5.0999999999999996</v>
      </c>
    </row>
    <row r="2926" spans="1:8" x14ac:dyDescent="0.25">
      <c r="A2926" t="s">
        <v>2932</v>
      </c>
      <c r="B2926">
        <v>55444</v>
      </c>
      <c r="C2926">
        <v>4005808837311</v>
      </c>
      <c r="D2926">
        <v>12.9</v>
      </c>
      <c r="E2926">
        <v>12.6</v>
      </c>
      <c r="F2926" s="3">
        <v>2.35E-2</v>
      </c>
      <c r="G2926">
        <v>12.596399999999999</v>
      </c>
      <c r="H2926">
        <v>2.9</v>
      </c>
    </row>
    <row r="2927" spans="1:8" x14ac:dyDescent="0.25">
      <c r="A2927" t="s">
        <v>2933</v>
      </c>
      <c r="B2927">
        <v>55442</v>
      </c>
      <c r="C2927">
        <v>4005900122186</v>
      </c>
      <c r="D2927">
        <v>12.9</v>
      </c>
      <c r="E2927">
        <v>12.59</v>
      </c>
      <c r="F2927" s="3">
        <v>2.3599999999999999E-2</v>
      </c>
      <c r="G2927">
        <v>12.595700000000001</v>
      </c>
      <c r="H2927">
        <v>1.4670000000000001</v>
      </c>
    </row>
    <row r="2928" spans="1:8" x14ac:dyDescent="0.25">
      <c r="A2928" t="s">
        <v>2934</v>
      </c>
      <c r="B2928">
        <v>7430</v>
      </c>
      <c r="C2928">
        <v>7791969029807</v>
      </c>
      <c r="D2928">
        <v>12.9</v>
      </c>
      <c r="E2928">
        <v>12.59</v>
      </c>
      <c r="F2928" s="3">
        <v>2.3799999999999998E-2</v>
      </c>
      <c r="G2928">
        <v>12.5929</v>
      </c>
      <c r="H2928">
        <v>1.4330000000000001</v>
      </c>
    </row>
    <row r="2929" spans="1:8" x14ac:dyDescent="0.25">
      <c r="A2929" t="s">
        <v>2935</v>
      </c>
      <c r="B2929">
        <v>33186</v>
      </c>
      <c r="C2929">
        <v>7506306233362</v>
      </c>
      <c r="D2929">
        <v>13.9</v>
      </c>
      <c r="E2929">
        <v>7.99</v>
      </c>
      <c r="F2929" s="3">
        <v>0.42499999999999999</v>
      </c>
      <c r="G2929">
        <v>7.9922000000000004</v>
      </c>
      <c r="H2929">
        <v>1.167</v>
      </c>
    </row>
    <row r="2930" spans="1:8" x14ac:dyDescent="0.25">
      <c r="A2930" t="s">
        <v>2936</v>
      </c>
      <c r="B2930">
        <v>68115</v>
      </c>
      <c r="C2930">
        <v>79400500908</v>
      </c>
      <c r="D2930">
        <v>20.9</v>
      </c>
      <c r="E2930">
        <v>18.559999999999999</v>
      </c>
      <c r="F2930" s="3">
        <v>0.11169999999999999</v>
      </c>
      <c r="G2930">
        <v>18.564900000000002</v>
      </c>
      <c r="H2930">
        <v>1.167</v>
      </c>
    </row>
    <row r="2931" spans="1:8" x14ac:dyDescent="0.25">
      <c r="A2931" t="s">
        <v>2937</v>
      </c>
      <c r="B2931">
        <v>68430</v>
      </c>
      <c r="C2931">
        <v>75062842</v>
      </c>
      <c r="D2931">
        <v>20.9</v>
      </c>
      <c r="E2931">
        <v>18.559999999999999</v>
      </c>
      <c r="F2931" s="3">
        <v>0.11169999999999999</v>
      </c>
      <c r="G2931">
        <v>18.564699999999998</v>
      </c>
      <c r="H2931">
        <v>1.4</v>
      </c>
    </row>
    <row r="2932" spans="1:8" x14ac:dyDescent="0.25">
      <c r="A2932" t="s">
        <v>2938</v>
      </c>
      <c r="B2932">
        <v>68432</v>
      </c>
      <c r="C2932">
        <v>75076696</v>
      </c>
      <c r="D2932">
        <v>20.9</v>
      </c>
      <c r="E2932">
        <v>18.8</v>
      </c>
      <c r="F2932" s="3">
        <v>7.9899999999999999E-2</v>
      </c>
      <c r="G2932">
        <v>19.2303</v>
      </c>
      <c r="H2932">
        <v>1.3</v>
      </c>
    </row>
    <row r="2933" spans="1:8" x14ac:dyDescent="0.25">
      <c r="A2933" t="s">
        <v>2939</v>
      </c>
      <c r="B2933">
        <v>68434</v>
      </c>
      <c r="C2933">
        <v>75076719</v>
      </c>
      <c r="D2933">
        <v>20.9</v>
      </c>
      <c r="E2933">
        <v>18.559999999999999</v>
      </c>
      <c r="F2933" s="3">
        <v>0.11169999999999999</v>
      </c>
      <c r="G2933">
        <v>18.564699999999998</v>
      </c>
      <c r="H2933">
        <v>1.0329999999999999</v>
      </c>
    </row>
    <row r="2934" spans="1:8" x14ac:dyDescent="0.25">
      <c r="A2934" t="s">
        <v>2940</v>
      </c>
      <c r="B2934">
        <v>68435</v>
      </c>
      <c r="C2934">
        <v>75076702</v>
      </c>
      <c r="D2934">
        <v>20.9</v>
      </c>
      <c r="E2934">
        <v>18.559999999999999</v>
      </c>
      <c r="F2934" s="3">
        <v>0.11169999999999999</v>
      </c>
      <c r="G2934">
        <v>18.564599999999999</v>
      </c>
      <c r="H2934">
        <v>1.133</v>
      </c>
    </row>
    <row r="2935" spans="1:8" x14ac:dyDescent="0.25">
      <c r="A2935" t="s">
        <v>2941</v>
      </c>
      <c r="B2935">
        <v>68427</v>
      </c>
      <c r="C2935">
        <v>75062835</v>
      </c>
      <c r="D2935">
        <v>20.9</v>
      </c>
      <c r="E2935">
        <v>18.559999999999999</v>
      </c>
      <c r="F2935" s="3">
        <v>0.1118</v>
      </c>
      <c r="G2935">
        <v>18.564299999999999</v>
      </c>
      <c r="H2935">
        <v>1.8</v>
      </c>
    </row>
    <row r="2936" spans="1:8" x14ac:dyDescent="0.25">
      <c r="A2936" t="s">
        <v>2942</v>
      </c>
      <c r="B2936">
        <v>68116</v>
      </c>
      <c r="C2936">
        <v>79400500205</v>
      </c>
      <c r="D2936">
        <v>20.9</v>
      </c>
      <c r="E2936">
        <v>18.559999999999999</v>
      </c>
      <c r="F2936" s="3">
        <v>0.11169999999999999</v>
      </c>
      <c r="G2936">
        <v>18.564800000000002</v>
      </c>
      <c r="H2936">
        <v>1.9330000000000001</v>
      </c>
    </row>
    <row r="2937" spans="1:8" x14ac:dyDescent="0.25">
      <c r="A2937" t="s">
        <v>2943</v>
      </c>
      <c r="B2937">
        <v>67290</v>
      </c>
      <c r="C2937">
        <v>7891150096790</v>
      </c>
      <c r="D2937">
        <v>16.899999999999999</v>
      </c>
      <c r="E2937">
        <v>11.09</v>
      </c>
      <c r="F2937" s="3">
        <v>0.34389999999999998</v>
      </c>
      <c r="G2937">
        <v>11.0886</v>
      </c>
      <c r="H2937">
        <v>1.133</v>
      </c>
    </row>
    <row r="2938" spans="1:8" x14ac:dyDescent="0.25">
      <c r="A2938" t="s">
        <v>2944</v>
      </c>
      <c r="B2938">
        <v>67289</v>
      </c>
      <c r="C2938">
        <v>7891150096783</v>
      </c>
      <c r="D2938">
        <v>16.899999999999999</v>
      </c>
      <c r="E2938">
        <v>11.09</v>
      </c>
      <c r="F2938" s="3">
        <v>0.34389999999999998</v>
      </c>
      <c r="G2938">
        <v>11.0884</v>
      </c>
      <c r="H2938">
        <v>4.3330000000000002</v>
      </c>
    </row>
    <row r="2939" spans="1:8" x14ac:dyDescent="0.25">
      <c r="A2939" t="s">
        <v>2945</v>
      </c>
      <c r="B2939">
        <v>67288</v>
      </c>
      <c r="C2939">
        <v>7891150094741</v>
      </c>
      <c r="D2939">
        <v>16.899999999999999</v>
      </c>
      <c r="E2939">
        <v>11.09</v>
      </c>
      <c r="F2939" s="3">
        <v>0.34389999999999998</v>
      </c>
      <c r="G2939">
        <v>11.0885</v>
      </c>
      <c r="H2939">
        <v>1.5329999999999999</v>
      </c>
    </row>
    <row r="2940" spans="1:8" x14ac:dyDescent="0.25">
      <c r="A2940" t="s">
        <v>2946</v>
      </c>
      <c r="B2940">
        <v>65223</v>
      </c>
      <c r="C2940">
        <v>75076825</v>
      </c>
      <c r="D2940">
        <v>22.9</v>
      </c>
      <c r="E2940">
        <v>19.13</v>
      </c>
      <c r="F2940" s="3">
        <v>0.1648</v>
      </c>
      <c r="G2940">
        <v>19.126000000000001</v>
      </c>
      <c r="H2940">
        <v>3.367</v>
      </c>
    </row>
    <row r="2941" spans="1:8" x14ac:dyDescent="0.25">
      <c r="A2941" t="s">
        <v>2947</v>
      </c>
      <c r="B2941">
        <v>65221</v>
      </c>
      <c r="C2941">
        <v>75076818</v>
      </c>
      <c r="D2941">
        <v>22.9</v>
      </c>
      <c r="E2941">
        <v>19.12</v>
      </c>
      <c r="F2941" s="3">
        <v>0.1648</v>
      </c>
      <c r="G2941">
        <v>19.125299999999999</v>
      </c>
      <c r="H2941">
        <v>4.5579999999999998</v>
      </c>
    </row>
    <row r="2942" spans="1:8" x14ac:dyDescent="0.25">
      <c r="A2942" t="s">
        <v>2948</v>
      </c>
      <c r="B2942">
        <v>65222</v>
      </c>
      <c r="C2942">
        <v>75076870</v>
      </c>
      <c r="D2942">
        <v>22.9</v>
      </c>
      <c r="E2942">
        <v>19.12</v>
      </c>
      <c r="F2942" s="3">
        <v>0.16500000000000001</v>
      </c>
      <c r="G2942">
        <v>19.121500000000001</v>
      </c>
      <c r="H2942">
        <v>3.1669999999999998</v>
      </c>
    </row>
    <row r="2943" spans="1:8" x14ac:dyDescent="0.25">
      <c r="A2943" t="s">
        <v>2949</v>
      </c>
      <c r="B2943">
        <v>45887</v>
      </c>
      <c r="C2943">
        <v>7891150055872</v>
      </c>
      <c r="D2943">
        <v>20.9</v>
      </c>
      <c r="E2943">
        <v>14.3</v>
      </c>
      <c r="F2943" s="3">
        <v>0.31559999999999999</v>
      </c>
      <c r="G2943">
        <v>14.3041</v>
      </c>
      <c r="H2943">
        <v>0.16700000000000001</v>
      </c>
    </row>
    <row r="2944" spans="1:8" x14ac:dyDescent="0.25">
      <c r="A2944" t="s">
        <v>2950</v>
      </c>
      <c r="B2944">
        <v>42012</v>
      </c>
      <c r="C2944">
        <v>75058845</v>
      </c>
      <c r="D2944">
        <v>12.9</v>
      </c>
      <c r="E2944">
        <v>7.82</v>
      </c>
      <c r="F2944" s="3">
        <v>0.39409999999999995</v>
      </c>
      <c r="G2944">
        <v>7.8155999999999999</v>
      </c>
      <c r="H2944">
        <v>1.2669999999999999</v>
      </c>
    </row>
    <row r="2945" spans="1:8" x14ac:dyDescent="0.25">
      <c r="A2945" t="s">
        <v>2951</v>
      </c>
      <c r="B2945">
        <v>7298</v>
      </c>
      <c r="C2945">
        <v>78927254</v>
      </c>
      <c r="D2945">
        <v>14.9</v>
      </c>
      <c r="E2945">
        <v>9.0299999999999994</v>
      </c>
      <c r="F2945" s="3">
        <v>0.3962</v>
      </c>
      <c r="G2945">
        <v>8.9971999999999994</v>
      </c>
      <c r="H2945">
        <v>1</v>
      </c>
    </row>
    <row r="2946" spans="1:8" x14ac:dyDescent="0.25">
      <c r="A2946" t="s">
        <v>2952</v>
      </c>
      <c r="B2946">
        <v>14918</v>
      </c>
      <c r="C2946">
        <v>78933354</v>
      </c>
      <c r="D2946">
        <v>14.9</v>
      </c>
      <c r="E2946">
        <v>9.26</v>
      </c>
      <c r="F2946" s="3">
        <v>0.37549999999999994</v>
      </c>
      <c r="G2946">
        <v>9.3045000000000009</v>
      </c>
      <c r="H2946">
        <v>0.56699999999999995</v>
      </c>
    </row>
    <row r="2947" spans="1:8" x14ac:dyDescent="0.25">
      <c r="A2947" t="s">
        <v>2953</v>
      </c>
      <c r="B2947">
        <v>17602</v>
      </c>
      <c r="C2947">
        <v>78930780</v>
      </c>
      <c r="D2947">
        <v>14.9</v>
      </c>
      <c r="E2947">
        <v>8.9600000000000009</v>
      </c>
      <c r="F2947" s="3">
        <v>0.39950000000000002</v>
      </c>
      <c r="G2947">
        <v>8.9471000000000007</v>
      </c>
      <c r="H2947">
        <v>2.0670000000000002</v>
      </c>
    </row>
    <row r="2948" spans="1:8" x14ac:dyDescent="0.25">
      <c r="A2948" t="s">
        <v>2954</v>
      </c>
      <c r="B2948">
        <v>7487</v>
      </c>
      <c r="C2948">
        <v>78924468</v>
      </c>
      <c r="D2948">
        <v>14.9</v>
      </c>
      <c r="E2948">
        <v>9.1</v>
      </c>
      <c r="F2948" s="3">
        <v>0.38969999999999999</v>
      </c>
      <c r="G2948">
        <v>9.0930999999999997</v>
      </c>
      <c r="H2948">
        <v>3</v>
      </c>
    </row>
    <row r="2949" spans="1:8" x14ac:dyDescent="0.25">
      <c r="A2949" t="s">
        <v>2955</v>
      </c>
      <c r="B2949">
        <v>7211</v>
      </c>
      <c r="C2949">
        <v>4005900036759</v>
      </c>
      <c r="D2949">
        <v>12.9</v>
      </c>
      <c r="E2949">
        <v>8.9499999999999993</v>
      </c>
      <c r="F2949" s="3">
        <v>0.30579999999999996</v>
      </c>
      <c r="G2949">
        <v>8.9550000000000001</v>
      </c>
      <c r="H2949">
        <v>4.7670000000000003</v>
      </c>
    </row>
    <row r="2950" spans="1:8" x14ac:dyDescent="0.25">
      <c r="A2950" t="s">
        <v>2956</v>
      </c>
      <c r="B2950">
        <v>7408</v>
      </c>
      <c r="C2950">
        <v>4005808257584</v>
      </c>
      <c r="D2950">
        <v>12.9</v>
      </c>
      <c r="E2950">
        <v>8.9499999999999993</v>
      </c>
      <c r="F2950" s="3">
        <v>0.30570000000000003</v>
      </c>
      <c r="G2950">
        <v>8.9563000000000006</v>
      </c>
      <c r="H2950">
        <v>3.5670000000000002</v>
      </c>
    </row>
    <row r="2951" spans="1:8" x14ac:dyDescent="0.25">
      <c r="A2951" t="s">
        <v>2957</v>
      </c>
      <c r="B2951">
        <v>7413</v>
      </c>
      <c r="C2951">
        <v>4005808257553</v>
      </c>
      <c r="D2951">
        <v>12.9</v>
      </c>
      <c r="E2951">
        <v>8.9499999999999993</v>
      </c>
      <c r="F2951" s="3">
        <v>0.30559999999999998</v>
      </c>
      <c r="G2951">
        <v>8.9580000000000002</v>
      </c>
      <c r="H2951">
        <v>3</v>
      </c>
    </row>
    <row r="2952" spans="1:8" x14ac:dyDescent="0.25">
      <c r="A2952" t="s">
        <v>2958</v>
      </c>
      <c r="B2952">
        <v>7407</v>
      </c>
      <c r="C2952">
        <v>4005900036704</v>
      </c>
      <c r="D2952">
        <v>12.9</v>
      </c>
      <c r="E2952">
        <v>8.9499999999999993</v>
      </c>
      <c r="F2952" s="3">
        <v>0.30590000000000001</v>
      </c>
      <c r="G2952">
        <v>8.9540000000000006</v>
      </c>
      <c r="H2952">
        <v>5.133</v>
      </c>
    </row>
    <row r="2953" spans="1:8" x14ac:dyDescent="0.25">
      <c r="A2953" t="s">
        <v>2959</v>
      </c>
      <c r="B2953">
        <v>55469</v>
      </c>
      <c r="C2953">
        <v>4005900398598</v>
      </c>
      <c r="D2953">
        <v>12.9</v>
      </c>
      <c r="E2953">
        <v>8.9600000000000009</v>
      </c>
      <c r="F2953" s="3">
        <v>0.30530000000000002</v>
      </c>
      <c r="G2953">
        <v>8.9614999999999991</v>
      </c>
      <c r="H2953">
        <v>4.9000000000000004</v>
      </c>
    </row>
    <row r="2954" spans="1:8" x14ac:dyDescent="0.25">
      <c r="A2954" t="s">
        <v>2960</v>
      </c>
      <c r="B2954">
        <v>55458</v>
      </c>
      <c r="C2954">
        <v>4005808257669</v>
      </c>
      <c r="D2954">
        <v>12.9</v>
      </c>
      <c r="E2954">
        <v>8.9600000000000009</v>
      </c>
      <c r="F2954" s="3">
        <v>0.30530000000000002</v>
      </c>
      <c r="G2954">
        <v>8.9621999999999993</v>
      </c>
      <c r="H2954">
        <v>3.1</v>
      </c>
    </row>
    <row r="2955" spans="1:8" x14ac:dyDescent="0.25">
      <c r="A2955" t="s">
        <v>2961</v>
      </c>
      <c r="B2955">
        <v>55455</v>
      </c>
      <c r="C2955">
        <v>4005900130785</v>
      </c>
      <c r="D2955">
        <v>12.9</v>
      </c>
      <c r="E2955">
        <v>8.9600000000000009</v>
      </c>
      <c r="F2955" s="3">
        <v>0.3054</v>
      </c>
      <c r="G2955">
        <v>8.9609000000000005</v>
      </c>
      <c r="H2955">
        <v>3.7330000000000001</v>
      </c>
    </row>
    <row r="2956" spans="1:8" x14ac:dyDescent="0.25">
      <c r="A2956" t="s">
        <v>2962</v>
      </c>
      <c r="B2956">
        <v>17549</v>
      </c>
      <c r="C2956">
        <v>78925472</v>
      </c>
      <c r="D2956">
        <v>12.9</v>
      </c>
      <c r="E2956">
        <v>7.83</v>
      </c>
      <c r="F2956" s="3">
        <v>0.39360000000000001</v>
      </c>
      <c r="G2956">
        <v>7.8228</v>
      </c>
      <c r="H2956">
        <v>2.0329999999999999</v>
      </c>
    </row>
    <row r="2957" spans="1:8" x14ac:dyDescent="0.25">
      <c r="A2957" t="s">
        <v>2963</v>
      </c>
      <c r="B2957">
        <v>7534</v>
      </c>
      <c r="C2957">
        <v>78938625</v>
      </c>
      <c r="D2957">
        <v>12.9</v>
      </c>
      <c r="E2957">
        <v>7.9</v>
      </c>
      <c r="F2957" s="3">
        <v>0.39069999999999999</v>
      </c>
      <c r="G2957">
        <v>7.8597999999999999</v>
      </c>
      <c r="H2957">
        <v>0.76700000000000002</v>
      </c>
    </row>
    <row r="2958" spans="1:8" x14ac:dyDescent="0.25">
      <c r="A2958" t="s">
        <v>2964</v>
      </c>
      <c r="B2958">
        <v>7531</v>
      </c>
      <c r="C2958">
        <v>78923454</v>
      </c>
      <c r="D2958">
        <v>14.35</v>
      </c>
      <c r="E2958">
        <v>7.84</v>
      </c>
      <c r="F2958" s="3">
        <v>0.45419999999999999</v>
      </c>
      <c r="G2958">
        <v>7.8323</v>
      </c>
      <c r="H2958">
        <v>1.867</v>
      </c>
    </row>
    <row r="2959" spans="1:8" x14ac:dyDescent="0.25">
      <c r="A2959" t="s">
        <v>2965</v>
      </c>
      <c r="B2959">
        <v>7536</v>
      </c>
      <c r="C2959">
        <v>78924338</v>
      </c>
      <c r="D2959">
        <v>14.35</v>
      </c>
      <c r="E2959">
        <v>7.84</v>
      </c>
      <c r="F2959" s="3">
        <v>0.45399999999999996</v>
      </c>
      <c r="G2959">
        <v>7.8343999999999996</v>
      </c>
      <c r="H2959">
        <v>1.9</v>
      </c>
    </row>
    <row r="2960" spans="1:8" x14ac:dyDescent="0.25">
      <c r="A2960" t="s">
        <v>2966</v>
      </c>
      <c r="B2960">
        <v>47941</v>
      </c>
      <c r="C2960">
        <v>78924383</v>
      </c>
      <c r="D2960">
        <v>12.9</v>
      </c>
      <c r="E2960">
        <v>8.02</v>
      </c>
      <c r="F2960" s="3">
        <v>0.34350000000000003</v>
      </c>
      <c r="G2960">
        <v>8.4682999999999993</v>
      </c>
      <c r="H2960">
        <v>3.5670000000000002</v>
      </c>
    </row>
    <row r="2961" spans="1:8" x14ac:dyDescent="0.25">
      <c r="A2961" t="s">
        <v>2967</v>
      </c>
      <c r="B2961">
        <v>42154</v>
      </c>
      <c r="C2961">
        <v>7891035116520</v>
      </c>
      <c r="D2961">
        <v>16.899999999999999</v>
      </c>
      <c r="E2961">
        <v>11.07</v>
      </c>
      <c r="F2961" s="3">
        <v>0.31309999999999999</v>
      </c>
      <c r="G2961">
        <v>10.045199999999999</v>
      </c>
      <c r="H2961">
        <v>0.33300000000000002</v>
      </c>
    </row>
    <row r="2962" spans="1:8" x14ac:dyDescent="0.25">
      <c r="A2962" t="s">
        <v>2968</v>
      </c>
      <c r="B2962">
        <v>42153</v>
      </c>
      <c r="C2962">
        <v>7891035116513</v>
      </c>
      <c r="D2962">
        <v>17.899999999999999</v>
      </c>
      <c r="E2962">
        <v>12.7</v>
      </c>
      <c r="F2962" s="3">
        <v>0.26329999999999998</v>
      </c>
      <c r="G2962">
        <v>11.5307</v>
      </c>
      <c r="H2962">
        <v>31.167000000000002</v>
      </c>
    </row>
    <row r="2963" spans="1:8" x14ac:dyDescent="0.25">
      <c r="A2963" t="s">
        <v>2969</v>
      </c>
      <c r="B2963">
        <v>40809</v>
      </c>
      <c r="C2963">
        <v>7891035024368</v>
      </c>
      <c r="D2963">
        <v>34.9</v>
      </c>
      <c r="E2963">
        <v>25.08</v>
      </c>
      <c r="F2963" s="3">
        <v>0.25440000000000002</v>
      </c>
      <c r="G2963">
        <v>22.7943</v>
      </c>
      <c r="H2963">
        <v>1.8</v>
      </c>
    </row>
    <row r="2964" spans="1:8" x14ac:dyDescent="0.25">
      <c r="A2964" t="s">
        <v>2970</v>
      </c>
      <c r="B2964">
        <v>68526</v>
      </c>
      <c r="C2964">
        <v>51700367788</v>
      </c>
      <c r="D2964">
        <v>37.9</v>
      </c>
      <c r="E2964">
        <v>25.14</v>
      </c>
      <c r="F2964" s="3">
        <v>0.30549999999999999</v>
      </c>
      <c r="G2964">
        <v>22.8156</v>
      </c>
      <c r="H2964">
        <v>0.33300000000000002</v>
      </c>
    </row>
    <row r="2965" spans="1:8" x14ac:dyDescent="0.25">
      <c r="A2965" t="s">
        <v>2971</v>
      </c>
      <c r="B2965">
        <v>58038</v>
      </c>
      <c r="C2965">
        <v>7891150077287</v>
      </c>
      <c r="D2965">
        <v>37.9</v>
      </c>
      <c r="E2965">
        <v>28.83</v>
      </c>
      <c r="F2965" s="3">
        <v>0.22670000000000001</v>
      </c>
      <c r="G2965">
        <v>25.802499999999998</v>
      </c>
      <c r="H2965">
        <v>0.63300000000000001</v>
      </c>
    </row>
    <row r="2966" spans="1:8" x14ac:dyDescent="0.25">
      <c r="A2966" t="s">
        <v>2972</v>
      </c>
      <c r="B2966">
        <v>66974</v>
      </c>
      <c r="C2966">
        <v>7891022861310</v>
      </c>
      <c r="D2966">
        <v>11.94</v>
      </c>
      <c r="E2966">
        <v>10.77</v>
      </c>
      <c r="F2966" s="3">
        <v>9.0700000000000003E-2</v>
      </c>
      <c r="G2966">
        <v>9.7525999999999993</v>
      </c>
      <c r="H2966">
        <v>13.233000000000001</v>
      </c>
    </row>
    <row r="2967" spans="1:8" x14ac:dyDescent="0.25">
      <c r="A2967" t="s">
        <v>2973</v>
      </c>
      <c r="B2967">
        <v>66973</v>
      </c>
      <c r="C2967">
        <v>7891022861327</v>
      </c>
      <c r="D2967">
        <v>11.94</v>
      </c>
      <c r="E2967">
        <v>10.76</v>
      </c>
      <c r="F2967" s="3">
        <v>9.1899999999999996E-2</v>
      </c>
      <c r="G2967">
        <v>9.7385000000000002</v>
      </c>
      <c r="H2967">
        <v>13.2</v>
      </c>
    </row>
    <row r="2968" spans="1:8" x14ac:dyDescent="0.25">
      <c r="A2968" t="s">
        <v>2974</v>
      </c>
      <c r="B2968">
        <v>4986</v>
      </c>
      <c r="C2968">
        <v>7891022640007</v>
      </c>
      <c r="D2968">
        <v>2.6</v>
      </c>
      <c r="E2968">
        <v>1.9</v>
      </c>
      <c r="F2968" s="3">
        <v>0.24489999999999998</v>
      </c>
      <c r="G2968">
        <v>1.7228000000000001</v>
      </c>
      <c r="H2968">
        <v>74.900000000000006</v>
      </c>
    </row>
    <row r="2969" spans="1:8" x14ac:dyDescent="0.25">
      <c r="A2969" t="s">
        <v>2975</v>
      </c>
      <c r="B2969">
        <v>4987</v>
      </c>
      <c r="C2969">
        <v>7891022100372</v>
      </c>
      <c r="D2969">
        <v>2.6</v>
      </c>
      <c r="E2969">
        <v>1.88</v>
      </c>
      <c r="F2969" s="3">
        <v>0.251</v>
      </c>
      <c r="G2969">
        <v>1.7070000000000001</v>
      </c>
      <c r="H2969">
        <v>70.599999999999994</v>
      </c>
    </row>
    <row r="2970" spans="1:8" x14ac:dyDescent="0.25">
      <c r="A2970" t="s">
        <v>2976</v>
      </c>
      <c r="B2970">
        <v>4993</v>
      </c>
      <c r="C2970">
        <v>7891022637007</v>
      </c>
      <c r="D2970">
        <v>2.6</v>
      </c>
      <c r="E2970">
        <v>1.86</v>
      </c>
      <c r="F2970" s="3">
        <v>0.25280000000000002</v>
      </c>
      <c r="G2970">
        <v>1.7021999999999999</v>
      </c>
      <c r="H2970">
        <v>22.832999999999998</v>
      </c>
    </row>
    <row r="2971" spans="1:8" x14ac:dyDescent="0.25">
      <c r="A2971" t="s">
        <v>2977</v>
      </c>
      <c r="B2971">
        <v>4994</v>
      </c>
      <c r="C2971">
        <v>7891022639001</v>
      </c>
      <c r="D2971">
        <v>2.6</v>
      </c>
      <c r="E2971">
        <v>1.88</v>
      </c>
      <c r="F2971" s="3">
        <v>0.251</v>
      </c>
      <c r="G2971">
        <v>1.7068000000000001</v>
      </c>
      <c r="H2971">
        <v>19.933</v>
      </c>
    </row>
    <row r="2972" spans="1:8" x14ac:dyDescent="0.25">
      <c r="A2972" t="s">
        <v>2978</v>
      </c>
      <c r="B2972">
        <v>4995</v>
      </c>
      <c r="C2972">
        <v>7891022638004</v>
      </c>
      <c r="D2972">
        <v>2.6</v>
      </c>
      <c r="E2972">
        <v>1.89</v>
      </c>
      <c r="F2972" s="3">
        <v>0.25009999999999999</v>
      </c>
      <c r="G2972">
        <v>1.7093</v>
      </c>
      <c r="H2972">
        <v>62.103000000000002</v>
      </c>
    </row>
    <row r="2973" spans="1:8" x14ac:dyDescent="0.25">
      <c r="A2973" t="s">
        <v>2979</v>
      </c>
      <c r="B2973">
        <v>4996</v>
      </c>
      <c r="C2973">
        <v>7897664130043</v>
      </c>
      <c r="D2973">
        <v>2.6</v>
      </c>
      <c r="E2973">
        <v>1.63</v>
      </c>
      <c r="F2973" s="3">
        <v>0.3387</v>
      </c>
      <c r="G2973">
        <v>1.4787999999999999</v>
      </c>
      <c r="H2973">
        <v>19.3</v>
      </c>
    </row>
    <row r="2974" spans="1:8" x14ac:dyDescent="0.25">
      <c r="A2974" t="s">
        <v>2980</v>
      </c>
      <c r="B2974">
        <v>4989</v>
      </c>
      <c r="C2974">
        <v>7897664130302</v>
      </c>
      <c r="D2974">
        <v>2.6</v>
      </c>
      <c r="E2974">
        <v>1.97</v>
      </c>
      <c r="F2974" s="3">
        <v>0.22289999999999999</v>
      </c>
      <c r="G2974">
        <v>1.78</v>
      </c>
      <c r="H2974">
        <v>15.6</v>
      </c>
    </row>
    <row r="2975" spans="1:8" x14ac:dyDescent="0.25">
      <c r="A2975" t="s">
        <v>2981</v>
      </c>
      <c r="B2975">
        <v>4998</v>
      </c>
      <c r="C2975">
        <v>7897664130029</v>
      </c>
      <c r="D2975">
        <v>2.6</v>
      </c>
      <c r="E2975">
        <v>1.72</v>
      </c>
      <c r="F2975" s="3">
        <v>0.30269999999999997</v>
      </c>
      <c r="G2975">
        <v>1.5724</v>
      </c>
      <c r="H2975">
        <v>7.1669999999999998</v>
      </c>
    </row>
    <row r="2976" spans="1:8" x14ac:dyDescent="0.25">
      <c r="A2976" t="s">
        <v>2982</v>
      </c>
      <c r="B2976">
        <v>4999</v>
      </c>
      <c r="C2976">
        <v>7897664130012</v>
      </c>
      <c r="D2976">
        <v>2.6</v>
      </c>
      <c r="E2976">
        <v>1.63</v>
      </c>
      <c r="F2976" s="3">
        <v>0.33889999999999998</v>
      </c>
      <c r="G2976">
        <v>1.4782999999999999</v>
      </c>
      <c r="H2976">
        <v>6.4669999999999996</v>
      </c>
    </row>
    <row r="2977" spans="1:8" x14ac:dyDescent="0.25">
      <c r="A2977" t="s">
        <v>2983</v>
      </c>
      <c r="B2977">
        <v>5000</v>
      </c>
      <c r="C2977">
        <v>7897664130319</v>
      </c>
      <c r="D2977">
        <v>2.6</v>
      </c>
      <c r="E2977">
        <v>1.92</v>
      </c>
      <c r="F2977" s="3">
        <v>0.2447</v>
      </c>
      <c r="G2977">
        <v>1.7233000000000001</v>
      </c>
      <c r="H2977">
        <v>13.733000000000001</v>
      </c>
    </row>
    <row r="2978" spans="1:8" x14ac:dyDescent="0.25">
      <c r="A2978" t="s">
        <v>2984</v>
      </c>
      <c r="B2978">
        <v>5001</v>
      </c>
      <c r="C2978">
        <v>7897664130036</v>
      </c>
      <c r="D2978">
        <v>2.6</v>
      </c>
      <c r="E2978">
        <v>1.63</v>
      </c>
      <c r="F2978" s="3">
        <v>0.33679999999999999</v>
      </c>
      <c r="G2978">
        <v>1.4838</v>
      </c>
      <c r="H2978">
        <v>13.032999999999999</v>
      </c>
    </row>
    <row r="2979" spans="1:8" x14ac:dyDescent="0.25">
      <c r="A2979" t="s">
        <v>2985</v>
      </c>
      <c r="B2979">
        <v>64260</v>
      </c>
      <c r="C2979">
        <v>7891150091269</v>
      </c>
      <c r="D2979">
        <v>34.9</v>
      </c>
      <c r="E2979">
        <v>26.56</v>
      </c>
      <c r="F2979" s="3">
        <v>0.21510000000000001</v>
      </c>
      <c r="G2979">
        <v>24.164400000000001</v>
      </c>
      <c r="H2979">
        <v>8.1999999999999993</v>
      </c>
    </row>
    <row r="2980" spans="1:8" x14ac:dyDescent="0.25">
      <c r="A2980" t="s">
        <v>2986</v>
      </c>
      <c r="B2980">
        <v>37564</v>
      </c>
      <c r="C2980">
        <v>7891150044906</v>
      </c>
      <c r="D2980">
        <v>39.9</v>
      </c>
      <c r="E2980">
        <v>37.42</v>
      </c>
      <c r="F2980" s="3">
        <v>5.28E-2</v>
      </c>
      <c r="G2980">
        <v>34.100999999999999</v>
      </c>
      <c r="H2980">
        <v>17.3</v>
      </c>
    </row>
    <row r="2981" spans="1:8" x14ac:dyDescent="0.25">
      <c r="A2981" t="s">
        <v>2987</v>
      </c>
      <c r="B2981">
        <v>5003</v>
      </c>
      <c r="C2981">
        <v>7891150020689</v>
      </c>
      <c r="D2981">
        <v>39.9</v>
      </c>
      <c r="E2981">
        <v>37.56</v>
      </c>
      <c r="F2981" s="3">
        <v>5.21E-2</v>
      </c>
      <c r="G2981">
        <v>34.131399999999999</v>
      </c>
      <c r="H2981">
        <v>34.933</v>
      </c>
    </row>
    <row r="2982" spans="1:8" x14ac:dyDescent="0.25">
      <c r="A2982" t="s">
        <v>2988</v>
      </c>
      <c r="B2982">
        <v>64264</v>
      </c>
      <c r="C2982">
        <v>7891150062825</v>
      </c>
      <c r="D2982">
        <v>39.9</v>
      </c>
      <c r="E2982">
        <v>37.43</v>
      </c>
      <c r="F2982" s="3">
        <v>5.1900000000000002E-2</v>
      </c>
      <c r="G2982">
        <v>34.139899999999997</v>
      </c>
      <c r="H2982">
        <v>11</v>
      </c>
    </row>
    <row r="2983" spans="1:8" x14ac:dyDescent="0.25">
      <c r="A2983" t="s">
        <v>2989</v>
      </c>
      <c r="B2983">
        <v>56018</v>
      </c>
      <c r="C2983">
        <v>7891150067219</v>
      </c>
      <c r="D2983">
        <v>9.9</v>
      </c>
      <c r="E2983">
        <v>8.86</v>
      </c>
      <c r="F2983" s="3">
        <v>9.3900000000000011E-2</v>
      </c>
      <c r="G2983">
        <v>8.0541999999999998</v>
      </c>
      <c r="H2983">
        <v>3.7330000000000001</v>
      </c>
    </row>
    <row r="2984" spans="1:8" x14ac:dyDescent="0.25">
      <c r="A2984" t="s">
        <v>2990</v>
      </c>
      <c r="B2984">
        <v>57868</v>
      </c>
      <c r="C2984">
        <v>7891150077614</v>
      </c>
      <c r="D2984">
        <v>12.9</v>
      </c>
      <c r="E2984">
        <v>8.89</v>
      </c>
      <c r="F2984" s="3">
        <v>0.28190000000000004</v>
      </c>
      <c r="G2984">
        <v>8.07</v>
      </c>
      <c r="H2984">
        <v>0.46700000000000003</v>
      </c>
    </row>
    <row r="2985" spans="1:8" x14ac:dyDescent="0.25">
      <c r="A2985" t="s">
        <v>2991</v>
      </c>
      <c r="B2985">
        <v>59301</v>
      </c>
      <c r="C2985">
        <v>7891150077324</v>
      </c>
      <c r="D2985">
        <v>46.9</v>
      </c>
      <c r="E2985">
        <v>32.520000000000003</v>
      </c>
      <c r="F2985" s="3">
        <v>0.28190000000000004</v>
      </c>
      <c r="G2985">
        <v>29.339099999999998</v>
      </c>
      <c r="H2985">
        <v>0.26700000000000002</v>
      </c>
    </row>
    <row r="2986" spans="1:8" x14ac:dyDescent="0.25">
      <c r="A2986" t="s">
        <v>2992</v>
      </c>
      <c r="B2986">
        <v>54057</v>
      </c>
      <c r="C2986">
        <v>7891150063815</v>
      </c>
      <c r="D2986">
        <v>23.9</v>
      </c>
      <c r="E2986">
        <v>14.82</v>
      </c>
      <c r="F2986" s="3">
        <v>0.34490000000000004</v>
      </c>
      <c r="G2986">
        <v>13.445499999999999</v>
      </c>
      <c r="H2986">
        <v>0.73299999999999998</v>
      </c>
    </row>
    <row r="2987" spans="1:8" x14ac:dyDescent="0.25">
      <c r="A2987" t="s">
        <v>2993</v>
      </c>
      <c r="B2987">
        <v>54056</v>
      </c>
      <c r="C2987">
        <v>7891150063808</v>
      </c>
      <c r="D2987">
        <v>23.9</v>
      </c>
      <c r="E2987">
        <v>14.84</v>
      </c>
      <c r="F2987" s="3">
        <v>0.34570000000000001</v>
      </c>
      <c r="G2987">
        <v>13.426600000000001</v>
      </c>
      <c r="H2987">
        <v>0.6</v>
      </c>
    </row>
    <row r="2988" spans="1:8" x14ac:dyDescent="0.25">
      <c r="A2988" t="s">
        <v>2994</v>
      </c>
      <c r="B2988">
        <v>53662</v>
      </c>
      <c r="C2988">
        <v>7891150064928</v>
      </c>
      <c r="D2988">
        <v>14.9</v>
      </c>
      <c r="E2988">
        <v>12.86</v>
      </c>
      <c r="F2988" s="3">
        <v>0.12039999999999999</v>
      </c>
      <c r="G2988">
        <v>11.728199999999999</v>
      </c>
      <c r="H2988">
        <v>48.866999999999997</v>
      </c>
    </row>
    <row r="2989" spans="1:8" x14ac:dyDescent="0.25">
      <c r="A2989" t="s">
        <v>2995</v>
      </c>
      <c r="B2989">
        <v>64262</v>
      </c>
      <c r="C2989">
        <v>7891150078413</v>
      </c>
      <c r="D2989">
        <v>14.9</v>
      </c>
      <c r="E2989">
        <v>12.82</v>
      </c>
      <c r="F2989" s="3">
        <v>0.12050000000000001</v>
      </c>
      <c r="G2989">
        <v>11.7264</v>
      </c>
      <c r="H2989">
        <v>13.867000000000001</v>
      </c>
    </row>
    <row r="2990" spans="1:8" x14ac:dyDescent="0.25">
      <c r="A2990" t="s">
        <v>2996</v>
      </c>
      <c r="B2990">
        <v>53651</v>
      </c>
      <c r="C2990">
        <v>7891150064935</v>
      </c>
      <c r="D2990">
        <v>14.9</v>
      </c>
      <c r="E2990">
        <v>12.84</v>
      </c>
      <c r="F2990" s="3">
        <v>0.1206</v>
      </c>
      <c r="G2990">
        <v>11.7242</v>
      </c>
      <c r="H2990">
        <v>21.733000000000001</v>
      </c>
    </row>
    <row r="2991" spans="1:8" x14ac:dyDescent="0.25">
      <c r="A2991" t="s">
        <v>2997</v>
      </c>
      <c r="B2991">
        <v>57120</v>
      </c>
      <c r="C2991">
        <v>7891150072800</v>
      </c>
      <c r="D2991">
        <v>23.9</v>
      </c>
      <c r="E2991">
        <v>14.75</v>
      </c>
      <c r="F2991" s="3">
        <v>0.34470000000000001</v>
      </c>
      <c r="G2991">
        <v>13.4498</v>
      </c>
      <c r="H2991">
        <v>1.0669999999999999</v>
      </c>
    </row>
    <row r="2992" spans="1:8" x14ac:dyDescent="0.25">
      <c r="A2992" t="s">
        <v>2998</v>
      </c>
      <c r="B2992">
        <v>55483</v>
      </c>
      <c r="C2992">
        <v>7891150061415</v>
      </c>
      <c r="D2992">
        <v>46.9</v>
      </c>
      <c r="E2992">
        <v>33.270000000000003</v>
      </c>
      <c r="F2992" s="3">
        <v>0.26280000000000003</v>
      </c>
      <c r="G2992">
        <v>30.2347</v>
      </c>
      <c r="H2992">
        <v>1.333</v>
      </c>
    </row>
    <row r="2993" spans="1:8" x14ac:dyDescent="0.25">
      <c r="A2993" t="s">
        <v>2999</v>
      </c>
      <c r="B2993">
        <v>55330</v>
      </c>
      <c r="C2993">
        <v>7891150061903</v>
      </c>
      <c r="D2993">
        <v>46.9</v>
      </c>
      <c r="E2993">
        <v>34.17</v>
      </c>
      <c r="F2993" s="3">
        <v>0.2452</v>
      </c>
      <c r="G2993">
        <v>31.062200000000001</v>
      </c>
      <c r="H2993">
        <v>0.63300000000000001</v>
      </c>
    </row>
    <row r="2994" spans="1:8" x14ac:dyDescent="0.25">
      <c r="A2994" t="s">
        <v>3000</v>
      </c>
      <c r="B2994">
        <v>55560</v>
      </c>
      <c r="C2994">
        <v>7891150067202</v>
      </c>
      <c r="D2994">
        <v>9.9</v>
      </c>
      <c r="E2994">
        <v>8.8699999999999992</v>
      </c>
      <c r="F2994" s="3">
        <v>9.4499999999999987E-2</v>
      </c>
      <c r="G2994">
        <v>8.0488999999999997</v>
      </c>
      <c r="H2994">
        <v>0.33300000000000002</v>
      </c>
    </row>
    <row r="2995" spans="1:8" x14ac:dyDescent="0.25">
      <c r="A2995" t="s">
        <v>3001</v>
      </c>
      <c r="B2995">
        <v>56187</v>
      </c>
      <c r="C2995">
        <v>7891150063495</v>
      </c>
      <c r="D2995">
        <v>36.9</v>
      </c>
      <c r="E2995">
        <v>25.26</v>
      </c>
      <c r="F2995" s="3">
        <v>0.28470000000000001</v>
      </c>
      <c r="G2995">
        <v>22.981300000000001</v>
      </c>
      <c r="H2995">
        <v>1.2330000000000001</v>
      </c>
    </row>
    <row r="2996" spans="1:8" x14ac:dyDescent="0.25">
      <c r="A2996" t="s">
        <v>3002</v>
      </c>
      <c r="B2996">
        <v>56188</v>
      </c>
      <c r="C2996">
        <v>7891150063631</v>
      </c>
      <c r="D2996">
        <v>36.9</v>
      </c>
      <c r="E2996">
        <v>24.59</v>
      </c>
      <c r="F2996" s="3">
        <v>0.29530000000000001</v>
      </c>
      <c r="G2996">
        <v>22.591200000000001</v>
      </c>
      <c r="H2996">
        <v>0.86699999999999999</v>
      </c>
    </row>
    <row r="2997" spans="1:8" x14ac:dyDescent="0.25">
      <c r="A2997" t="s">
        <v>3003</v>
      </c>
      <c r="B2997">
        <v>64255</v>
      </c>
      <c r="C2997">
        <v>7891150091047</v>
      </c>
      <c r="D2997">
        <v>12.99</v>
      </c>
      <c r="E2997">
        <v>8.2799999999999994</v>
      </c>
      <c r="F2997" s="3">
        <v>0.32729999999999998</v>
      </c>
      <c r="G2997">
        <v>7.5373000000000001</v>
      </c>
      <c r="H2997">
        <v>18.533000000000001</v>
      </c>
    </row>
    <row r="2998" spans="1:8" x14ac:dyDescent="0.25">
      <c r="A2998" t="s">
        <v>3004</v>
      </c>
      <c r="B2998">
        <v>64256</v>
      </c>
      <c r="C2998">
        <v>7891150091030</v>
      </c>
      <c r="D2998">
        <v>12.99</v>
      </c>
      <c r="E2998">
        <v>8.23</v>
      </c>
      <c r="F2998" s="3">
        <v>0.32799999999999996</v>
      </c>
      <c r="G2998">
        <v>7.5277000000000003</v>
      </c>
      <c r="H2998">
        <v>17.367000000000001</v>
      </c>
    </row>
    <row r="2999" spans="1:8" x14ac:dyDescent="0.25">
      <c r="A2999" t="s">
        <v>3005</v>
      </c>
      <c r="B2999">
        <v>12292</v>
      </c>
      <c r="C2999">
        <v>7896098900369</v>
      </c>
      <c r="D2999">
        <v>17.899999999999999</v>
      </c>
      <c r="E2999">
        <v>10.24</v>
      </c>
      <c r="F2999" s="3">
        <v>0.39289999999999997</v>
      </c>
      <c r="G2999">
        <v>9.2112999999999996</v>
      </c>
      <c r="H2999">
        <v>0.9</v>
      </c>
    </row>
    <row r="3000" spans="1:8" x14ac:dyDescent="0.25">
      <c r="A3000" t="s">
        <v>3006</v>
      </c>
      <c r="B3000">
        <v>36541</v>
      </c>
      <c r="C3000">
        <v>7896098901168</v>
      </c>
      <c r="D3000">
        <v>43.9</v>
      </c>
      <c r="E3000">
        <v>23.32</v>
      </c>
      <c r="F3000" s="3">
        <v>0.42920000000000003</v>
      </c>
      <c r="G3000">
        <v>20.995200000000001</v>
      </c>
      <c r="H3000">
        <v>0.16700000000000001</v>
      </c>
    </row>
    <row r="3001" spans="1:8" x14ac:dyDescent="0.25">
      <c r="A3001" t="s">
        <v>3007</v>
      </c>
      <c r="B3001">
        <v>49096</v>
      </c>
      <c r="C3001">
        <v>7896098901328</v>
      </c>
      <c r="D3001">
        <v>39.5</v>
      </c>
      <c r="E3001">
        <v>21.83</v>
      </c>
      <c r="F3001" s="3">
        <v>0.39590000000000003</v>
      </c>
      <c r="G3001">
        <v>20.2089</v>
      </c>
      <c r="H3001">
        <v>1.0329999999999999</v>
      </c>
    </row>
    <row r="3002" spans="1:8" x14ac:dyDescent="0.25">
      <c r="A3002" t="s">
        <v>3008</v>
      </c>
      <c r="B3002">
        <v>12291</v>
      </c>
      <c r="C3002">
        <v>7896098900352</v>
      </c>
      <c r="D3002">
        <v>17.899999999999999</v>
      </c>
      <c r="E3002">
        <v>9.19</v>
      </c>
      <c r="F3002" s="3">
        <v>0.4446</v>
      </c>
      <c r="G3002">
        <v>8.2850999999999999</v>
      </c>
      <c r="H3002">
        <v>0.76700000000000002</v>
      </c>
    </row>
    <row r="3003" spans="1:8" x14ac:dyDescent="0.25">
      <c r="A3003" t="s">
        <v>3009</v>
      </c>
      <c r="B3003">
        <v>19525</v>
      </c>
      <c r="C3003">
        <v>7891035080302</v>
      </c>
      <c r="D3003">
        <v>31.12</v>
      </c>
      <c r="E3003">
        <v>22.95</v>
      </c>
      <c r="F3003" s="3">
        <v>0.2394</v>
      </c>
      <c r="G3003">
        <v>20.790600000000001</v>
      </c>
      <c r="H3003">
        <v>0.7</v>
      </c>
    </row>
    <row r="3004" spans="1:8" x14ac:dyDescent="0.25">
      <c r="A3004" t="s">
        <v>3010</v>
      </c>
      <c r="B3004">
        <v>58925</v>
      </c>
      <c r="C3004">
        <v>7896098902820</v>
      </c>
      <c r="D3004">
        <v>19.899999999999999</v>
      </c>
      <c r="E3004">
        <v>10.37</v>
      </c>
      <c r="F3004" s="3">
        <v>0.43490000000000001</v>
      </c>
      <c r="G3004">
        <v>9.4053000000000004</v>
      </c>
      <c r="H3004">
        <v>0.86699999999999999</v>
      </c>
    </row>
    <row r="3005" spans="1:8" x14ac:dyDescent="0.25">
      <c r="A3005" t="s">
        <v>3011</v>
      </c>
      <c r="B3005">
        <v>24921</v>
      </c>
      <c r="C3005">
        <v>7896098900840</v>
      </c>
      <c r="D3005">
        <v>14.5</v>
      </c>
      <c r="E3005">
        <v>9.4</v>
      </c>
      <c r="F3005" s="3">
        <v>0.3206</v>
      </c>
      <c r="G3005">
        <v>8.5106999999999999</v>
      </c>
      <c r="H3005">
        <v>18.3</v>
      </c>
    </row>
    <row r="3006" spans="1:8" x14ac:dyDescent="0.25">
      <c r="A3006" t="s">
        <v>3012</v>
      </c>
      <c r="B3006">
        <v>66972</v>
      </c>
      <c r="C3006">
        <v>7896098901915</v>
      </c>
      <c r="D3006">
        <v>14.5</v>
      </c>
      <c r="E3006">
        <v>9.42</v>
      </c>
      <c r="F3006" s="3">
        <v>0.31980000000000003</v>
      </c>
      <c r="G3006">
        <v>8.5213999999999999</v>
      </c>
      <c r="H3006">
        <v>13.532999999999999</v>
      </c>
    </row>
    <row r="3007" spans="1:8" x14ac:dyDescent="0.25">
      <c r="A3007" t="s">
        <v>3013</v>
      </c>
      <c r="B3007">
        <v>47538</v>
      </c>
      <c r="C3007">
        <v>7896098902042</v>
      </c>
      <c r="D3007">
        <v>2.7</v>
      </c>
      <c r="E3007">
        <v>1.79</v>
      </c>
      <c r="F3007" s="3">
        <v>0.30010000000000003</v>
      </c>
      <c r="G3007">
        <v>1.6398999999999999</v>
      </c>
      <c r="H3007">
        <v>37.799999999999997</v>
      </c>
    </row>
    <row r="3008" spans="1:8" x14ac:dyDescent="0.25">
      <c r="A3008" t="s">
        <v>3014</v>
      </c>
      <c r="B3008">
        <v>4940</v>
      </c>
      <c r="C3008">
        <v>7896098900253</v>
      </c>
      <c r="D3008">
        <v>2.7</v>
      </c>
      <c r="E3008">
        <v>1.86</v>
      </c>
      <c r="F3008" s="3">
        <v>0.28129999999999999</v>
      </c>
      <c r="G3008">
        <v>1.6907000000000001</v>
      </c>
      <c r="H3008">
        <v>129.30000000000001</v>
      </c>
    </row>
    <row r="3009" spans="1:8" x14ac:dyDescent="0.25">
      <c r="A3009" t="s">
        <v>3015</v>
      </c>
      <c r="B3009">
        <v>4942</v>
      </c>
      <c r="C3009">
        <v>7896098900277</v>
      </c>
      <c r="D3009">
        <v>2.7</v>
      </c>
      <c r="E3009">
        <v>1.77</v>
      </c>
      <c r="F3009" s="3">
        <v>0.31180000000000002</v>
      </c>
      <c r="G3009">
        <v>1.6085</v>
      </c>
      <c r="H3009">
        <v>24.933</v>
      </c>
    </row>
    <row r="3010" spans="1:8" x14ac:dyDescent="0.25">
      <c r="A3010" t="s">
        <v>3016</v>
      </c>
      <c r="B3010">
        <v>4941</v>
      </c>
      <c r="C3010">
        <v>7896098900239</v>
      </c>
      <c r="D3010">
        <v>2.7</v>
      </c>
      <c r="E3010">
        <v>1.83</v>
      </c>
      <c r="F3010" s="3">
        <v>0.28970000000000001</v>
      </c>
      <c r="G3010">
        <v>1.6679999999999999</v>
      </c>
      <c r="H3010">
        <v>63.533000000000001</v>
      </c>
    </row>
    <row r="3011" spans="1:8" x14ac:dyDescent="0.25">
      <c r="A3011" t="s">
        <v>3017</v>
      </c>
      <c r="B3011">
        <v>4943</v>
      </c>
      <c r="C3011">
        <v>7896098900222</v>
      </c>
      <c r="D3011">
        <v>2.7</v>
      </c>
      <c r="E3011">
        <v>1.8</v>
      </c>
      <c r="F3011" s="3">
        <v>0.29630000000000001</v>
      </c>
      <c r="G3011">
        <v>1.6501999999999999</v>
      </c>
      <c r="H3011">
        <v>21.567</v>
      </c>
    </row>
    <row r="3012" spans="1:8" x14ac:dyDescent="0.25">
      <c r="A3012" t="s">
        <v>3018</v>
      </c>
      <c r="B3012">
        <v>4944</v>
      </c>
      <c r="C3012">
        <v>7896098900215</v>
      </c>
      <c r="D3012">
        <v>2.7</v>
      </c>
      <c r="E3012">
        <v>1.78</v>
      </c>
      <c r="F3012" s="3">
        <v>0.3049</v>
      </c>
      <c r="G3012">
        <v>1.627</v>
      </c>
      <c r="H3012">
        <v>19.466999999999999</v>
      </c>
    </row>
    <row r="3013" spans="1:8" x14ac:dyDescent="0.25">
      <c r="A3013" t="s">
        <v>3019</v>
      </c>
      <c r="B3013">
        <v>4945</v>
      </c>
      <c r="C3013">
        <v>7896098900208</v>
      </c>
      <c r="D3013">
        <v>2.7</v>
      </c>
      <c r="E3013">
        <v>1.74</v>
      </c>
      <c r="F3013" s="3">
        <v>0.32429999999999998</v>
      </c>
      <c r="G3013">
        <v>1.5746</v>
      </c>
      <c r="H3013">
        <v>67.533000000000001</v>
      </c>
    </row>
    <row r="3014" spans="1:8" x14ac:dyDescent="0.25">
      <c r="A3014" t="s">
        <v>3020</v>
      </c>
      <c r="B3014">
        <v>69200</v>
      </c>
      <c r="C3014">
        <v>7896098905258</v>
      </c>
      <c r="D3014">
        <v>20.9</v>
      </c>
      <c r="E3014">
        <v>16.87</v>
      </c>
      <c r="F3014" s="3">
        <v>0.17489999999999997</v>
      </c>
      <c r="G3014">
        <v>15.312099999999999</v>
      </c>
      <c r="H3014">
        <v>1.365</v>
      </c>
    </row>
    <row r="3015" spans="1:8" x14ac:dyDescent="0.25">
      <c r="A3015" t="s">
        <v>3021</v>
      </c>
      <c r="B3015">
        <v>69199</v>
      </c>
      <c r="C3015">
        <v>7896098905203</v>
      </c>
      <c r="D3015">
        <v>20.9</v>
      </c>
      <c r="E3015">
        <v>16.87</v>
      </c>
      <c r="F3015" s="3">
        <v>0.17489999999999997</v>
      </c>
      <c r="G3015">
        <v>15.311500000000001</v>
      </c>
      <c r="H3015">
        <v>3.2330000000000001</v>
      </c>
    </row>
    <row r="3016" spans="1:8" x14ac:dyDescent="0.25">
      <c r="A3016" t="s">
        <v>3022</v>
      </c>
      <c r="B3016">
        <v>65392</v>
      </c>
      <c r="C3016">
        <v>7891150091504</v>
      </c>
      <c r="D3016">
        <v>31.9</v>
      </c>
      <c r="E3016">
        <v>21.29</v>
      </c>
      <c r="F3016" s="3">
        <v>0.3019</v>
      </c>
      <c r="G3016">
        <v>19.317799999999998</v>
      </c>
      <c r="H3016">
        <v>0</v>
      </c>
    </row>
    <row r="3017" spans="1:8" x14ac:dyDescent="0.25">
      <c r="A3017" t="s">
        <v>3023</v>
      </c>
      <c r="B3017">
        <v>65393</v>
      </c>
      <c r="C3017">
        <v>7891150093867</v>
      </c>
      <c r="D3017">
        <v>31.9</v>
      </c>
      <c r="E3017">
        <v>20.95</v>
      </c>
      <c r="F3017" s="3">
        <v>0.3115</v>
      </c>
      <c r="G3017">
        <v>19.0136</v>
      </c>
      <c r="H3017">
        <v>0.16700000000000001</v>
      </c>
    </row>
    <row r="3018" spans="1:8" x14ac:dyDescent="0.25">
      <c r="A3018" t="s">
        <v>3024</v>
      </c>
      <c r="B3018">
        <v>56239</v>
      </c>
      <c r="C3018">
        <v>7891150086555</v>
      </c>
      <c r="D3018">
        <v>31.9</v>
      </c>
      <c r="E3018">
        <v>21.44</v>
      </c>
      <c r="F3018" s="3">
        <v>0.29670000000000002</v>
      </c>
      <c r="G3018">
        <v>19.484500000000001</v>
      </c>
      <c r="H3018">
        <v>1</v>
      </c>
    </row>
    <row r="3019" spans="1:8" x14ac:dyDescent="0.25">
      <c r="A3019" t="s">
        <v>3025</v>
      </c>
      <c r="B3019">
        <v>65394</v>
      </c>
      <c r="C3019">
        <v>7891150091535</v>
      </c>
      <c r="D3019">
        <v>30.9</v>
      </c>
      <c r="E3019">
        <v>20.97</v>
      </c>
      <c r="F3019" s="3">
        <v>0.29160000000000003</v>
      </c>
      <c r="G3019">
        <v>19.0304</v>
      </c>
      <c r="H3019">
        <v>0</v>
      </c>
    </row>
    <row r="3020" spans="1:8" x14ac:dyDescent="0.25">
      <c r="A3020" t="s">
        <v>3026</v>
      </c>
      <c r="B3020">
        <v>61788</v>
      </c>
      <c r="C3020">
        <v>7891150086579</v>
      </c>
      <c r="D3020">
        <v>59.9</v>
      </c>
      <c r="E3020">
        <v>46.41</v>
      </c>
      <c r="F3020" s="3">
        <v>0.20399999999999999</v>
      </c>
      <c r="G3020">
        <v>42.138399999999997</v>
      </c>
      <c r="H3020">
        <v>0.53300000000000003</v>
      </c>
    </row>
    <row r="3021" spans="1:8" x14ac:dyDescent="0.25">
      <c r="A3021" t="s">
        <v>3027</v>
      </c>
      <c r="B3021">
        <v>65395</v>
      </c>
      <c r="C3021">
        <v>7891150091481</v>
      </c>
      <c r="D3021">
        <v>16.899999999999999</v>
      </c>
      <c r="E3021">
        <v>11.16</v>
      </c>
      <c r="F3021" s="3">
        <v>0.3085</v>
      </c>
      <c r="G3021">
        <v>10.1235</v>
      </c>
      <c r="H3021">
        <v>0.66700000000000004</v>
      </c>
    </row>
    <row r="3022" spans="1:8" x14ac:dyDescent="0.25">
      <c r="A3022" t="s">
        <v>3028</v>
      </c>
      <c r="B3022">
        <v>38962</v>
      </c>
      <c r="C3022">
        <v>7891035024351</v>
      </c>
      <c r="D3022">
        <v>64.900000000000006</v>
      </c>
      <c r="E3022">
        <v>44.58</v>
      </c>
      <c r="F3022" s="3">
        <v>0.28410000000000002</v>
      </c>
      <c r="G3022">
        <v>40.4557</v>
      </c>
      <c r="H3022">
        <v>1.133</v>
      </c>
    </row>
    <row r="3023" spans="1:8" x14ac:dyDescent="0.25">
      <c r="A3023" t="s">
        <v>3029</v>
      </c>
      <c r="B3023">
        <v>54859</v>
      </c>
      <c r="C3023">
        <v>7891035024399</v>
      </c>
      <c r="D3023">
        <v>30.9</v>
      </c>
      <c r="E3023">
        <v>22.07</v>
      </c>
      <c r="F3023" s="3">
        <v>0.25920000000000004</v>
      </c>
      <c r="G3023">
        <v>20.031600000000001</v>
      </c>
      <c r="H3023">
        <v>1.7669999999999999</v>
      </c>
    </row>
    <row r="3024" spans="1:8" x14ac:dyDescent="0.25">
      <c r="A3024" t="s">
        <v>3030</v>
      </c>
      <c r="B3024">
        <v>56856</v>
      </c>
      <c r="C3024">
        <v>7891035000133</v>
      </c>
      <c r="D3024">
        <v>48.9</v>
      </c>
      <c r="E3024">
        <v>32.5</v>
      </c>
      <c r="F3024" s="3">
        <v>0.3014</v>
      </c>
      <c r="G3024">
        <v>29.6401</v>
      </c>
      <c r="H3024">
        <v>1.667</v>
      </c>
    </row>
    <row r="3025" spans="1:8" x14ac:dyDescent="0.25">
      <c r="A3025" t="s">
        <v>3031</v>
      </c>
      <c r="B3025">
        <v>59269</v>
      </c>
      <c r="C3025">
        <v>7891150081147</v>
      </c>
      <c r="D3025">
        <v>30.9</v>
      </c>
      <c r="E3025">
        <v>22.23</v>
      </c>
      <c r="F3025" s="3">
        <v>0.25440000000000002</v>
      </c>
      <c r="G3025">
        <v>20.180299999999999</v>
      </c>
      <c r="H3025">
        <v>7.9329999999999998</v>
      </c>
    </row>
    <row r="3026" spans="1:8" x14ac:dyDescent="0.25">
      <c r="A3026" t="s">
        <v>3032</v>
      </c>
      <c r="B3026">
        <v>67805</v>
      </c>
      <c r="C3026">
        <v>7891150093546</v>
      </c>
      <c r="D3026">
        <v>19.899999999999999</v>
      </c>
      <c r="E3026">
        <v>18.61</v>
      </c>
      <c r="F3026" s="3">
        <v>4.7800000000000002E-2</v>
      </c>
      <c r="G3026">
        <v>17.1084</v>
      </c>
      <c r="H3026">
        <v>87</v>
      </c>
    </row>
    <row r="3027" spans="1:8" x14ac:dyDescent="0.25">
      <c r="A3027" t="s">
        <v>3033</v>
      </c>
      <c r="B3027">
        <v>53639</v>
      </c>
      <c r="C3027">
        <v>7891150064331</v>
      </c>
      <c r="D3027">
        <v>33.9</v>
      </c>
      <c r="E3027">
        <v>25.89</v>
      </c>
      <c r="F3027" s="3">
        <v>0.20350000000000001</v>
      </c>
      <c r="G3027">
        <v>23.867000000000001</v>
      </c>
      <c r="H3027">
        <v>1.4</v>
      </c>
    </row>
    <row r="3028" spans="1:8" x14ac:dyDescent="0.25">
      <c r="A3028" t="s">
        <v>3034</v>
      </c>
      <c r="B3028">
        <v>63889</v>
      </c>
      <c r="C3028">
        <v>7891150080201</v>
      </c>
      <c r="D3028">
        <v>33.9</v>
      </c>
      <c r="E3028">
        <v>26.78</v>
      </c>
      <c r="F3028" s="3">
        <v>0.18960000000000002</v>
      </c>
      <c r="G3028">
        <v>24.338100000000001</v>
      </c>
      <c r="H3028">
        <v>0.66700000000000004</v>
      </c>
    </row>
    <row r="3029" spans="1:8" x14ac:dyDescent="0.25">
      <c r="A3029" t="s">
        <v>3035</v>
      </c>
      <c r="B3029">
        <v>53643</v>
      </c>
      <c r="C3029">
        <v>7891150064676</v>
      </c>
      <c r="D3029">
        <v>33.9</v>
      </c>
      <c r="E3029">
        <v>26.53</v>
      </c>
      <c r="F3029" s="3">
        <v>0.20800000000000002</v>
      </c>
      <c r="G3029">
        <v>23.7133</v>
      </c>
      <c r="H3029">
        <v>0.13300000000000001</v>
      </c>
    </row>
    <row r="3030" spans="1:8" x14ac:dyDescent="0.25">
      <c r="A3030" t="s">
        <v>3036</v>
      </c>
      <c r="B3030">
        <v>57459</v>
      </c>
      <c r="C3030">
        <v>7891150072152</v>
      </c>
      <c r="D3030">
        <v>32.9</v>
      </c>
      <c r="E3030">
        <v>21.88</v>
      </c>
      <c r="F3030" s="3">
        <v>0.30269999999999997</v>
      </c>
      <c r="G3030">
        <v>19.897099999999998</v>
      </c>
      <c r="H3030">
        <v>0.36699999999999999</v>
      </c>
    </row>
    <row r="3031" spans="1:8" x14ac:dyDescent="0.25">
      <c r="A3031" t="s">
        <v>3037</v>
      </c>
      <c r="B3031">
        <v>58463</v>
      </c>
      <c r="C3031">
        <v>7891150069121</v>
      </c>
      <c r="D3031">
        <v>39.9</v>
      </c>
      <c r="E3031">
        <v>27.67</v>
      </c>
      <c r="F3031" s="3">
        <v>0.27949999999999997</v>
      </c>
      <c r="G3031">
        <v>25.056799999999999</v>
      </c>
      <c r="H3031">
        <v>16.667000000000002</v>
      </c>
    </row>
    <row r="3032" spans="1:8" x14ac:dyDescent="0.25">
      <c r="A3032" t="s">
        <v>3038</v>
      </c>
      <c r="B3032">
        <v>62165</v>
      </c>
      <c r="C3032">
        <v>7891150087231</v>
      </c>
      <c r="D3032">
        <v>39.9</v>
      </c>
      <c r="E3032">
        <v>28.61</v>
      </c>
      <c r="F3032" s="3">
        <v>0.25700000000000001</v>
      </c>
      <c r="G3032">
        <v>25.953800000000001</v>
      </c>
      <c r="H3032">
        <v>6.633</v>
      </c>
    </row>
    <row r="3033" spans="1:8" x14ac:dyDescent="0.25">
      <c r="A3033" t="s">
        <v>3039</v>
      </c>
      <c r="B3033">
        <v>57867</v>
      </c>
      <c r="C3033">
        <v>7891150072237</v>
      </c>
      <c r="D3033">
        <v>38.9</v>
      </c>
      <c r="E3033">
        <v>25.09</v>
      </c>
      <c r="F3033" s="3">
        <v>0.32219999999999999</v>
      </c>
      <c r="G3033">
        <v>22.7698</v>
      </c>
      <c r="H3033">
        <v>3.633</v>
      </c>
    </row>
    <row r="3034" spans="1:8" x14ac:dyDescent="0.25">
      <c r="A3034" t="s">
        <v>3040</v>
      </c>
      <c r="B3034">
        <v>64258</v>
      </c>
      <c r="C3034">
        <v>7891150092204</v>
      </c>
      <c r="D3034">
        <v>13.9</v>
      </c>
      <c r="E3034">
        <v>14.38</v>
      </c>
      <c r="F3034" s="3">
        <v>-3.73E-2</v>
      </c>
      <c r="G3034">
        <v>13.132899999999999</v>
      </c>
      <c r="H3034">
        <v>18.667000000000002</v>
      </c>
    </row>
    <row r="3035" spans="1:8" x14ac:dyDescent="0.25">
      <c r="A3035" t="s">
        <v>3041</v>
      </c>
      <c r="B3035">
        <v>68037</v>
      </c>
      <c r="C3035">
        <v>7891150100244</v>
      </c>
      <c r="D3035">
        <v>11.9</v>
      </c>
      <c r="E3035">
        <v>9.34</v>
      </c>
      <c r="F3035" s="3">
        <v>0.1832</v>
      </c>
      <c r="G3035">
        <v>8.6186000000000007</v>
      </c>
      <c r="H3035">
        <v>84</v>
      </c>
    </row>
    <row r="3036" spans="1:8" x14ac:dyDescent="0.25">
      <c r="A3036" t="s">
        <v>3042</v>
      </c>
      <c r="B3036">
        <v>53638</v>
      </c>
      <c r="C3036">
        <v>7891150064317</v>
      </c>
      <c r="D3036">
        <v>18.899999999999999</v>
      </c>
      <c r="E3036">
        <v>13.76</v>
      </c>
      <c r="F3036" s="3">
        <v>0.23769999999999999</v>
      </c>
      <c r="G3036">
        <v>12.659700000000001</v>
      </c>
      <c r="H3036">
        <v>3.9</v>
      </c>
    </row>
    <row r="3037" spans="1:8" x14ac:dyDescent="0.25">
      <c r="A3037" t="s">
        <v>3043</v>
      </c>
      <c r="B3037">
        <v>63888</v>
      </c>
      <c r="C3037">
        <v>7891150080188</v>
      </c>
      <c r="D3037">
        <v>18.899999999999999</v>
      </c>
      <c r="E3037">
        <v>14.91</v>
      </c>
      <c r="F3037" s="3">
        <v>0.191</v>
      </c>
      <c r="G3037">
        <v>13.541499999999999</v>
      </c>
      <c r="H3037">
        <v>1.7</v>
      </c>
    </row>
    <row r="3038" spans="1:8" x14ac:dyDescent="0.25">
      <c r="A3038" t="s">
        <v>3044</v>
      </c>
      <c r="B3038">
        <v>57458</v>
      </c>
      <c r="C3038">
        <v>7891150072138</v>
      </c>
      <c r="D3038">
        <v>17.899999999999999</v>
      </c>
      <c r="E3038">
        <v>13.49</v>
      </c>
      <c r="F3038" s="3">
        <v>0.217</v>
      </c>
      <c r="G3038">
        <v>12.3599</v>
      </c>
      <c r="H3038">
        <v>1.8</v>
      </c>
    </row>
    <row r="3039" spans="1:8" x14ac:dyDescent="0.25">
      <c r="A3039" t="s">
        <v>3045</v>
      </c>
      <c r="B3039">
        <v>61787</v>
      </c>
      <c r="C3039">
        <v>7891150069053</v>
      </c>
      <c r="D3039">
        <v>68.900000000000006</v>
      </c>
      <c r="E3039">
        <v>53.19</v>
      </c>
      <c r="F3039" s="3">
        <v>0.20300000000000001</v>
      </c>
      <c r="G3039">
        <v>48.539000000000001</v>
      </c>
      <c r="H3039">
        <v>0.86699999999999999</v>
      </c>
    </row>
    <row r="3040" spans="1:8" x14ac:dyDescent="0.25">
      <c r="A3040" t="s">
        <v>3046</v>
      </c>
      <c r="B3040">
        <v>57332</v>
      </c>
      <c r="C3040">
        <v>7891150086821</v>
      </c>
      <c r="D3040">
        <v>25.9</v>
      </c>
      <c r="E3040">
        <v>15.9</v>
      </c>
      <c r="F3040" s="3">
        <v>0.35009999999999997</v>
      </c>
      <c r="G3040">
        <v>14.437799999999999</v>
      </c>
      <c r="H3040">
        <v>1.367</v>
      </c>
    </row>
    <row r="3041" spans="1:8" x14ac:dyDescent="0.25">
      <c r="A3041" t="s">
        <v>3047</v>
      </c>
      <c r="B3041">
        <v>62338</v>
      </c>
      <c r="C3041">
        <v>7896098905005</v>
      </c>
      <c r="D3041">
        <v>32.9</v>
      </c>
      <c r="E3041">
        <v>16.91</v>
      </c>
      <c r="F3041" s="3">
        <v>0.44109999999999999</v>
      </c>
      <c r="G3041">
        <v>15.343400000000001</v>
      </c>
      <c r="H3041">
        <v>0.1</v>
      </c>
    </row>
    <row r="3042" spans="1:8" x14ac:dyDescent="0.25">
      <c r="A3042" t="s">
        <v>3048</v>
      </c>
      <c r="B3042">
        <v>66754</v>
      </c>
      <c r="C3042">
        <v>7896098909607</v>
      </c>
      <c r="D3042">
        <v>28.7</v>
      </c>
      <c r="E3042">
        <v>14.24</v>
      </c>
      <c r="F3042" s="3">
        <v>0.45710000000000001</v>
      </c>
      <c r="G3042">
        <v>12.927199999999999</v>
      </c>
      <c r="H3042">
        <v>2.2000000000000002</v>
      </c>
    </row>
    <row r="3043" spans="1:8" x14ac:dyDescent="0.25">
      <c r="A3043" t="s">
        <v>3049</v>
      </c>
      <c r="B3043">
        <v>66753</v>
      </c>
      <c r="C3043">
        <v>7896098906750</v>
      </c>
      <c r="D3043">
        <v>26.9</v>
      </c>
      <c r="E3043">
        <v>19.7</v>
      </c>
      <c r="F3043" s="3">
        <v>0.26719999999999999</v>
      </c>
      <c r="G3043">
        <v>17.224299999999999</v>
      </c>
      <c r="H3043">
        <v>3.367</v>
      </c>
    </row>
    <row r="3044" spans="1:8" x14ac:dyDescent="0.25">
      <c r="A3044" t="s">
        <v>3050</v>
      </c>
      <c r="B3044">
        <v>63667</v>
      </c>
      <c r="C3044">
        <v>7896098909737</v>
      </c>
      <c r="D3044">
        <v>8.9</v>
      </c>
      <c r="E3044">
        <v>3.8</v>
      </c>
      <c r="F3044" s="3">
        <v>0.52</v>
      </c>
      <c r="G3044">
        <v>3.4487999999999999</v>
      </c>
      <c r="H3044">
        <v>7.2329999999999997</v>
      </c>
    </row>
    <row r="3045" spans="1:8" x14ac:dyDescent="0.25">
      <c r="A3045" t="s">
        <v>3051</v>
      </c>
      <c r="B3045">
        <v>63666</v>
      </c>
      <c r="C3045">
        <v>7896098909720</v>
      </c>
      <c r="D3045">
        <v>8.9</v>
      </c>
      <c r="E3045">
        <v>3.82</v>
      </c>
      <c r="F3045" s="3">
        <v>0.51960000000000006</v>
      </c>
      <c r="G3045">
        <v>3.4527000000000001</v>
      </c>
      <c r="H3045">
        <v>6.3330000000000002</v>
      </c>
    </row>
    <row r="3046" spans="1:8" x14ac:dyDescent="0.25">
      <c r="A3046" t="s">
        <v>3052</v>
      </c>
      <c r="B3046">
        <v>69208</v>
      </c>
      <c r="C3046">
        <v>7896098909881</v>
      </c>
      <c r="D3046">
        <v>38.9</v>
      </c>
      <c r="E3046">
        <v>26.38</v>
      </c>
      <c r="F3046" s="3">
        <v>0.29210000000000003</v>
      </c>
      <c r="G3046">
        <v>23.937200000000001</v>
      </c>
      <c r="H3046">
        <v>0.9</v>
      </c>
    </row>
    <row r="3047" spans="1:8" x14ac:dyDescent="0.25">
      <c r="A3047" t="s">
        <v>3053</v>
      </c>
      <c r="B3047">
        <v>69207</v>
      </c>
      <c r="C3047">
        <v>7896098909874</v>
      </c>
      <c r="D3047">
        <v>38.9</v>
      </c>
      <c r="E3047">
        <v>26.38</v>
      </c>
      <c r="F3047" s="3">
        <v>0.29210000000000003</v>
      </c>
      <c r="G3047">
        <v>23.9377</v>
      </c>
      <c r="H3047">
        <v>1.667</v>
      </c>
    </row>
    <row r="3048" spans="1:8" x14ac:dyDescent="0.25">
      <c r="A3048" t="s">
        <v>3054</v>
      </c>
      <c r="B3048">
        <v>46016</v>
      </c>
      <c r="C3048">
        <v>7896098909775</v>
      </c>
      <c r="D3048">
        <v>24.9</v>
      </c>
      <c r="E3048">
        <v>12.91</v>
      </c>
      <c r="F3048" s="3">
        <v>0.43719999999999998</v>
      </c>
      <c r="G3048">
        <v>11.711</v>
      </c>
      <c r="H3048">
        <v>0.8</v>
      </c>
    </row>
    <row r="3049" spans="1:8" x14ac:dyDescent="0.25">
      <c r="A3049" t="s">
        <v>3055</v>
      </c>
      <c r="B3049">
        <v>16783</v>
      </c>
      <c r="C3049">
        <v>7896098909768</v>
      </c>
      <c r="D3049">
        <v>24.9</v>
      </c>
      <c r="E3049">
        <v>13.28</v>
      </c>
      <c r="F3049" s="3">
        <v>0.42530000000000001</v>
      </c>
      <c r="G3049">
        <v>12.0063</v>
      </c>
      <c r="H3049">
        <v>1.1000000000000001</v>
      </c>
    </row>
    <row r="3050" spans="1:8" x14ac:dyDescent="0.25">
      <c r="A3050" t="s">
        <v>3056</v>
      </c>
      <c r="B3050">
        <v>61617</v>
      </c>
      <c r="C3050">
        <v>7896098909904</v>
      </c>
      <c r="D3050">
        <v>23.65</v>
      </c>
      <c r="E3050">
        <v>13.7</v>
      </c>
      <c r="F3050" s="3">
        <v>0.38250000000000001</v>
      </c>
      <c r="G3050">
        <v>12.4162</v>
      </c>
      <c r="H3050">
        <v>5.6669999999999998</v>
      </c>
    </row>
    <row r="3051" spans="1:8" x14ac:dyDescent="0.25">
      <c r="A3051" t="s">
        <v>3057</v>
      </c>
      <c r="B3051">
        <v>61673</v>
      </c>
      <c r="C3051">
        <v>7896098909959</v>
      </c>
      <c r="D3051">
        <v>23.65</v>
      </c>
      <c r="E3051">
        <v>13.66</v>
      </c>
      <c r="F3051" s="3">
        <v>0.38619999999999999</v>
      </c>
      <c r="G3051">
        <v>12.3277</v>
      </c>
      <c r="H3051">
        <v>5.5</v>
      </c>
    </row>
    <row r="3052" spans="1:8" x14ac:dyDescent="0.25">
      <c r="A3052" t="s">
        <v>3058</v>
      </c>
      <c r="B3052">
        <v>18535</v>
      </c>
      <c r="C3052">
        <v>7896098909867</v>
      </c>
      <c r="D3052">
        <v>29.99</v>
      </c>
      <c r="E3052">
        <v>16.05</v>
      </c>
      <c r="F3052" s="3">
        <v>0.42229999999999995</v>
      </c>
      <c r="G3052">
        <v>14.5502</v>
      </c>
      <c r="H3052">
        <v>0.33300000000000002</v>
      </c>
    </row>
    <row r="3053" spans="1:8" x14ac:dyDescent="0.25">
      <c r="A3053" t="s">
        <v>3059</v>
      </c>
      <c r="B3053">
        <v>18536</v>
      </c>
      <c r="C3053">
        <v>7896098909850</v>
      </c>
      <c r="D3053">
        <v>29.99</v>
      </c>
      <c r="E3053">
        <v>16.16</v>
      </c>
      <c r="F3053" s="3">
        <v>0.41840000000000005</v>
      </c>
      <c r="G3053">
        <v>14.6691</v>
      </c>
      <c r="H3053">
        <v>0.5</v>
      </c>
    </row>
    <row r="3054" spans="1:8" x14ac:dyDescent="0.25">
      <c r="A3054" t="s">
        <v>3060</v>
      </c>
      <c r="B3054">
        <v>44821</v>
      </c>
      <c r="C3054">
        <v>7896060401559</v>
      </c>
      <c r="D3054">
        <v>22.9</v>
      </c>
      <c r="E3054">
        <v>15.09</v>
      </c>
      <c r="F3054" s="3">
        <v>0.3075</v>
      </c>
      <c r="G3054">
        <v>13.7401</v>
      </c>
      <c r="H3054">
        <v>0.33300000000000002</v>
      </c>
    </row>
    <row r="3055" spans="1:8" x14ac:dyDescent="0.25">
      <c r="A3055" t="s">
        <v>3061</v>
      </c>
      <c r="B3055">
        <v>44797</v>
      </c>
      <c r="C3055">
        <v>7896056401471</v>
      </c>
      <c r="D3055">
        <v>16.899999999999999</v>
      </c>
      <c r="E3055">
        <v>9.3000000000000007</v>
      </c>
      <c r="F3055" s="3">
        <v>0.41070000000000001</v>
      </c>
      <c r="G3055">
        <v>8.3950999999999993</v>
      </c>
      <c r="H3055">
        <v>0.63300000000000001</v>
      </c>
    </row>
    <row r="3056" spans="1:8" x14ac:dyDescent="0.25">
      <c r="A3056" t="s">
        <v>3062</v>
      </c>
      <c r="B3056">
        <v>58787</v>
      </c>
      <c r="C3056">
        <v>7896098905104</v>
      </c>
      <c r="D3056">
        <v>18.899999999999999</v>
      </c>
      <c r="E3056">
        <v>8.65</v>
      </c>
      <c r="F3056" s="3">
        <v>0.49209999999999998</v>
      </c>
      <c r="G3056">
        <v>7.851</v>
      </c>
      <c r="H3056">
        <v>0.36699999999999999</v>
      </c>
    </row>
    <row r="3057" spans="1:8" x14ac:dyDescent="0.25">
      <c r="A3057" t="s">
        <v>3063</v>
      </c>
      <c r="B3057">
        <v>66133</v>
      </c>
      <c r="C3057">
        <v>7896001058200</v>
      </c>
      <c r="D3057">
        <v>15.9</v>
      </c>
      <c r="E3057">
        <v>10.25</v>
      </c>
      <c r="F3057" s="3">
        <v>0.32240000000000002</v>
      </c>
      <c r="G3057">
        <v>9.3032000000000004</v>
      </c>
      <c r="H3057">
        <v>3.0329999999999999</v>
      </c>
    </row>
    <row r="3058" spans="1:8" x14ac:dyDescent="0.25">
      <c r="A3058" t="s">
        <v>3064</v>
      </c>
      <c r="B3058">
        <v>56855</v>
      </c>
      <c r="C3058">
        <v>3059946160139</v>
      </c>
      <c r="D3058">
        <v>67.900000000000006</v>
      </c>
      <c r="E3058">
        <v>44.84</v>
      </c>
      <c r="F3058" s="3">
        <v>0.31989999999999996</v>
      </c>
      <c r="G3058">
        <v>39.9</v>
      </c>
      <c r="H3058">
        <v>2.2999999999999998</v>
      </c>
    </row>
    <row r="3059" spans="1:8" x14ac:dyDescent="0.25">
      <c r="A3059" t="s">
        <v>3065</v>
      </c>
      <c r="B3059">
        <v>32662</v>
      </c>
      <c r="C3059">
        <v>7896495000174</v>
      </c>
      <c r="D3059">
        <v>43.9</v>
      </c>
      <c r="E3059">
        <v>29.36</v>
      </c>
      <c r="F3059" s="3">
        <v>0.30059999999999998</v>
      </c>
      <c r="G3059">
        <v>26.645099999999999</v>
      </c>
      <c r="H3059">
        <v>1.333</v>
      </c>
    </row>
    <row r="3060" spans="1:8" x14ac:dyDescent="0.25">
      <c r="A3060" t="s">
        <v>3066</v>
      </c>
      <c r="B3060">
        <v>32664</v>
      </c>
      <c r="C3060">
        <v>7896495000051</v>
      </c>
      <c r="D3060">
        <v>13.9</v>
      </c>
      <c r="E3060">
        <v>8.9</v>
      </c>
      <c r="F3060" s="3">
        <v>0.32619999999999999</v>
      </c>
      <c r="G3060">
        <v>8.08</v>
      </c>
      <c r="H3060">
        <v>2</v>
      </c>
    </row>
    <row r="3061" spans="1:8" x14ac:dyDescent="0.25">
      <c r="A3061" t="s">
        <v>3067</v>
      </c>
      <c r="B3061">
        <v>32661</v>
      </c>
      <c r="C3061">
        <v>7896495000129</v>
      </c>
      <c r="D3061">
        <v>22.9</v>
      </c>
      <c r="E3061">
        <v>14.37</v>
      </c>
      <c r="F3061" s="3">
        <v>0.3382</v>
      </c>
      <c r="G3061">
        <v>13.0366</v>
      </c>
      <c r="H3061">
        <v>2.7</v>
      </c>
    </row>
    <row r="3062" spans="1:8" x14ac:dyDescent="0.25">
      <c r="A3062" t="s">
        <v>3068</v>
      </c>
      <c r="B3062">
        <v>32667</v>
      </c>
      <c r="C3062">
        <v>7896495000242</v>
      </c>
      <c r="D3062">
        <v>34.9</v>
      </c>
      <c r="E3062">
        <v>23.27</v>
      </c>
      <c r="F3062" s="3">
        <v>0.3039</v>
      </c>
      <c r="G3062">
        <v>21.066400000000002</v>
      </c>
      <c r="H3062">
        <v>0.5</v>
      </c>
    </row>
    <row r="3063" spans="1:8" x14ac:dyDescent="0.25">
      <c r="A3063" t="s">
        <v>3069</v>
      </c>
      <c r="B3063">
        <v>63125</v>
      </c>
      <c r="C3063">
        <v>7896183309978</v>
      </c>
      <c r="D3063">
        <v>32.9</v>
      </c>
      <c r="E3063">
        <v>19.95</v>
      </c>
      <c r="F3063" s="3">
        <v>0.32829999999999998</v>
      </c>
      <c r="G3063">
        <v>16.177399999999999</v>
      </c>
      <c r="H3063">
        <v>1</v>
      </c>
    </row>
    <row r="3064" spans="1:8" x14ac:dyDescent="0.25">
      <c r="A3064" t="s">
        <v>3070</v>
      </c>
      <c r="B3064">
        <v>63126</v>
      </c>
      <c r="C3064">
        <v>7896183309985</v>
      </c>
      <c r="D3064">
        <v>32.9</v>
      </c>
      <c r="E3064">
        <v>20.86</v>
      </c>
      <c r="F3064" s="3">
        <v>0.2429</v>
      </c>
      <c r="G3064">
        <v>18.9864</v>
      </c>
      <c r="H3064">
        <v>1</v>
      </c>
    </row>
    <row r="3065" spans="1:8" x14ac:dyDescent="0.25">
      <c r="A3065" t="s">
        <v>3071</v>
      </c>
      <c r="B3065">
        <v>63127</v>
      </c>
      <c r="C3065">
        <v>7896183313685</v>
      </c>
      <c r="D3065">
        <v>32.9</v>
      </c>
      <c r="E3065">
        <v>22.99</v>
      </c>
      <c r="F3065" s="3">
        <v>0.22989999999999999</v>
      </c>
      <c r="G3065">
        <v>19.4146</v>
      </c>
      <c r="H3065">
        <v>1.2669999999999999</v>
      </c>
    </row>
    <row r="3066" spans="1:8" x14ac:dyDescent="0.25">
      <c r="A3066" t="s">
        <v>3072</v>
      </c>
      <c r="B3066">
        <v>66630</v>
      </c>
      <c r="C3066">
        <v>7896183309992</v>
      </c>
      <c r="D3066">
        <v>32.9</v>
      </c>
      <c r="E3066">
        <v>21.09</v>
      </c>
      <c r="F3066" s="3">
        <v>0.2893</v>
      </c>
      <c r="G3066">
        <v>17.459800000000001</v>
      </c>
      <c r="H3066">
        <v>0.93300000000000005</v>
      </c>
    </row>
    <row r="3067" spans="1:8" x14ac:dyDescent="0.25">
      <c r="A3067" t="s">
        <v>3073</v>
      </c>
      <c r="B3067">
        <v>65487</v>
      </c>
      <c r="C3067">
        <v>7898904189166</v>
      </c>
      <c r="D3067">
        <v>13.9</v>
      </c>
      <c r="E3067">
        <v>8.93</v>
      </c>
      <c r="F3067" s="3">
        <v>0.31309999999999999</v>
      </c>
      <c r="G3067">
        <v>8.2628000000000004</v>
      </c>
      <c r="H3067">
        <v>1.367</v>
      </c>
    </row>
    <row r="3068" spans="1:8" x14ac:dyDescent="0.25">
      <c r="A3068" t="s">
        <v>3074</v>
      </c>
      <c r="B3068">
        <v>67913</v>
      </c>
      <c r="C3068">
        <v>7896659100054</v>
      </c>
      <c r="D3068">
        <v>12.9</v>
      </c>
      <c r="E3068">
        <v>6.28</v>
      </c>
      <c r="F3068" s="3">
        <v>0.46560000000000001</v>
      </c>
      <c r="G3068">
        <v>5.7</v>
      </c>
      <c r="H3068">
        <v>0.53300000000000003</v>
      </c>
    </row>
    <row r="3069" spans="1:8" x14ac:dyDescent="0.25">
      <c r="A3069" t="s">
        <v>3075</v>
      </c>
      <c r="B3069">
        <v>67923</v>
      </c>
      <c r="C3069">
        <v>7896659100092</v>
      </c>
      <c r="D3069">
        <v>27.9</v>
      </c>
      <c r="E3069">
        <v>11.15</v>
      </c>
      <c r="F3069" s="3">
        <v>0.54469999999999996</v>
      </c>
      <c r="G3069">
        <v>10.122</v>
      </c>
      <c r="H3069">
        <v>0.16700000000000001</v>
      </c>
    </row>
    <row r="3070" spans="1:8" x14ac:dyDescent="0.25">
      <c r="A3070" t="s">
        <v>3076</v>
      </c>
      <c r="B3070">
        <v>67183</v>
      </c>
      <c r="C3070">
        <v>7898970476108</v>
      </c>
      <c r="D3070">
        <v>12.9</v>
      </c>
      <c r="E3070">
        <v>12.11</v>
      </c>
      <c r="F3070" s="3">
        <v>5.57E-2</v>
      </c>
      <c r="G3070">
        <v>10.988</v>
      </c>
      <c r="H3070">
        <v>1.167</v>
      </c>
    </row>
    <row r="3071" spans="1:8" x14ac:dyDescent="0.25">
      <c r="A3071" t="s">
        <v>3077</v>
      </c>
      <c r="B3071">
        <v>67995</v>
      </c>
      <c r="C3071">
        <v>7898994905196</v>
      </c>
      <c r="D3071">
        <v>26.9</v>
      </c>
      <c r="E3071">
        <v>16.97</v>
      </c>
      <c r="F3071" s="3">
        <v>0.33500000000000002</v>
      </c>
      <c r="G3071">
        <v>15.398999999999999</v>
      </c>
      <c r="H3071">
        <v>0.36699999999999999</v>
      </c>
    </row>
    <row r="3072" spans="1:8" x14ac:dyDescent="0.25">
      <c r="A3072" t="s">
        <v>3078</v>
      </c>
      <c r="B3072">
        <v>67235</v>
      </c>
      <c r="C3072">
        <v>7898970476009</v>
      </c>
      <c r="D3072">
        <v>12.9</v>
      </c>
      <c r="E3072">
        <v>12.11</v>
      </c>
      <c r="F3072" s="3">
        <v>5.57E-2</v>
      </c>
      <c r="G3072">
        <v>10.9879</v>
      </c>
      <c r="H3072">
        <v>1.133</v>
      </c>
    </row>
    <row r="3073" spans="1:8" x14ac:dyDescent="0.25">
      <c r="A3073" t="s">
        <v>3079</v>
      </c>
      <c r="B3073">
        <v>67229</v>
      </c>
      <c r="C3073">
        <v>7898970476153</v>
      </c>
      <c r="D3073">
        <v>12.9</v>
      </c>
      <c r="E3073">
        <v>12.11</v>
      </c>
      <c r="F3073" s="3">
        <v>5.57E-2</v>
      </c>
      <c r="G3073">
        <v>10.9879</v>
      </c>
      <c r="H3073">
        <v>0.2</v>
      </c>
    </row>
    <row r="3074" spans="1:8" x14ac:dyDescent="0.25">
      <c r="A3074" t="s">
        <v>3080</v>
      </c>
      <c r="B3074">
        <v>6870</v>
      </c>
      <c r="C3074">
        <v>7896331100372</v>
      </c>
      <c r="D3074">
        <v>17.899999999999999</v>
      </c>
      <c r="E3074">
        <v>8.17</v>
      </c>
      <c r="F3074" s="3">
        <v>0.39560000000000001</v>
      </c>
      <c r="G3074">
        <v>5.9416000000000002</v>
      </c>
      <c r="H3074">
        <v>38.9</v>
      </c>
    </row>
    <row r="3075" spans="1:8" x14ac:dyDescent="0.25">
      <c r="A3075" t="s">
        <v>3081</v>
      </c>
      <c r="B3075">
        <v>21841</v>
      </c>
      <c r="C3075">
        <v>7896331100587</v>
      </c>
      <c r="D3075">
        <v>29.9</v>
      </c>
      <c r="E3075">
        <v>17.079999999999998</v>
      </c>
      <c r="F3075" s="3">
        <v>0.31209999999999999</v>
      </c>
      <c r="G3075">
        <v>12.420199999999999</v>
      </c>
      <c r="H3075">
        <v>4.1669999999999998</v>
      </c>
    </row>
    <row r="3076" spans="1:8" x14ac:dyDescent="0.25">
      <c r="A3076" t="s">
        <v>3082</v>
      </c>
      <c r="B3076">
        <v>67291</v>
      </c>
      <c r="C3076">
        <v>7898311850192</v>
      </c>
      <c r="D3076">
        <v>18.899999999999999</v>
      </c>
      <c r="E3076">
        <v>13.17</v>
      </c>
      <c r="F3076" s="3">
        <v>0.22039999999999998</v>
      </c>
      <c r="G3076">
        <v>9.5832999999999995</v>
      </c>
      <c r="H3076">
        <v>0</v>
      </c>
    </row>
    <row r="3077" spans="1:8" x14ac:dyDescent="0.25">
      <c r="A3077" t="s">
        <v>3083</v>
      </c>
      <c r="B3077">
        <v>64274</v>
      </c>
      <c r="C3077">
        <v>7898908207347</v>
      </c>
      <c r="D3077">
        <v>39.9</v>
      </c>
      <c r="E3077">
        <v>31.1</v>
      </c>
      <c r="F3077" s="3">
        <v>0.1605</v>
      </c>
      <c r="G3077">
        <v>22.624199999999998</v>
      </c>
      <c r="H3077">
        <v>0.56699999999999995</v>
      </c>
    </row>
    <row r="3078" spans="1:8" x14ac:dyDescent="0.25">
      <c r="A3078" t="s">
        <v>3084</v>
      </c>
      <c r="B3078">
        <v>67196</v>
      </c>
      <c r="C3078">
        <v>7908034109948</v>
      </c>
      <c r="D3078">
        <v>29.9</v>
      </c>
      <c r="E3078">
        <v>17.829999999999998</v>
      </c>
      <c r="F3078" s="3">
        <v>0.29370000000000002</v>
      </c>
      <c r="G3078">
        <v>12.970499999999999</v>
      </c>
      <c r="H3078">
        <v>2.9</v>
      </c>
    </row>
    <row r="3079" spans="1:8" x14ac:dyDescent="0.25">
      <c r="A3079" t="s">
        <v>3085</v>
      </c>
      <c r="B3079">
        <v>38986</v>
      </c>
      <c r="C3079">
        <v>7793940406003</v>
      </c>
      <c r="D3079">
        <v>17.899999999999999</v>
      </c>
      <c r="E3079">
        <v>12.12</v>
      </c>
      <c r="F3079" s="3">
        <v>0.2324</v>
      </c>
      <c r="G3079">
        <v>8.8622999999999994</v>
      </c>
      <c r="H3079">
        <v>32.033000000000001</v>
      </c>
    </row>
    <row r="3080" spans="1:8" x14ac:dyDescent="0.25">
      <c r="A3080" t="s">
        <v>3086</v>
      </c>
      <c r="B3080">
        <v>67990</v>
      </c>
      <c r="C3080">
        <v>7730124000916</v>
      </c>
      <c r="D3080">
        <v>34.090000000000003</v>
      </c>
      <c r="E3080">
        <v>25.14</v>
      </c>
      <c r="F3080" s="3">
        <v>0.191</v>
      </c>
      <c r="G3080">
        <v>18.2881</v>
      </c>
      <c r="H3080">
        <v>0.2</v>
      </c>
    </row>
    <row r="3081" spans="1:8" x14ac:dyDescent="0.25">
      <c r="A3081" t="s">
        <v>3087</v>
      </c>
      <c r="B3081">
        <v>67989</v>
      </c>
      <c r="C3081">
        <v>7730124384511</v>
      </c>
      <c r="D3081">
        <v>32.61</v>
      </c>
      <c r="E3081">
        <v>25.14</v>
      </c>
      <c r="F3081" s="3">
        <v>0.16670000000000001</v>
      </c>
      <c r="G3081">
        <v>18.2882</v>
      </c>
      <c r="H3081">
        <v>0.26700000000000002</v>
      </c>
    </row>
    <row r="3082" spans="1:8" x14ac:dyDescent="0.25">
      <c r="A3082" t="s">
        <v>3088</v>
      </c>
      <c r="B3082">
        <v>67916</v>
      </c>
      <c r="C3082">
        <v>7896659100078</v>
      </c>
      <c r="D3082">
        <v>12.9</v>
      </c>
      <c r="E3082">
        <v>7.98</v>
      </c>
      <c r="F3082" s="3">
        <v>0.2772</v>
      </c>
      <c r="G3082">
        <v>5.8085000000000004</v>
      </c>
      <c r="H3082">
        <v>0.66700000000000004</v>
      </c>
    </row>
    <row r="3083" spans="1:8" x14ac:dyDescent="0.25">
      <c r="A3083" t="s">
        <v>3089</v>
      </c>
      <c r="B3083">
        <v>67924</v>
      </c>
      <c r="C3083">
        <v>7896659100108</v>
      </c>
      <c r="D3083">
        <v>27.9</v>
      </c>
      <c r="E3083">
        <v>14.28</v>
      </c>
      <c r="F3083" s="3">
        <v>0.35509999999999997</v>
      </c>
      <c r="G3083">
        <v>10.3895</v>
      </c>
      <c r="H3083">
        <v>0.36699999999999999</v>
      </c>
    </row>
    <row r="3084" spans="1:8" x14ac:dyDescent="0.25">
      <c r="A3084" t="s">
        <v>3090</v>
      </c>
      <c r="B3084">
        <v>67926</v>
      </c>
      <c r="C3084">
        <v>7896659120885</v>
      </c>
      <c r="D3084">
        <v>27.9</v>
      </c>
      <c r="E3084">
        <v>15.68</v>
      </c>
      <c r="F3084" s="3">
        <v>0.31879999999999997</v>
      </c>
      <c r="G3084">
        <v>11.404</v>
      </c>
      <c r="H3084">
        <v>0.4</v>
      </c>
    </row>
    <row r="3085" spans="1:8" x14ac:dyDescent="0.25">
      <c r="A3085" t="s">
        <v>3091</v>
      </c>
      <c r="B3085">
        <v>48398</v>
      </c>
      <c r="C3085">
        <v>7896043014011</v>
      </c>
      <c r="D3085">
        <v>23.9</v>
      </c>
      <c r="E3085">
        <v>14.07</v>
      </c>
      <c r="F3085" s="3">
        <v>0.29949999999999999</v>
      </c>
      <c r="G3085">
        <v>10.229900000000001</v>
      </c>
      <c r="H3085">
        <v>0.33300000000000002</v>
      </c>
    </row>
    <row r="3086" spans="1:8" x14ac:dyDescent="0.25">
      <c r="A3086" t="s">
        <v>3092</v>
      </c>
      <c r="B3086">
        <v>67991</v>
      </c>
      <c r="C3086">
        <v>7898994905134</v>
      </c>
      <c r="D3086">
        <v>28.9</v>
      </c>
      <c r="E3086">
        <v>17.86</v>
      </c>
      <c r="F3086" s="3">
        <v>0.27039999999999997</v>
      </c>
      <c r="G3086">
        <v>13.2111</v>
      </c>
      <c r="H3086">
        <v>3.0379999999999998</v>
      </c>
    </row>
    <row r="3087" spans="1:8" x14ac:dyDescent="0.25">
      <c r="A3087" t="s">
        <v>3093</v>
      </c>
      <c r="B3087">
        <v>6877</v>
      </c>
      <c r="C3087">
        <v>7896863461613</v>
      </c>
      <c r="D3087">
        <v>34.9</v>
      </c>
      <c r="E3087">
        <v>22.84</v>
      </c>
      <c r="F3087" s="3">
        <v>0.25159999999999999</v>
      </c>
      <c r="G3087">
        <v>16.609200000000001</v>
      </c>
      <c r="H3087">
        <v>0.9</v>
      </c>
    </row>
    <row r="3088" spans="1:8" x14ac:dyDescent="0.25">
      <c r="A3088" t="s">
        <v>3094</v>
      </c>
      <c r="B3088">
        <v>6088</v>
      </c>
      <c r="C3088">
        <v>7896863214394</v>
      </c>
      <c r="D3088">
        <v>34.9</v>
      </c>
      <c r="E3088">
        <v>21.43</v>
      </c>
      <c r="F3088" s="3">
        <v>0.2797</v>
      </c>
      <c r="G3088">
        <v>15.627000000000001</v>
      </c>
      <c r="H3088">
        <v>0.83299999999999996</v>
      </c>
    </row>
    <row r="3089" spans="1:8" x14ac:dyDescent="0.25">
      <c r="A3089" t="s">
        <v>3095</v>
      </c>
      <c r="B3089">
        <v>67223</v>
      </c>
      <c r="C3089">
        <v>7898970476160</v>
      </c>
      <c r="D3089">
        <v>12.9</v>
      </c>
      <c r="E3089">
        <v>10.87</v>
      </c>
      <c r="F3089" s="3">
        <v>0.11460000000000001</v>
      </c>
      <c r="G3089">
        <v>7.9061000000000003</v>
      </c>
      <c r="H3089">
        <v>0.73299999999999998</v>
      </c>
    </row>
    <row r="3090" spans="1:8" x14ac:dyDescent="0.25">
      <c r="A3090" t="s">
        <v>3096</v>
      </c>
      <c r="B3090">
        <v>67228</v>
      </c>
      <c r="C3090">
        <v>7898970476115</v>
      </c>
      <c r="D3090">
        <v>12.9</v>
      </c>
      <c r="E3090">
        <v>12.11</v>
      </c>
      <c r="F3090" s="3">
        <v>5.57E-2</v>
      </c>
      <c r="G3090">
        <v>10.9886</v>
      </c>
      <c r="H3090">
        <v>0.3</v>
      </c>
    </row>
    <row r="3091" spans="1:8" x14ac:dyDescent="0.25">
      <c r="A3091" t="s">
        <v>3097</v>
      </c>
      <c r="B3091">
        <v>67224</v>
      </c>
      <c r="C3091">
        <v>7898970476184</v>
      </c>
      <c r="D3091">
        <v>12.9</v>
      </c>
      <c r="E3091">
        <v>12.11</v>
      </c>
      <c r="F3091" s="3">
        <v>5.57E-2</v>
      </c>
      <c r="G3091">
        <v>10.9879</v>
      </c>
      <c r="H3091">
        <v>0</v>
      </c>
    </row>
    <row r="3092" spans="1:8" x14ac:dyDescent="0.25">
      <c r="A3092" t="s">
        <v>3098</v>
      </c>
      <c r="B3092">
        <v>67225</v>
      </c>
      <c r="C3092">
        <v>7898970476191</v>
      </c>
      <c r="D3092">
        <v>12.9</v>
      </c>
      <c r="E3092">
        <v>12.11</v>
      </c>
      <c r="F3092" s="3">
        <v>5.57E-2</v>
      </c>
      <c r="G3092">
        <v>10.9879</v>
      </c>
      <c r="H3092">
        <v>2.2000000000000002</v>
      </c>
    </row>
    <row r="3093" spans="1:8" x14ac:dyDescent="0.25">
      <c r="A3093" t="s">
        <v>3099</v>
      </c>
      <c r="B3093">
        <v>6094</v>
      </c>
      <c r="D3093">
        <v>0</v>
      </c>
      <c r="E3093">
        <v>0</v>
      </c>
      <c r="F3093" s="3">
        <v>0</v>
      </c>
      <c r="G3093">
        <v>0</v>
      </c>
      <c r="H3093">
        <v>0</v>
      </c>
    </row>
    <row r="3094" spans="1:8" x14ac:dyDescent="0.25">
      <c r="A3094" t="s">
        <v>3100</v>
      </c>
      <c r="B3094">
        <v>67918</v>
      </c>
      <c r="C3094">
        <v>7896659100030</v>
      </c>
      <c r="D3094">
        <v>11.87</v>
      </c>
      <c r="E3094">
        <v>6.85</v>
      </c>
      <c r="F3094" s="3">
        <v>0.38380000000000003</v>
      </c>
      <c r="G3094">
        <v>6.2191999999999998</v>
      </c>
      <c r="H3094">
        <v>1.2</v>
      </c>
    </row>
    <row r="3095" spans="1:8" x14ac:dyDescent="0.25">
      <c r="A3095" t="s">
        <v>3101</v>
      </c>
      <c r="B3095">
        <v>67927</v>
      </c>
      <c r="C3095">
        <v>7896659100146</v>
      </c>
      <c r="D3095">
        <v>27.9</v>
      </c>
      <c r="E3095">
        <v>12.68</v>
      </c>
      <c r="F3095" s="3">
        <v>0.495</v>
      </c>
      <c r="G3095">
        <v>11.509399999999999</v>
      </c>
      <c r="H3095">
        <v>0.63300000000000001</v>
      </c>
    </row>
    <row r="3096" spans="1:8" x14ac:dyDescent="0.25">
      <c r="A3096" t="s">
        <v>3102</v>
      </c>
      <c r="B3096">
        <v>67226</v>
      </c>
      <c r="C3096">
        <v>7908681000025</v>
      </c>
      <c r="D3096">
        <v>12.9</v>
      </c>
      <c r="E3096">
        <v>12.11</v>
      </c>
      <c r="F3096" s="3">
        <v>5.57E-2</v>
      </c>
      <c r="G3096">
        <v>10.9879</v>
      </c>
      <c r="H3096">
        <v>2.0670000000000002</v>
      </c>
    </row>
    <row r="3097" spans="1:8" x14ac:dyDescent="0.25">
      <c r="A3097" t="s">
        <v>3103</v>
      </c>
      <c r="B3097">
        <v>11452</v>
      </c>
      <c r="C3097">
        <v>7891000623008</v>
      </c>
      <c r="D3097">
        <v>7.9</v>
      </c>
      <c r="E3097">
        <v>4.76</v>
      </c>
      <c r="F3097" s="3">
        <v>0.28920000000000001</v>
      </c>
      <c r="G3097">
        <v>3.4624000000000001</v>
      </c>
      <c r="H3097">
        <v>7.1</v>
      </c>
    </row>
    <row r="3098" spans="1:8" x14ac:dyDescent="0.25">
      <c r="A3098" t="s">
        <v>3104</v>
      </c>
      <c r="B3098">
        <v>11453</v>
      </c>
      <c r="C3098">
        <v>7891000623107</v>
      </c>
      <c r="D3098">
        <v>7.9</v>
      </c>
      <c r="E3098">
        <v>4.72</v>
      </c>
      <c r="F3098" s="3">
        <v>0.2964</v>
      </c>
      <c r="G3098">
        <v>3.4058000000000002</v>
      </c>
      <c r="H3098">
        <v>1.667</v>
      </c>
    </row>
    <row r="3099" spans="1:8" x14ac:dyDescent="0.25">
      <c r="A3099" t="s">
        <v>3105</v>
      </c>
      <c r="B3099">
        <v>11455</v>
      </c>
      <c r="C3099">
        <v>7891000259078</v>
      </c>
      <c r="D3099">
        <v>7.9</v>
      </c>
      <c r="E3099">
        <v>4.78</v>
      </c>
      <c r="F3099" s="3">
        <v>0.2878</v>
      </c>
      <c r="G3099">
        <v>3.4739</v>
      </c>
      <c r="H3099">
        <v>4.2</v>
      </c>
    </row>
    <row r="3100" spans="1:8" x14ac:dyDescent="0.25">
      <c r="A3100" t="s">
        <v>3106</v>
      </c>
      <c r="B3100">
        <v>65599</v>
      </c>
      <c r="C3100">
        <v>7896175324743</v>
      </c>
      <c r="D3100">
        <v>22.9</v>
      </c>
      <c r="E3100">
        <v>17.89</v>
      </c>
      <c r="F3100" s="3">
        <v>0.1986</v>
      </c>
      <c r="G3100">
        <v>16.2348</v>
      </c>
      <c r="H3100">
        <v>0.13300000000000001</v>
      </c>
    </row>
    <row r="3101" spans="1:8" x14ac:dyDescent="0.25">
      <c r="A3101" t="s">
        <v>3107</v>
      </c>
      <c r="B3101">
        <v>65598</v>
      </c>
      <c r="C3101">
        <v>7896175324736</v>
      </c>
      <c r="D3101">
        <v>22.9</v>
      </c>
      <c r="E3101">
        <v>17.89</v>
      </c>
      <c r="F3101" s="3">
        <v>0.19870000000000002</v>
      </c>
      <c r="G3101">
        <v>16.232199999999999</v>
      </c>
      <c r="H3101">
        <v>0.5</v>
      </c>
    </row>
    <row r="3102" spans="1:8" x14ac:dyDescent="0.25">
      <c r="A3102" t="s">
        <v>3108</v>
      </c>
      <c r="B3102">
        <v>48241</v>
      </c>
      <c r="C3102">
        <v>7891150058873</v>
      </c>
      <c r="D3102">
        <v>6.99</v>
      </c>
      <c r="E3102">
        <v>5.24</v>
      </c>
      <c r="F3102" s="3">
        <v>0.22750000000000001</v>
      </c>
      <c r="G3102">
        <v>4.7529000000000003</v>
      </c>
      <c r="H3102">
        <v>6.867</v>
      </c>
    </row>
    <row r="3103" spans="1:8" x14ac:dyDescent="0.25">
      <c r="A3103" t="s">
        <v>3109</v>
      </c>
      <c r="B3103">
        <v>12752</v>
      </c>
      <c r="C3103">
        <v>7896183301378</v>
      </c>
      <c r="D3103">
        <v>19.899999999999999</v>
      </c>
      <c r="E3103">
        <v>12.38</v>
      </c>
      <c r="F3103" s="3">
        <v>0.25800000000000001</v>
      </c>
      <c r="G3103">
        <v>9.3421000000000003</v>
      </c>
      <c r="H3103">
        <v>0.36699999999999999</v>
      </c>
    </row>
    <row r="3104" spans="1:8" x14ac:dyDescent="0.25">
      <c r="A3104" t="s">
        <v>3110</v>
      </c>
      <c r="B3104">
        <v>12753</v>
      </c>
      <c r="C3104">
        <v>7896183301040</v>
      </c>
      <c r="D3104">
        <v>19.899999999999999</v>
      </c>
      <c r="E3104">
        <v>13.38</v>
      </c>
      <c r="F3104" s="3">
        <v>0.2382</v>
      </c>
      <c r="G3104">
        <v>9.7362000000000002</v>
      </c>
      <c r="H3104">
        <v>0.23300000000000001</v>
      </c>
    </row>
    <row r="3105" spans="1:8" x14ac:dyDescent="0.25">
      <c r="A3105" t="s">
        <v>3111</v>
      </c>
      <c r="B3105">
        <v>12754</v>
      </c>
      <c r="C3105">
        <v>7896183300630</v>
      </c>
      <c r="D3105">
        <v>19.899999999999999</v>
      </c>
      <c r="E3105">
        <v>13.1</v>
      </c>
      <c r="F3105" s="3">
        <v>0.23420000000000002</v>
      </c>
      <c r="G3105">
        <v>9.8163</v>
      </c>
      <c r="H3105">
        <v>0.56699999999999995</v>
      </c>
    </row>
    <row r="3106" spans="1:8" x14ac:dyDescent="0.25">
      <c r="A3106" t="s">
        <v>3112</v>
      </c>
      <c r="B3106">
        <v>66936</v>
      </c>
      <c r="C3106">
        <v>7891150096387</v>
      </c>
      <c r="D3106">
        <v>19.899999999999999</v>
      </c>
      <c r="E3106">
        <v>18.87</v>
      </c>
      <c r="F3106" s="3">
        <v>4.8600000000000004E-2</v>
      </c>
      <c r="G3106">
        <v>18.932400000000001</v>
      </c>
      <c r="H3106">
        <v>0.16700000000000001</v>
      </c>
    </row>
    <row r="3107" spans="1:8" x14ac:dyDescent="0.25">
      <c r="A3107" t="s">
        <v>3113</v>
      </c>
      <c r="B3107">
        <v>55337</v>
      </c>
      <c r="C3107">
        <v>70847022305</v>
      </c>
      <c r="D3107">
        <v>8.7899999999999991</v>
      </c>
      <c r="E3107">
        <v>6.13</v>
      </c>
      <c r="F3107" s="3">
        <v>0.30109999999999998</v>
      </c>
      <c r="G3107">
        <v>6.1430999999999996</v>
      </c>
      <c r="H3107">
        <v>22.433</v>
      </c>
    </row>
    <row r="3108" spans="1:8" x14ac:dyDescent="0.25">
      <c r="A3108" t="s">
        <v>3114</v>
      </c>
      <c r="B3108">
        <v>57010</v>
      </c>
      <c r="C3108">
        <v>70847034803</v>
      </c>
      <c r="D3108">
        <v>8.7899999999999991</v>
      </c>
      <c r="E3108">
        <v>6.19</v>
      </c>
      <c r="F3108" s="3">
        <v>0.2873</v>
      </c>
      <c r="G3108">
        <v>6.2645</v>
      </c>
      <c r="H3108">
        <v>4.9669999999999996</v>
      </c>
    </row>
    <row r="3109" spans="1:8" x14ac:dyDescent="0.25">
      <c r="A3109" t="s">
        <v>3115</v>
      </c>
      <c r="B3109">
        <v>60514</v>
      </c>
      <c r="C3109">
        <v>1220000250406</v>
      </c>
      <c r="D3109">
        <v>8.7899999999999991</v>
      </c>
      <c r="E3109">
        <v>6.16</v>
      </c>
      <c r="F3109" s="3">
        <v>0.28129999999999999</v>
      </c>
      <c r="G3109">
        <v>6.3170999999999999</v>
      </c>
      <c r="H3109">
        <v>3.0670000000000002</v>
      </c>
    </row>
    <row r="3110" spans="1:8" x14ac:dyDescent="0.25">
      <c r="A3110" t="s">
        <v>3116</v>
      </c>
      <c r="B3110">
        <v>39833</v>
      </c>
      <c r="C3110">
        <v>70847022015</v>
      </c>
      <c r="D3110">
        <v>8.7899999999999991</v>
      </c>
      <c r="E3110">
        <v>6.11</v>
      </c>
      <c r="F3110" s="3">
        <v>0.30820000000000003</v>
      </c>
      <c r="G3110">
        <v>6.0811999999999999</v>
      </c>
      <c r="H3110">
        <v>73.066999999999993</v>
      </c>
    </row>
    <row r="3111" spans="1:8" x14ac:dyDescent="0.25">
      <c r="A3111" t="s">
        <v>3117</v>
      </c>
      <c r="B3111">
        <v>69735</v>
      </c>
      <c r="C3111">
        <v>7898938890113</v>
      </c>
      <c r="D3111">
        <v>8.7899999999999991</v>
      </c>
      <c r="E3111">
        <v>6.35</v>
      </c>
      <c r="F3111" s="3">
        <v>0.27750000000000002</v>
      </c>
      <c r="G3111">
        <v>6.3509000000000002</v>
      </c>
      <c r="H3111">
        <v>24.727</v>
      </c>
    </row>
    <row r="3112" spans="1:8" x14ac:dyDescent="0.25">
      <c r="A3112" t="s">
        <v>3118</v>
      </c>
      <c r="B3112">
        <v>64346</v>
      </c>
      <c r="C3112">
        <v>1220000250147</v>
      </c>
      <c r="D3112">
        <v>8.7899999999999991</v>
      </c>
      <c r="E3112">
        <v>6.1</v>
      </c>
      <c r="F3112" s="3">
        <v>0.3054</v>
      </c>
      <c r="G3112">
        <v>6.1052</v>
      </c>
      <c r="H3112">
        <v>14.8</v>
      </c>
    </row>
    <row r="3113" spans="1:8" x14ac:dyDescent="0.25">
      <c r="A3113" t="s">
        <v>3119</v>
      </c>
      <c r="B3113">
        <v>55335</v>
      </c>
      <c r="C3113">
        <v>70847033301</v>
      </c>
      <c r="D3113">
        <v>8.7899999999999991</v>
      </c>
      <c r="E3113">
        <v>6.03</v>
      </c>
      <c r="F3113" s="3">
        <v>0.31459999999999999</v>
      </c>
      <c r="G3113">
        <v>6.0246000000000004</v>
      </c>
      <c r="H3113">
        <v>59.366999999999997</v>
      </c>
    </row>
    <row r="3114" spans="1:8" x14ac:dyDescent="0.25">
      <c r="A3114" t="s">
        <v>3120</v>
      </c>
      <c r="B3114">
        <v>57785</v>
      </c>
      <c r="C3114">
        <v>1220000250000</v>
      </c>
      <c r="D3114">
        <v>8.7899999999999991</v>
      </c>
      <c r="E3114">
        <v>6.2</v>
      </c>
      <c r="F3114" s="3">
        <v>0.28499999999999998</v>
      </c>
      <c r="G3114">
        <v>6.2846000000000002</v>
      </c>
      <c r="H3114">
        <v>14.867000000000001</v>
      </c>
    </row>
    <row r="3115" spans="1:8" x14ac:dyDescent="0.25">
      <c r="A3115" t="s">
        <v>3121</v>
      </c>
      <c r="B3115">
        <v>65608</v>
      </c>
      <c r="C3115">
        <v>7898938890045</v>
      </c>
      <c r="D3115">
        <v>8.7899999999999991</v>
      </c>
      <c r="E3115">
        <v>6.18</v>
      </c>
      <c r="F3115" s="3">
        <v>0.2964</v>
      </c>
      <c r="G3115">
        <v>6.1843000000000004</v>
      </c>
      <c r="H3115">
        <v>17.5</v>
      </c>
    </row>
    <row r="3116" spans="1:8" x14ac:dyDescent="0.25">
      <c r="A3116" t="s">
        <v>3122</v>
      </c>
      <c r="B3116">
        <v>60302</v>
      </c>
      <c r="C3116">
        <v>1220000250031</v>
      </c>
      <c r="D3116">
        <v>8.7899999999999991</v>
      </c>
      <c r="E3116">
        <v>6.18</v>
      </c>
      <c r="F3116" s="3">
        <v>0.2969</v>
      </c>
      <c r="G3116">
        <v>6.1806000000000001</v>
      </c>
      <c r="H3116">
        <v>13.8</v>
      </c>
    </row>
    <row r="3117" spans="1:8" x14ac:dyDescent="0.25">
      <c r="A3117" t="s">
        <v>3123</v>
      </c>
      <c r="B3117">
        <v>63743</v>
      </c>
      <c r="C3117">
        <v>1220000250222</v>
      </c>
      <c r="D3117">
        <v>8.7899999999999991</v>
      </c>
      <c r="E3117">
        <v>6.13</v>
      </c>
      <c r="F3117" s="3">
        <v>0.29430000000000001</v>
      </c>
      <c r="G3117">
        <v>6.2027000000000001</v>
      </c>
      <c r="H3117">
        <v>19.600000000000001</v>
      </c>
    </row>
    <row r="3118" spans="1:8" x14ac:dyDescent="0.25">
      <c r="A3118" t="s">
        <v>3124</v>
      </c>
      <c r="B3118">
        <v>39835</v>
      </c>
      <c r="C3118">
        <v>70847022206</v>
      </c>
      <c r="D3118">
        <v>8.7899999999999991</v>
      </c>
      <c r="E3118">
        <v>5.86</v>
      </c>
      <c r="F3118" s="3">
        <v>0.3206</v>
      </c>
      <c r="G3118">
        <v>5.9714999999999998</v>
      </c>
      <c r="H3118">
        <v>50.567</v>
      </c>
    </row>
    <row r="3119" spans="1:8" x14ac:dyDescent="0.25">
      <c r="A3119" t="s">
        <v>3125</v>
      </c>
      <c r="B3119">
        <v>68722</v>
      </c>
      <c r="C3119">
        <v>7898938890090</v>
      </c>
      <c r="D3119">
        <v>8.7899999999999991</v>
      </c>
      <c r="E3119">
        <v>6.21</v>
      </c>
      <c r="F3119" s="3">
        <v>0.28120000000000001</v>
      </c>
      <c r="G3119">
        <v>6.3186</v>
      </c>
      <c r="H3119">
        <v>28.933</v>
      </c>
    </row>
    <row r="3120" spans="1:8" x14ac:dyDescent="0.25">
      <c r="A3120" t="s">
        <v>3126</v>
      </c>
      <c r="B3120">
        <v>55336</v>
      </c>
      <c r="C3120">
        <v>70847033929</v>
      </c>
      <c r="D3120">
        <v>8.7899999999999991</v>
      </c>
      <c r="E3120">
        <v>5.9</v>
      </c>
      <c r="F3120" s="3">
        <v>0.33429999999999999</v>
      </c>
      <c r="G3120">
        <v>5.8513999999999999</v>
      </c>
      <c r="H3120">
        <v>18.233000000000001</v>
      </c>
    </row>
    <row r="3121" spans="1:8" x14ac:dyDescent="0.25">
      <c r="A3121" t="s">
        <v>3127</v>
      </c>
      <c r="B3121">
        <v>67072</v>
      </c>
      <c r="C3121">
        <v>7898938890076</v>
      </c>
      <c r="D3121">
        <v>8.7899999999999991</v>
      </c>
      <c r="E3121">
        <v>6.2</v>
      </c>
      <c r="F3121" s="3">
        <v>0.29089999999999999</v>
      </c>
      <c r="G3121">
        <v>6.2329999999999997</v>
      </c>
      <c r="H3121">
        <v>48</v>
      </c>
    </row>
    <row r="3122" spans="1:8" x14ac:dyDescent="0.25">
      <c r="A3122" t="s">
        <v>3128</v>
      </c>
      <c r="B3122">
        <v>66970</v>
      </c>
      <c r="C3122">
        <v>7898950338686</v>
      </c>
      <c r="D3122">
        <v>6.49</v>
      </c>
      <c r="E3122">
        <v>4.68</v>
      </c>
      <c r="F3122" s="3">
        <v>0.28220000000000001</v>
      </c>
      <c r="G3122">
        <v>4.6586999999999996</v>
      </c>
      <c r="H3122">
        <v>1.7330000000000001</v>
      </c>
    </row>
    <row r="3123" spans="1:8" x14ac:dyDescent="0.25">
      <c r="A3123" t="s">
        <v>3129</v>
      </c>
      <c r="B3123">
        <v>64045</v>
      </c>
      <c r="C3123">
        <v>9002490264093</v>
      </c>
      <c r="D3123">
        <v>9.9</v>
      </c>
      <c r="E3123">
        <v>7.25</v>
      </c>
      <c r="F3123" s="3">
        <v>0.35070000000000001</v>
      </c>
      <c r="G3123">
        <v>6.4283999999999999</v>
      </c>
      <c r="H3123">
        <v>14.567</v>
      </c>
    </row>
    <row r="3124" spans="1:8" x14ac:dyDescent="0.25">
      <c r="A3124" t="s">
        <v>3130</v>
      </c>
      <c r="B3124">
        <v>68602</v>
      </c>
      <c r="C3124">
        <v>9002490275013</v>
      </c>
      <c r="D3124">
        <v>9.9</v>
      </c>
      <c r="E3124">
        <v>7.35</v>
      </c>
      <c r="F3124" s="3">
        <v>0.32689999999999997</v>
      </c>
      <c r="G3124">
        <v>6.6637000000000004</v>
      </c>
      <c r="H3124">
        <v>20.567</v>
      </c>
    </row>
    <row r="3125" spans="1:8" x14ac:dyDescent="0.25">
      <c r="A3125" t="s">
        <v>3131</v>
      </c>
      <c r="B3125">
        <v>59079</v>
      </c>
      <c r="C3125">
        <v>9002490247379</v>
      </c>
      <c r="D3125">
        <v>9.9</v>
      </c>
      <c r="E3125">
        <v>6.91</v>
      </c>
      <c r="F3125" s="3">
        <v>0.35359999999999997</v>
      </c>
      <c r="G3125">
        <v>6.3993000000000002</v>
      </c>
      <c r="H3125">
        <v>24.632999999999999</v>
      </c>
    </row>
    <row r="3126" spans="1:8" x14ac:dyDescent="0.25">
      <c r="A3126" t="s">
        <v>3132</v>
      </c>
      <c r="B3126">
        <v>62902</v>
      </c>
      <c r="C3126">
        <v>9002490258825</v>
      </c>
      <c r="D3126">
        <v>9.9</v>
      </c>
      <c r="E3126">
        <v>6.88</v>
      </c>
      <c r="F3126" s="3">
        <v>0.3861</v>
      </c>
      <c r="G3126">
        <v>6.0777999999999999</v>
      </c>
      <c r="H3126">
        <v>23.1</v>
      </c>
    </row>
    <row r="3127" spans="1:8" x14ac:dyDescent="0.25">
      <c r="A3127" t="s">
        <v>3133</v>
      </c>
      <c r="B3127">
        <v>5792</v>
      </c>
      <c r="C3127">
        <v>9002490257989</v>
      </c>
      <c r="D3127">
        <v>9.9</v>
      </c>
      <c r="E3127">
        <v>6.17</v>
      </c>
      <c r="F3127" s="3">
        <v>0.50340000000000007</v>
      </c>
      <c r="G3127">
        <v>4.9165000000000001</v>
      </c>
      <c r="H3127">
        <v>112.367</v>
      </c>
    </row>
    <row r="3128" spans="1:8" x14ac:dyDescent="0.25">
      <c r="A3128" t="s">
        <v>3134</v>
      </c>
      <c r="B3128">
        <v>50253</v>
      </c>
      <c r="C3128">
        <v>611269101713</v>
      </c>
      <c r="D3128">
        <v>9.9</v>
      </c>
      <c r="E3128">
        <v>7.49</v>
      </c>
      <c r="F3128" s="3">
        <v>0.28649999999999998</v>
      </c>
      <c r="G3128">
        <v>7.0640000000000001</v>
      </c>
      <c r="H3128">
        <v>52.4</v>
      </c>
    </row>
    <row r="3129" spans="1:8" x14ac:dyDescent="0.25">
      <c r="A3129" t="s">
        <v>3135</v>
      </c>
      <c r="B3129">
        <v>68305</v>
      </c>
      <c r="C3129">
        <v>9002490275020</v>
      </c>
      <c r="D3129">
        <v>9.9</v>
      </c>
      <c r="E3129">
        <v>7.51</v>
      </c>
      <c r="F3129" s="3">
        <v>0.35830000000000001</v>
      </c>
      <c r="G3129">
        <v>6.3525999999999998</v>
      </c>
      <c r="H3129">
        <v>33.433</v>
      </c>
    </row>
    <row r="3130" spans="1:8" x14ac:dyDescent="0.25">
      <c r="A3130" t="s">
        <v>3136</v>
      </c>
      <c r="B3130">
        <v>69436</v>
      </c>
      <c r="C3130">
        <v>9002490280901</v>
      </c>
      <c r="D3130">
        <v>9.9</v>
      </c>
      <c r="E3130">
        <v>6.21</v>
      </c>
      <c r="F3130" s="3">
        <v>0.37810000000000005</v>
      </c>
      <c r="G3130">
        <v>6.1571999999999996</v>
      </c>
      <c r="H3130">
        <v>61.094000000000001</v>
      </c>
    </row>
    <row r="3131" spans="1:8" x14ac:dyDescent="0.25">
      <c r="A3131" t="s">
        <v>3137</v>
      </c>
      <c r="B3131">
        <v>59077</v>
      </c>
      <c r="C3131">
        <v>9002490229160</v>
      </c>
      <c r="D3131">
        <v>9.9</v>
      </c>
      <c r="E3131">
        <v>6.72</v>
      </c>
      <c r="F3131" s="3">
        <v>0.39280000000000004</v>
      </c>
      <c r="G3131">
        <v>6.0114000000000001</v>
      </c>
      <c r="H3131">
        <v>27.6</v>
      </c>
    </row>
    <row r="3132" spans="1:8" x14ac:dyDescent="0.25">
      <c r="A3132" t="s">
        <v>3138</v>
      </c>
      <c r="B3132">
        <v>9949</v>
      </c>
      <c r="C3132">
        <v>9002490209346</v>
      </c>
      <c r="D3132">
        <v>13.9</v>
      </c>
      <c r="E3132">
        <v>10.79</v>
      </c>
      <c r="F3132" s="3">
        <v>0.22370000000000001</v>
      </c>
      <c r="G3132">
        <v>10.789899999999999</v>
      </c>
      <c r="H3132">
        <v>15.032999999999999</v>
      </c>
    </row>
    <row r="3133" spans="1:8" x14ac:dyDescent="0.25">
      <c r="A3133" t="s">
        <v>3139</v>
      </c>
      <c r="B3133">
        <v>59197</v>
      </c>
      <c r="C3133">
        <v>9002490214166</v>
      </c>
      <c r="D3133">
        <v>16.899999999999999</v>
      </c>
      <c r="E3133">
        <v>13.66</v>
      </c>
      <c r="F3133" s="3">
        <v>0.19170000000000001</v>
      </c>
      <c r="G3133">
        <v>13.6601</v>
      </c>
      <c r="H3133">
        <v>12.467000000000001</v>
      </c>
    </row>
    <row r="3134" spans="1:8" x14ac:dyDescent="0.25">
      <c r="A3134" t="s">
        <v>3140</v>
      </c>
      <c r="B3134">
        <v>62168</v>
      </c>
      <c r="C3134">
        <v>7897395031626</v>
      </c>
      <c r="D3134">
        <v>6.9</v>
      </c>
      <c r="E3134">
        <v>4.5199999999999996</v>
      </c>
      <c r="F3134" s="3">
        <v>0.34539999999999998</v>
      </c>
      <c r="G3134">
        <v>4.5167000000000002</v>
      </c>
      <c r="H3134">
        <v>14.132999999999999</v>
      </c>
    </row>
    <row r="3135" spans="1:8" x14ac:dyDescent="0.25">
      <c r="A3135" t="s">
        <v>3141</v>
      </c>
      <c r="B3135">
        <v>63357</v>
      </c>
      <c r="C3135">
        <v>7897395001681</v>
      </c>
      <c r="D3135">
        <v>6.9</v>
      </c>
      <c r="E3135">
        <v>4.49</v>
      </c>
      <c r="F3135" s="3">
        <v>0.34860000000000002</v>
      </c>
      <c r="G3135">
        <v>4.4946999999999999</v>
      </c>
      <c r="H3135">
        <v>0.2</v>
      </c>
    </row>
    <row r="3136" spans="1:8" x14ac:dyDescent="0.25">
      <c r="A3136" t="s">
        <v>3142</v>
      </c>
      <c r="B3136">
        <v>62135</v>
      </c>
      <c r="C3136">
        <v>7898377662241</v>
      </c>
      <c r="D3136">
        <v>6.9</v>
      </c>
      <c r="E3136">
        <v>4.49</v>
      </c>
      <c r="F3136" s="3">
        <v>0.3488</v>
      </c>
      <c r="G3136">
        <v>4.4932999999999996</v>
      </c>
      <c r="H3136">
        <v>13.067</v>
      </c>
    </row>
    <row r="3137" spans="1:8" x14ac:dyDescent="0.25">
      <c r="A3137" t="s">
        <v>3143</v>
      </c>
      <c r="B3137">
        <v>62136</v>
      </c>
      <c r="C3137">
        <v>7897395000363</v>
      </c>
      <c r="D3137">
        <v>6.9</v>
      </c>
      <c r="E3137">
        <v>4.49</v>
      </c>
      <c r="F3137" s="3">
        <v>0.3488</v>
      </c>
      <c r="G3137">
        <v>4.4932999999999996</v>
      </c>
      <c r="H3137">
        <v>12.6</v>
      </c>
    </row>
    <row r="3138" spans="1:8" x14ac:dyDescent="0.25">
      <c r="A3138" t="s">
        <v>3144</v>
      </c>
      <c r="B3138">
        <v>15444</v>
      </c>
      <c r="C3138">
        <v>7898930672632</v>
      </c>
      <c r="D3138">
        <v>11.9</v>
      </c>
      <c r="E3138">
        <v>6.34</v>
      </c>
      <c r="F3138" s="3">
        <v>0.33990000000000004</v>
      </c>
      <c r="G3138">
        <v>4.6128999999999998</v>
      </c>
      <c r="H3138">
        <v>2.9670000000000001</v>
      </c>
    </row>
    <row r="3139" spans="1:8" x14ac:dyDescent="0.25">
      <c r="A3139" t="s">
        <v>3145</v>
      </c>
      <c r="B3139">
        <v>15445</v>
      </c>
      <c r="C3139">
        <v>7898930672649</v>
      </c>
      <c r="D3139">
        <v>13.9</v>
      </c>
      <c r="E3139">
        <v>7.75</v>
      </c>
      <c r="F3139" s="3">
        <v>0.32189999999999996</v>
      </c>
      <c r="G3139">
        <v>5.6382000000000003</v>
      </c>
      <c r="H3139">
        <v>6.367</v>
      </c>
    </row>
    <row r="3140" spans="1:8" x14ac:dyDescent="0.25">
      <c r="A3140" t="s">
        <v>3146</v>
      </c>
      <c r="B3140">
        <v>15446</v>
      </c>
      <c r="C3140">
        <v>7898930672656</v>
      </c>
      <c r="D3140">
        <v>16.899999999999999</v>
      </c>
      <c r="E3140">
        <v>10.119999999999999</v>
      </c>
      <c r="F3140" s="3">
        <v>0.2918</v>
      </c>
      <c r="G3140">
        <v>7.3639999999999999</v>
      </c>
      <c r="H3140">
        <v>4.9329999999999998</v>
      </c>
    </row>
    <row r="3141" spans="1:8" x14ac:dyDescent="0.25">
      <c r="A3141" t="s">
        <v>3147</v>
      </c>
      <c r="B3141">
        <v>60999</v>
      </c>
      <c r="C3141">
        <v>7891150084162</v>
      </c>
      <c r="D3141">
        <v>12.9</v>
      </c>
      <c r="E3141">
        <v>8.7100000000000009</v>
      </c>
      <c r="F3141" s="3">
        <v>0.32439999999999997</v>
      </c>
      <c r="G3141">
        <v>8.7149999999999999</v>
      </c>
      <c r="H3141">
        <v>0.13300000000000001</v>
      </c>
    </row>
    <row r="3142" spans="1:8" x14ac:dyDescent="0.25">
      <c r="A3142" t="s">
        <v>3148</v>
      </c>
      <c r="B3142">
        <v>58040</v>
      </c>
      <c r="C3142">
        <v>7891150071827</v>
      </c>
      <c r="D3142">
        <v>12.9</v>
      </c>
      <c r="E3142">
        <v>9.17</v>
      </c>
      <c r="F3142" s="3">
        <v>0.27960000000000002</v>
      </c>
      <c r="G3142">
        <v>9.2934000000000001</v>
      </c>
      <c r="H3142">
        <v>1.0329999999999999</v>
      </c>
    </row>
    <row r="3143" spans="1:8" x14ac:dyDescent="0.25">
      <c r="A3143" t="s">
        <v>3149</v>
      </c>
      <c r="B3143">
        <v>58043</v>
      </c>
      <c r="C3143">
        <v>7891150071810</v>
      </c>
      <c r="D3143">
        <v>17.899999999999999</v>
      </c>
      <c r="E3143">
        <v>12.58</v>
      </c>
      <c r="F3143" s="3">
        <v>0.29220000000000002</v>
      </c>
      <c r="G3143">
        <v>12.6693</v>
      </c>
      <c r="H3143">
        <v>0.433</v>
      </c>
    </row>
    <row r="3144" spans="1:8" x14ac:dyDescent="0.25">
      <c r="A3144" t="s">
        <v>3150</v>
      </c>
      <c r="B3144">
        <v>58042</v>
      </c>
      <c r="C3144">
        <v>7891150071803</v>
      </c>
      <c r="D3144">
        <v>17.899999999999999</v>
      </c>
      <c r="E3144">
        <v>12.66</v>
      </c>
      <c r="F3144" s="3">
        <v>0.29210000000000003</v>
      </c>
      <c r="G3144">
        <v>12.6708</v>
      </c>
      <c r="H3144">
        <v>0.5</v>
      </c>
    </row>
    <row r="3145" spans="1:8" x14ac:dyDescent="0.25">
      <c r="A3145" t="s">
        <v>3151</v>
      </c>
      <c r="B3145">
        <v>58041</v>
      </c>
      <c r="C3145">
        <v>7891150071797</v>
      </c>
      <c r="D3145">
        <v>17.899999999999999</v>
      </c>
      <c r="E3145">
        <v>12.63</v>
      </c>
      <c r="F3145" s="3">
        <v>0.29389999999999999</v>
      </c>
      <c r="G3145">
        <v>12.638400000000001</v>
      </c>
      <c r="H3145">
        <v>0.33300000000000002</v>
      </c>
    </row>
    <row r="3146" spans="1:8" x14ac:dyDescent="0.25">
      <c r="A3146" t="s">
        <v>3152</v>
      </c>
      <c r="B3146">
        <v>20177</v>
      </c>
      <c r="C3146">
        <v>7891024131459</v>
      </c>
      <c r="D3146">
        <v>16.989999999999998</v>
      </c>
      <c r="E3146">
        <v>15.08</v>
      </c>
      <c r="F3146" s="3">
        <v>0.11269999999999999</v>
      </c>
      <c r="G3146">
        <v>15.074999999999999</v>
      </c>
      <c r="H3146">
        <v>3.3000000000000002E-2</v>
      </c>
    </row>
    <row r="3147" spans="1:8" x14ac:dyDescent="0.25">
      <c r="A3147" t="s">
        <v>3153</v>
      </c>
      <c r="B3147">
        <v>37006</v>
      </c>
      <c r="C3147">
        <v>7891024131183</v>
      </c>
      <c r="D3147">
        <v>16.989999999999998</v>
      </c>
      <c r="E3147">
        <v>14.83</v>
      </c>
      <c r="F3147" s="3">
        <v>0.12520000000000001</v>
      </c>
      <c r="G3147">
        <v>14.8628</v>
      </c>
      <c r="H3147">
        <v>1.4670000000000001</v>
      </c>
    </row>
    <row r="3148" spans="1:8" x14ac:dyDescent="0.25">
      <c r="A3148" t="s">
        <v>3154</v>
      </c>
      <c r="B3148">
        <v>19983</v>
      </c>
      <c r="C3148">
        <v>7891024136133</v>
      </c>
      <c r="D3148">
        <v>16.989999999999998</v>
      </c>
      <c r="E3148">
        <v>14.6</v>
      </c>
      <c r="F3148" s="3">
        <v>0.1336</v>
      </c>
      <c r="G3148">
        <v>14.719799999999999</v>
      </c>
      <c r="H3148">
        <v>0.8</v>
      </c>
    </row>
    <row r="3149" spans="1:8" x14ac:dyDescent="0.25">
      <c r="A3149" t="s">
        <v>3155</v>
      </c>
      <c r="B3149">
        <v>37007</v>
      </c>
      <c r="C3149">
        <v>7891024027622</v>
      </c>
      <c r="D3149">
        <v>16.989999999999998</v>
      </c>
      <c r="E3149">
        <v>14.95</v>
      </c>
      <c r="F3149" s="3">
        <v>0.1188</v>
      </c>
      <c r="G3149">
        <v>14.9709</v>
      </c>
      <c r="H3149">
        <v>0.56699999999999995</v>
      </c>
    </row>
    <row r="3150" spans="1:8" x14ac:dyDescent="0.25">
      <c r="A3150" t="s">
        <v>3156</v>
      </c>
      <c r="B3150">
        <v>45001</v>
      </c>
      <c r="C3150">
        <v>7891024037126</v>
      </c>
      <c r="D3150">
        <v>25.9</v>
      </c>
      <c r="E3150">
        <v>17.690000000000001</v>
      </c>
      <c r="F3150" s="3">
        <v>0.317</v>
      </c>
      <c r="G3150">
        <v>17.688500000000001</v>
      </c>
      <c r="H3150">
        <v>0.6</v>
      </c>
    </row>
    <row r="3151" spans="1:8" x14ac:dyDescent="0.25">
      <c r="A3151" t="s">
        <v>3157</v>
      </c>
      <c r="B3151">
        <v>62832</v>
      </c>
      <c r="C3151">
        <v>7509546679617</v>
      </c>
      <c r="D3151">
        <v>18.989999999999998</v>
      </c>
      <c r="E3151">
        <v>16.07</v>
      </c>
      <c r="F3151" s="3">
        <v>0.14849999999999999</v>
      </c>
      <c r="G3151">
        <v>16.1708</v>
      </c>
      <c r="H3151">
        <v>2.367</v>
      </c>
    </row>
    <row r="3152" spans="1:8" x14ac:dyDescent="0.25">
      <c r="A3152" t="s">
        <v>3158</v>
      </c>
      <c r="B3152">
        <v>63579</v>
      </c>
      <c r="C3152">
        <v>7509546685939</v>
      </c>
      <c r="D3152">
        <v>18.989999999999998</v>
      </c>
      <c r="E3152">
        <v>16.239999999999998</v>
      </c>
      <c r="F3152" s="3">
        <v>0.12939999999999999</v>
      </c>
      <c r="G3152">
        <v>16.533000000000001</v>
      </c>
      <c r="H3152">
        <v>2.1669999999999998</v>
      </c>
    </row>
    <row r="3153" spans="1:8" x14ac:dyDescent="0.25">
      <c r="A3153" t="s">
        <v>3159</v>
      </c>
      <c r="B3153">
        <v>59166</v>
      </c>
      <c r="C3153">
        <v>7509546666983</v>
      </c>
      <c r="D3153">
        <v>23.9</v>
      </c>
      <c r="E3153">
        <v>16.8</v>
      </c>
      <c r="F3153" s="3">
        <v>0.2984</v>
      </c>
      <c r="G3153">
        <v>16.7685</v>
      </c>
      <c r="H3153">
        <v>0.13300000000000001</v>
      </c>
    </row>
    <row r="3154" spans="1:8" x14ac:dyDescent="0.25">
      <c r="A3154" t="s">
        <v>3160</v>
      </c>
      <c r="B3154">
        <v>58130</v>
      </c>
      <c r="C3154">
        <v>7509546662626</v>
      </c>
      <c r="D3154">
        <v>23.9</v>
      </c>
      <c r="E3154">
        <v>16.600000000000001</v>
      </c>
      <c r="F3154" s="3">
        <v>0.30430000000000001</v>
      </c>
      <c r="G3154">
        <v>16.6266</v>
      </c>
      <c r="H3154">
        <v>0.13300000000000001</v>
      </c>
    </row>
    <row r="3155" spans="1:8" x14ac:dyDescent="0.25">
      <c r="A3155" t="s">
        <v>3161</v>
      </c>
      <c r="B3155">
        <v>54204</v>
      </c>
      <c r="C3155">
        <v>7891024040560</v>
      </c>
      <c r="D3155">
        <v>12.99</v>
      </c>
      <c r="E3155">
        <v>12.21</v>
      </c>
      <c r="F3155" s="3">
        <v>5.9900000000000002E-2</v>
      </c>
      <c r="G3155">
        <v>12.211499999999999</v>
      </c>
      <c r="H3155">
        <v>0</v>
      </c>
    </row>
    <row r="3156" spans="1:8" x14ac:dyDescent="0.25">
      <c r="A3156" t="s">
        <v>3162</v>
      </c>
      <c r="B3156">
        <v>20155</v>
      </c>
      <c r="C3156">
        <v>7891024136409</v>
      </c>
      <c r="D3156">
        <v>12.99</v>
      </c>
      <c r="E3156">
        <v>12.56</v>
      </c>
      <c r="F3156" s="3">
        <v>3.0200000000000001E-2</v>
      </c>
      <c r="G3156">
        <v>12.597200000000001</v>
      </c>
      <c r="H3156">
        <v>1.633</v>
      </c>
    </row>
    <row r="3157" spans="1:8" x14ac:dyDescent="0.25">
      <c r="A3157" t="s">
        <v>3163</v>
      </c>
      <c r="B3157">
        <v>67348</v>
      </c>
      <c r="C3157">
        <v>7509546679525</v>
      </c>
      <c r="D3157">
        <v>17.899999999999999</v>
      </c>
      <c r="E3157">
        <v>12.22</v>
      </c>
      <c r="F3157" s="3">
        <v>0.31719999999999998</v>
      </c>
      <c r="G3157">
        <v>12.2216</v>
      </c>
      <c r="H3157">
        <v>0.46700000000000003</v>
      </c>
    </row>
    <row r="3158" spans="1:8" x14ac:dyDescent="0.25">
      <c r="A3158" t="s">
        <v>3164</v>
      </c>
      <c r="B3158">
        <v>67347</v>
      </c>
      <c r="C3158">
        <v>7509546679532</v>
      </c>
      <c r="D3158">
        <v>16.989999999999998</v>
      </c>
      <c r="E3158">
        <v>13.66</v>
      </c>
      <c r="F3158" s="3">
        <v>0.19579999999999997</v>
      </c>
      <c r="G3158">
        <v>13.663399999999999</v>
      </c>
      <c r="H3158">
        <v>6.7000000000000004E-2</v>
      </c>
    </row>
    <row r="3159" spans="1:8" x14ac:dyDescent="0.25">
      <c r="A3159" t="s">
        <v>3165</v>
      </c>
      <c r="B3159">
        <v>42545</v>
      </c>
      <c r="C3159">
        <v>7891024030806</v>
      </c>
      <c r="D3159">
        <v>17.899999999999999</v>
      </c>
      <c r="E3159">
        <v>13.2</v>
      </c>
      <c r="F3159" s="3">
        <v>0.2641</v>
      </c>
      <c r="G3159">
        <v>13.173</v>
      </c>
      <c r="H3159">
        <v>1.2</v>
      </c>
    </row>
    <row r="3160" spans="1:8" x14ac:dyDescent="0.25">
      <c r="A3160" t="s">
        <v>3166</v>
      </c>
      <c r="B3160">
        <v>20163</v>
      </c>
      <c r="C3160">
        <v>7891024136201</v>
      </c>
      <c r="D3160">
        <v>17.899999999999999</v>
      </c>
      <c r="E3160">
        <v>13.04</v>
      </c>
      <c r="F3160" s="3">
        <v>0.26489999999999997</v>
      </c>
      <c r="G3160">
        <v>13.158200000000001</v>
      </c>
      <c r="H3160">
        <v>1.0329999999999999</v>
      </c>
    </row>
    <row r="3161" spans="1:8" x14ac:dyDescent="0.25">
      <c r="A3161" t="s">
        <v>3167</v>
      </c>
      <c r="B3161">
        <v>54206</v>
      </c>
      <c r="C3161">
        <v>7891024040690</v>
      </c>
      <c r="D3161">
        <v>16.989999999999998</v>
      </c>
      <c r="E3161">
        <v>15.08</v>
      </c>
      <c r="F3161" s="3">
        <v>0.11269999999999999</v>
      </c>
      <c r="G3161">
        <v>15.074999999999999</v>
      </c>
      <c r="H3161">
        <v>0.53300000000000003</v>
      </c>
    </row>
    <row r="3162" spans="1:8" x14ac:dyDescent="0.25">
      <c r="A3162" t="s">
        <v>3168</v>
      </c>
      <c r="B3162">
        <v>66449</v>
      </c>
      <c r="C3162">
        <v>7891024136980</v>
      </c>
      <c r="D3162">
        <v>24.99</v>
      </c>
      <c r="E3162">
        <v>23.16</v>
      </c>
      <c r="F3162" s="3">
        <v>6.3899999999999998E-2</v>
      </c>
      <c r="G3162">
        <v>23.394200000000001</v>
      </c>
      <c r="H3162">
        <v>0.33300000000000002</v>
      </c>
    </row>
    <row r="3163" spans="1:8" x14ac:dyDescent="0.25">
      <c r="A3163" t="s">
        <v>3169</v>
      </c>
      <c r="B3163">
        <v>42546</v>
      </c>
      <c r="C3163">
        <v>7891024027370</v>
      </c>
      <c r="D3163">
        <v>24.99</v>
      </c>
      <c r="E3163">
        <v>23.11</v>
      </c>
      <c r="F3163" s="3">
        <v>7.2999999999999995E-2</v>
      </c>
      <c r="G3163">
        <v>23.1645</v>
      </c>
      <c r="H3163">
        <v>0.53300000000000003</v>
      </c>
    </row>
    <row r="3164" spans="1:8" x14ac:dyDescent="0.25">
      <c r="A3164" t="s">
        <v>3170</v>
      </c>
      <c r="B3164">
        <v>53498</v>
      </c>
      <c r="C3164">
        <v>7891024028704</v>
      </c>
      <c r="D3164">
        <v>18.899999999999999</v>
      </c>
      <c r="E3164">
        <v>13.9</v>
      </c>
      <c r="F3164" s="3">
        <v>0.24440000000000001</v>
      </c>
      <c r="G3164">
        <v>14.2805</v>
      </c>
      <c r="H3164">
        <v>0.3</v>
      </c>
    </row>
    <row r="3165" spans="1:8" x14ac:dyDescent="0.25">
      <c r="A3165" t="s">
        <v>3171</v>
      </c>
      <c r="B3165">
        <v>43948</v>
      </c>
      <c r="C3165">
        <v>7891024028834</v>
      </c>
      <c r="D3165">
        <v>18.899999999999999</v>
      </c>
      <c r="E3165">
        <v>13.99</v>
      </c>
      <c r="F3165" s="3">
        <v>0.26319999999999999</v>
      </c>
      <c r="G3165">
        <v>13.9246</v>
      </c>
      <c r="H3165">
        <v>0.3</v>
      </c>
    </row>
    <row r="3166" spans="1:8" x14ac:dyDescent="0.25">
      <c r="A3166" t="s">
        <v>3172</v>
      </c>
      <c r="B3166">
        <v>63578</v>
      </c>
      <c r="C3166">
        <v>7509546686615</v>
      </c>
      <c r="D3166">
        <v>23.9</v>
      </c>
      <c r="E3166">
        <v>16.899999999999999</v>
      </c>
      <c r="F3166" s="3">
        <v>0.29799999999999999</v>
      </c>
      <c r="G3166">
        <v>16.777899999999999</v>
      </c>
      <c r="H3166">
        <v>6.7000000000000004E-2</v>
      </c>
    </row>
    <row r="3167" spans="1:8" x14ac:dyDescent="0.25">
      <c r="A3167" t="s">
        <v>3173</v>
      </c>
      <c r="B3167">
        <v>43949</v>
      </c>
      <c r="C3167">
        <v>7891024028018</v>
      </c>
      <c r="D3167">
        <v>23.9</v>
      </c>
      <c r="E3167">
        <v>17.12</v>
      </c>
      <c r="F3167" s="3">
        <v>0.28249999999999997</v>
      </c>
      <c r="G3167">
        <v>17.148</v>
      </c>
      <c r="H3167">
        <v>6.7000000000000004E-2</v>
      </c>
    </row>
    <row r="3168" spans="1:8" x14ac:dyDescent="0.25">
      <c r="A3168" t="s">
        <v>3174</v>
      </c>
      <c r="B3168">
        <v>58746</v>
      </c>
      <c r="C3168">
        <v>7509546666990</v>
      </c>
      <c r="D3168">
        <v>23.9</v>
      </c>
      <c r="E3168">
        <v>17.3</v>
      </c>
      <c r="F3168" s="3">
        <v>0.27810000000000001</v>
      </c>
      <c r="G3168">
        <v>17.252600000000001</v>
      </c>
      <c r="H3168">
        <v>0.4</v>
      </c>
    </row>
    <row r="3169" spans="1:8" x14ac:dyDescent="0.25">
      <c r="A3169" t="s">
        <v>3175</v>
      </c>
      <c r="B3169">
        <v>58128</v>
      </c>
      <c r="C3169">
        <v>7509546664774</v>
      </c>
      <c r="D3169">
        <v>17.899999999999999</v>
      </c>
      <c r="E3169">
        <v>14.46</v>
      </c>
      <c r="F3169" s="3">
        <v>0.1845</v>
      </c>
      <c r="G3169">
        <v>14.5976</v>
      </c>
      <c r="H3169">
        <v>0.3</v>
      </c>
    </row>
    <row r="3170" spans="1:8" x14ac:dyDescent="0.25">
      <c r="A3170" t="s">
        <v>3176</v>
      </c>
      <c r="B3170">
        <v>66191</v>
      </c>
      <c r="C3170">
        <v>7891010256760</v>
      </c>
      <c r="D3170">
        <v>38.9</v>
      </c>
      <c r="E3170">
        <v>23.66</v>
      </c>
      <c r="F3170" s="3">
        <v>0.39189999999999997</v>
      </c>
      <c r="G3170">
        <v>23.655100000000001</v>
      </c>
      <c r="H3170">
        <v>16.5</v>
      </c>
    </row>
    <row r="3171" spans="1:8" x14ac:dyDescent="0.25">
      <c r="A3171" t="s">
        <v>3177</v>
      </c>
      <c r="B3171">
        <v>66193</v>
      </c>
      <c r="C3171">
        <v>7891010256777</v>
      </c>
      <c r="D3171">
        <v>38.9</v>
      </c>
      <c r="E3171">
        <v>23.66</v>
      </c>
      <c r="F3171" s="3">
        <v>0.39189999999999997</v>
      </c>
      <c r="G3171">
        <v>23.656099999999999</v>
      </c>
      <c r="H3171">
        <v>12.7</v>
      </c>
    </row>
    <row r="3172" spans="1:8" x14ac:dyDescent="0.25">
      <c r="A3172" t="s">
        <v>3178</v>
      </c>
      <c r="B3172">
        <v>66167</v>
      </c>
      <c r="C3172">
        <v>7702031988250</v>
      </c>
      <c r="D3172">
        <v>20.9</v>
      </c>
      <c r="E3172">
        <v>14.32</v>
      </c>
      <c r="F3172" s="3">
        <v>0.31440000000000001</v>
      </c>
      <c r="G3172">
        <v>14.329599999999999</v>
      </c>
      <c r="H3172">
        <v>0.53300000000000003</v>
      </c>
    </row>
    <row r="3173" spans="1:8" x14ac:dyDescent="0.25">
      <c r="A3173" t="s">
        <v>3179</v>
      </c>
      <c r="B3173">
        <v>7521</v>
      </c>
      <c r="C3173">
        <v>7891268400014</v>
      </c>
      <c r="D3173">
        <v>16.899999999999999</v>
      </c>
      <c r="E3173">
        <v>10.54</v>
      </c>
      <c r="F3173" s="3">
        <v>0.3765</v>
      </c>
      <c r="G3173">
        <v>10.536799999999999</v>
      </c>
      <c r="H3173">
        <v>1.1000000000000001</v>
      </c>
    </row>
    <row r="3174" spans="1:8" x14ac:dyDescent="0.25">
      <c r="A3174" t="s">
        <v>3180</v>
      </c>
      <c r="B3174">
        <v>66170</v>
      </c>
      <c r="C3174">
        <v>7891010973902</v>
      </c>
      <c r="D3174">
        <v>17.899999999999999</v>
      </c>
      <c r="E3174">
        <v>10.54</v>
      </c>
      <c r="F3174" s="3">
        <v>0.41139999999999999</v>
      </c>
      <c r="G3174">
        <v>10.5367</v>
      </c>
      <c r="H3174">
        <v>1.5</v>
      </c>
    </row>
    <row r="3175" spans="1:8" x14ac:dyDescent="0.25">
      <c r="A3175" t="s">
        <v>3181</v>
      </c>
      <c r="B3175">
        <v>66176</v>
      </c>
      <c r="C3175">
        <v>7702035833792</v>
      </c>
      <c r="D3175">
        <v>20.9</v>
      </c>
      <c r="E3175">
        <v>14.31</v>
      </c>
      <c r="F3175" s="3">
        <v>0.31519999999999998</v>
      </c>
      <c r="G3175">
        <v>14.3133</v>
      </c>
      <c r="H3175">
        <v>6.7000000000000004E-2</v>
      </c>
    </row>
    <row r="3176" spans="1:8" x14ac:dyDescent="0.25">
      <c r="A3176" t="s">
        <v>3182</v>
      </c>
      <c r="B3176">
        <v>66189</v>
      </c>
      <c r="C3176">
        <v>7891010256043</v>
      </c>
      <c r="D3176">
        <v>17.899999999999999</v>
      </c>
      <c r="E3176">
        <v>10.54</v>
      </c>
      <c r="F3176" s="3">
        <v>0.41139999999999999</v>
      </c>
      <c r="G3176">
        <v>10.5367</v>
      </c>
      <c r="H3176">
        <v>0.46700000000000003</v>
      </c>
    </row>
    <row r="3177" spans="1:8" x14ac:dyDescent="0.25">
      <c r="A3177" t="s">
        <v>3183</v>
      </c>
      <c r="B3177">
        <v>14421</v>
      </c>
      <c r="C3177">
        <v>7891268400076</v>
      </c>
      <c r="D3177">
        <v>20.9</v>
      </c>
      <c r="E3177">
        <v>14.33</v>
      </c>
      <c r="F3177" s="3">
        <v>0.31430000000000002</v>
      </c>
      <c r="G3177">
        <v>14.331799999999999</v>
      </c>
      <c r="H3177">
        <v>0.3</v>
      </c>
    </row>
    <row r="3178" spans="1:8" x14ac:dyDescent="0.25">
      <c r="A3178" t="s">
        <v>3184</v>
      </c>
      <c r="B3178">
        <v>66184</v>
      </c>
      <c r="C3178">
        <v>7891010987770</v>
      </c>
      <c r="D3178">
        <v>20.9</v>
      </c>
      <c r="E3178">
        <v>14.33</v>
      </c>
      <c r="F3178" s="3">
        <v>0.31420000000000003</v>
      </c>
      <c r="G3178">
        <v>14.333299999999999</v>
      </c>
      <c r="H3178">
        <v>0.36699999999999999</v>
      </c>
    </row>
    <row r="3179" spans="1:8" x14ac:dyDescent="0.25">
      <c r="A3179" t="s">
        <v>3185</v>
      </c>
      <c r="B3179">
        <v>66182</v>
      </c>
      <c r="C3179">
        <v>7891010880842</v>
      </c>
      <c r="D3179">
        <v>20.9</v>
      </c>
      <c r="E3179">
        <v>14.33</v>
      </c>
      <c r="F3179" s="3">
        <v>0.31440000000000001</v>
      </c>
      <c r="G3179">
        <v>14.3301</v>
      </c>
      <c r="H3179">
        <v>0.13300000000000001</v>
      </c>
    </row>
    <row r="3180" spans="1:8" x14ac:dyDescent="0.25">
      <c r="A3180" t="s">
        <v>3186</v>
      </c>
      <c r="B3180">
        <v>66180</v>
      </c>
      <c r="C3180">
        <v>7891010245238</v>
      </c>
      <c r="D3180">
        <v>20.9</v>
      </c>
      <c r="E3180">
        <v>14.27</v>
      </c>
      <c r="F3180" s="3">
        <v>0.31440000000000001</v>
      </c>
      <c r="G3180">
        <v>14.3283</v>
      </c>
      <c r="H3180">
        <v>0.76700000000000002</v>
      </c>
    </row>
    <row r="3181" spans="1:8" x14ac:dyDescent="0.25">
      <c r="A3181" t="s">
        <v>3187</v>
      </c>
      <c r="B3181">
        <v>66169</v>
      </c>
      <c r="C3181">
        <v>7891268400113</v>
      </c>
      <c r="D3181">
        <v>22.9</v>
      </c>
      <c r="E3181">
        <v>14.9</v>
      </c>
      <c r="F3181" s="3">
        <v>0.34939999999999999</v>
      </c>
      <c r="G3181">
        <v>14.8986</v>
      </c>
      <c r="H3181">
        <v>0.96699999999999997</v>
      </c>
    </row>
    <row r="3182" spans="1:8" x14ac:dyDescent="0.25">
      <c r="A3182" t="s">
        <v>3188</v>
      </c>
      <c r="B3182">
        <v>66181</v>
      </c>
      <c r="C3182">
        <v>7702035833808</v>
      </c>
      <c r="D3182">
        <v>30.9</v>
      </c>
      <c r="E3182">
        <v>20.65</v>
      </c>
      <c r="F3182" s="3">
        <v>0.33169999999999999</v>
      </c>
      <c r="G3182">
        <v>20.65</v>
      </c>
      <c r="H3182">
        <v>0.5</v>
      </c>
    </row>
    <row r="3183" spans="1:8" x14ac:dyDescent="0.25">
      <c r="A3183" t="s">
        <v>3189</v>
      </c>
      <c r="B3183">
        <v>66175</v>
      </c>
      <c r="C3183">
        <v>7891268400212</v>
      </c>
      <c r="D3183">
        <v>30.9</v>
      </c>
      <c r="E3183">
        <v>20.65</v>
      </c>
      <c r="F3183" s="3">
        <v>0.33169999999999999</v>
      </c>
      <c r="G3183">
        <v>20.65</v>
      </c>
      <c r="H3183">
        <v>0.1</v>
      </c>
    </row>
    <row r="3184" spans="1:8" x14ac:dyDescent="0.25">
      <c r="A3184" t="s">
        <v>3190</v>
      </c>
      <c r="B3184">
        <v>66187</v>
      </c>
      <c r="C3184">
        <v>7891010987787</v>
      </c>
      <c r="D3184">
        <v>30.9</v>
      </c>
      <c r="E3184">
        <v>20.65</v>
      </c>
      <c r="F3184" s="3">
        <v>0.33169999999999999</v>
      </c>
      <c r="G3184">
        <v>20.65</v>
      </c>
      <c r="H3184">
        <v>0.46700000000000003</v>
      </c>
    </row>
    <row r="3185" spans="1:8" x14ac:dyDescent="0.25">
      <c r="A3185" t="s">
        <v>3191</v>
      </c>
      <c r="B3185">
        <v>66171</v>
      </c>
      <c r="C3185">
        <v>7891010974312</v>
      </c>
      <c r="D3185">
        <v>23.9</v>
      </c>
      <c r="E3185">
        <v>14.93</v>
      </c>
      <c r="F3185" s="3">
        <v>0.37680000000000002</v>
      </c>
      <c r="G3185">
        <v>14.895099999999999</v>
      </c>
      <c r="H3185">
        <v>1.1000000000000001</v>
      </c>
    </row>
    <row r="3186" spans="1:8" x14ac:dyDescent="0.25">
      <c r="A3186" t="s">
        <v>3192</v>
      </c>
      <c r="B3186">
        <v>66185</v>
      </c>
      <c r="C3186">
        <v>7891010880859</v>
      </c>
      <c r="D3186">
        <v>30.9</v>
      </c>
      <c r="E3186">
        <v>20.65</v>
      </c>
      <c r="F3186" s="3">
        <v>0.33169999999999999</v>
      </c>
      <c r="G3186">
        <v>20.65</v>
      </c>
      <c r="H3186">
        <v>0.36699999999999999</v>
      </c>
    </row>
    <row r="3187" spans="1:8" x14ac:dyDescent="0.25">
      <c r="A3187" t="s">
        <v>3193</v>
      </c>
      <c r="B3187">
        <v>66188</v>
      </c>
      <c r="C3187">
        <v>7891010256050</v>
      </c>
      <c r="D3187">
        <v>23.9</v>
      </c>
      <c r="E3187">
        <v>14.86</v>
      </c>
      <c r="F3187" s="3">
        <v>0.37810000000000005</v>
      </c>
      <c r="G3187">
        <v>14.8642</v>
      </c>
      <c r="H3187">
        <v>1.2669999999999999</v>
      </c>
    </row>
    <row r="3188" spans="1:8" x14ac:dyDescent="0.25">
      <c r="A3188" t="s">
        <v>3194</v>
      </c>
      <c r="B3188">
        <v>66178</v>
      </c>
      <c r="C3188">
        <v>7891010245245</v>
      </c>
      <c r="D3188">
        <v>30.9</v>
      </c>
      <c r="E3188">
        <v>20.65</v>
      </c>
      <c r="F3188" s="3">
        <v>0.33169999999999999</v>
      </c>
      <c r="G3188">
        <v>20.65</v>
      </c>
      <c r="H3188">
        <v>0.33300000000000002</v>
      </c>
    </row>
    <row r="3189" spans="1:8" x14ac:dyDescent="0.25">
      <c r="A3189" t="s">
        <v>3195</v>
      </c>
      <c r="B3189">
        <v>26382</v>
      </c>
      <c r="C3189">
        <v>7898629610679</v>
      </c>
      <c r="D3189">
        <v>4.99</v>
      </c>
      <c r="E3189">
        <v>1.5</v>
      </c>
      <c r="F3189" s="3">
        <v>0.63470000000000004</v>
      </c>
      <c r="G3189">
        <v>1.3613</v>
      </c>
      <c r="H3189">
        <v>1.5669999999999999</v>
      </c>
    </row>
    <row r="3190" spans="1:8" x14ac:dyDescent="0.25">
      <c r="A3190" t="s">
        <v>3196</v>
      </c>
      <c r="B3190">
        <v>26295</v>
      </c>
      <c r="C3190">
        <v>7898629610754</v>
      </c>
      <c r="D3190">
        <v>4.99</v>
      </c>
      <c r="E3190">
        <v>1.75</v>
      </c>
      <c r="F3190" s="3">
        <v>0.58920000000000006</v>
      </c>
      <c r="G3190">
        <v>1.5882000000000001</v>
      </c>
      <c r="H3190">
        <v>4.0670000000000002</v>
      </c>
    </row>
    <row r="3191" spans="1:8" x14ac:dyDescent="0.25">
      <c r="A3191" t="s">
        <v>3197</v>
      </c>
      <c r="B3191">
        <v>4888</v>
      </c>
      <c r="C3191">
        <v>7891095154241</v>
      </c>
      <c r="D3191">
        <v>12.9</v>
      </c>
      <c r="E3191">
        <v>7.18</v>
      </c>
      <c r="F3191" s="3">
        <v>0.32130000000000003</v>
      </c>
      <c r="G3191">
        <v>5.2397999999999998</v>
      </c>
      <c r="H3191">
        <v>2.6669999999999998</v>
      </c>
    </row>
    <row r="3192" spans="1:8" x14ac:dyDescent="0.25">
      <c r="A3192" t="s">
        <v>3198</v>
      </c>
      <c r="B3192">
        <v>67537</v>
      </c>
      <c r="C3192">
        <v>7896045031115</v>
      </c>
      <c r="D3192">
        <v>7.99</v>
      </c>
      <c r="E3192">
        <v>5.63</v>
      </c>
      <c r="F3192" s="3">
        <v>0.26739999999999997</v>
      </c>
      <c r="G3192">
        <v>5.1142000000000003</v>
      </c>
      <c r="H3192">
        <v>0.3</v>
      </c>
    </row>
    <row r="3193" spans="1:8" x14ac:dyDescent="0.25">
      <c r="A3193" t="s">
        <v>3199</v>
      </c>
      <c r="B3193">
        <v>67538</v>
      </c>
      <c r="C3193">
        <v>7896045030019</v>
      </c>
      <c r="D3193">
        <v>7.99</v>
      </c>
      <c r="E3193">
        <v>5.68</v>
      </c>
      <c r="F3193" s="3">
        <v>0.26179999999999998</v>
      </c>
      <c r="G3193">
        <v>5.1595000000000004</v>
      </c>
      <c r="H3193">
        <v>6.7000000000000004E-2</v>
      </c>
    </row>
    <row r="3194" spans="1:8" x14ac:dyDescent="0.25">
      <c r="A3194" t="s">
        <v>3200</v>
      </c>
      <c r="B3194">
        <v>26309</v>
      </c>
      <c r="C3194">
        <v>7898629610747</v>
      </c>
      <c r="D3194">
        <v>6.49</v>
      </c>
      <c r="E3194">
        <v>2</v>
      </c>
      <c r="F3194" s="3">
        <v>0.62780000000000002</v>
      </c>
      <c r="G3194">
        <v>1.8149999999999999</v>
      </c>
      <c r="H3194">
        <v>4.0330000000000004</v>
      </c>
    </row>
    <row r="3195" spans="1:8" x14ac:dyDescent="0.25">
      <c r="A3195" t="s">
        <v>3201</v>
      </c>
      <c r="B3195">
        <v>6517</v>
      </c>
      <c r="C3195">
        <v>3083681080926</v>
      </c>
      <c r="D3195">
        <v>4.99</v>
      </c>
      <c r="E3195">
        <v>3.34</v>
      </c>
      <c r="F3195" s="3">
        <v>0.29980000000000001</v>
      </c>
      <c r="G3195">
        <v>3.0324</v>
      </c>
      <c r="H3195">
        <v>56.633000000000003</v>
      </c>
    </row>
    <row r="3196" spans="1:8" x14ac:dyDescent="0.25">
      <c r="A3196" t="s">
        <v>3202</v>
      </c>
      <c r="B3196">
        <v>40912</v>
      </c>
      <c r="C3196">
        <v>3083681069549</v>
      </c>
      <c r="D3196">
        <v>5.99</v>
      </c>
      <c r="E3196">
        <v>4.38</v>
      </c>
      <c r="F3196" s="3">
        <v>0.2432</v>
      </c>
      <c r="G3196">
        <v>3.9790999999999999</v>
      </c>
      <c r="H3196">
        <v>1.833</v>
      </c>
    </row>
    <row r="3197" spans="1:8" x14ac:dyDescent="0.25">
      <c r="A3197" t="s">
        <v>3203</v>
      </c>
      <c r="B3197">
        <v>3631</v>
      </c>
      <c r="C3197">
        <v>7896006750710</v>
      </c>
      <c r="D3197">
        <v>8.9</v>
      </c>
      <c r="E3197">
        <v>5.89</v>
      </c>
      <c r="F3197" s="3">
        <v>0.27800000000000002</v>
      </c>
      <c r="G3197">
        <v>4.8239000000000001</v>
      </c>
      <c r="H3197">
        <v>3.5329999999999999</v>
      </c>
    </row>
    <row r="3198" spans="1:8" x14ac:dyDescent="0.25">
      <c r="A3198" t="s">
        <v>3204</v>
      </c>
      <c r="B3198">
        <v>8213</v>
      </c>
      <c r="C3198">
        <v>3083680003766</v>
      </c>
      <c r="D3198">
        <v>24.9</v>
      </c>
      <c r="E3198">
        <v>15.47</v>
      </c>
      <c r="F3198" s="3">
        <v>0.30510000000000004</v>
      </c>
      <c r="G3198">
        <v>15.000999999999999</v>
      </c>
      <c r="H3198">
        <v>0.26700000000000002</v>
      </c>
    </row>
    <row r="3199" spans="1:8" x14ac:dyDescent="0.25">
      <c r="A3199" t="s">
        <v>3205</v>
      </c>
      <c r="B3199">
        <v>6641</v>
      </c>
      <c r="C3199">
        <v>7891032013457</v>
      </c>
      <c r="D3199">
        <v>5.49</v>
      </c>
      <c r="E3199">
        <v>3.64</v>
      </c>
      <c r="F3199" s="3">
        <v>0.30359999999999998</v>
      </c>
      <c r="G3199">
        <v>3.3153999999999999</v>
      </c>
      <c r="H3199">
        <v>2.2000000000000002</v>
      </c>
    </row>
    <row r="3200" spans="1:8" x14ac:dyDescent="0.25">
      <c r="A3200" t="s">
        <v>3206</v>
      </c>
      <c r="B3200">
        <v>6648</v>
      </c>
      <c r="C3200">
        <v>7896102501308</v>
      </c>
      <c r="D3200">
        <v>4.99</v>
      </c>
      <c r="E3200">
        <v>3.7</v>
      </c>
      <c r="F3200" s="3">
        <v>0.2351</v>
      </c>
      <c r="G3200">
        <v>3.3553999999999999</v>
      </c>
      <c r="H3200">
        <v>2.2000000000000002</v>
      </c>
    </row>
    <row r="3201" spans="1:8" x14ac:dyDescent="0.25">
      <c r="A3201" t="s">
        <v>3207</v>
      </c>
      <c r="B3201">
        <v>15028</v>
      </c>
      <c r="C3201">
        <v>3083680004572</v>
      </c>
      <c r="D3201">
        <v>23.9</v>
      </c>
      <c r="E3201">
        <v>16.809999999999999</v>
      </c>
      <c r="F3201" s="3">
        <v>0.26039999999999996</v>
      </c>
      <c r="G3201">
        <v>15.4666</v>
      </c>
      <c r="H3201">
        <v>0.26700000000000002</v>
      </c>
    </row>
    <row r="3202" spans="1:8" x14ac:dyDescent="0.25">
      <c r="A3202" t="s">
        <v>3208</v>
      </c>
      <c r="B3202">
        <v>48242</v>
      </c>
      <c r="C3202">
        <v>7891150058897</v>
      </c>
      <c r="D3202">
        <v>4.49</v>
      </c>
      <c r="E3202">
        <v>3.18</v>
      </c>
      <c r="F3202" s="3">
        <v>0.26530000000000004</v>
      </c>
      <c r="G3202">
        <v>2.8835000000000002</v>
      </c>
      <c r="H3202">
        <v>9.0670000000000002</v>
      </c>
    </row>
    <row r="3203" spans="1:8" x14ac:dyDescent="0.25">
      <c r="A3203" t="s">
        <v>3209</v>
      </c>
      <c r="B3203">
        <v>32084</v>
      </c>
      <c r="C3203">
        <v>3083681026108</v>
      </c>
      <c r="D3203">
        <v>5.99</v>
      </c>
      <c r="E3203">
        <v>4.17</v>
      </c>
      <c r="F3203" s="3">
        <v>0.2762</v>
      </c>
      <c r="G3203">
        <v>3.7814000000000001</v>
      </c>
      <c r="H3203">
        <v>5.8</v>
      </c>
    </row>
    <row r="3204" spans="1:8" x14ac:dyDescent="0.25">
      <c r="A3204" t="s">
        <v>3210</v>
      </c>
      <c r="B3204">
        <v>3635</v>
      </c>
      <c r="C3204">
        <v>7891095911288</v>
      </c>
      <c r="D3204">
        <v>12.9</v>
      </c>
      <c r="E3204">
        <v>7.54</v>
      </c>
      <c r="F3204" s="3">
        <v>0.34060000000000001</v>
      </c>
      <c r="G3204">
        <v>6.1845999999999997</v>
      </c>
      <c r="H3204">
        <v>4.4669999999999996</v>
      </c>
    </row>
    <row r="3205" spans="1:8" x14ac:dyDescent="0.25">
      <c r="A3205" t="s">
        <v>3211</v>
      </c>
      <c r="B3205">
        <v>6661</v>
      </c>
      <c r="C3205">
        <v>7896102501018</v>
      </c>
      <c r="D3205">
        <v>4.49</v>
      </c>
      <c r="E3205">
        <v>3.24</v>
      </c>
      <c r="F3205" s="3">
        <v>0.25590000000000002</v>
      </c>
      <c r="G3205">
        <v>2.9255</v>
      </c>
      <c r="H3205">
        <v>6.8330000000000002</v>
      </c>
    </row>
    <row r="3206" spans="1:8" x14ac:dyDescent="0.25">
      <c r="A3206" t="s">
        <v>3212</v>
      </c>
      <c r="B3206">
        <v>67691</v>
      </c>
      <c r="C3206">
        <v>7896102500837</v>
      </c>
      <c r="D3206">
        <v>4.49</v>
      </c>
      <c r="E3206">
        <v>3.26</v>
      </c>
      <c r="F3206" s="3">
        <v>0.24829999999999999</v>
      </c>
      <c r="G3206">
        <v>2.96</v>
      </c>
      <c r="H3206">
        <v>6.2670000000000003</v>
      </c>
    </row>
    <row r="3207" spans="1:8" x14ac:dyDescent="0.25">
      <c r="A3207" t="s">
        <v>3213</v>
      </c>
      <c r="B3207">
        <v>13884</v>
      </c>
      <c r="C3207">
        <v>7891055606407</v>
      </c>
      <c r="D3207">
        <v>12.9</v>
      </c>
      <c r="E3207">
        <v>8.09</v>
      </c>
      <c r="F3207" s="3">
        <v>0.27140000000000003</v>
      </c>
      <c r="G3207">
        <v>5.8833000000000002</v>
      </c>
      <c r="H3207">
        <v>3.3000000000000002E-2</v>
      </c>
    </row>
    <row r="3208" spans="1:8" x14ac:dyDescent="0.25">
      <c r="A3208" t="s">
        <v>3214</v>
      </c>
      <c r="B3208">
        <v>7326</v>
      </c>
      <c r="C3208">
        <v>7891055680728</v>
      </c>
      <c r="D3208">
        <v>19.899999999999999</v>
      </c>
      <c r="E3208">
        <v>12.62</v>
      </c>
      <c r="F3208" s="3">
        <v>0.33200000000000002</v>
      </c>
      <c r="G3208">
        <v>11.4534</v>
      </c>
      <c r="H3208">
        <v>0</v>
      </c>
    </row>
    <row r="3209" spans="1:8" x14ac:dyDescent="0.25">
      <c r="A3209" t="s">
        <v>3215</v>
      </c>
      <c r="B3209">
        <v>7305</v>
      </c>
      <c r="C3209">
        <v>7891055685228</v>
      </c>
      <c r="D3209">
        <v>30.9</v>
      </c>
      <c r="E3209">
        <v>21.18</v>
      </c>
      <c r="F3209" s="3">
        <v>0.28559999999999997</v>
      </c>
      <c r="G3209">
        <v>19.215699999999998</v>
      </c>
      <c r="H3209">
        <v>0</v>
      </c>
    </row>
    <row r="3210" spans="1:8" x14ac:dyDescent="0.25">
      <c r="A3210" t="s">
        <v>3216</v>
      </c>
      <c r="B3210">
        <v>7306</v>
      </c>
      <c r="C3210">
        <v>7891055685020</v>
      </c>
      <c r="D3210">
        <v>20.9</v>
      </c>
      <c r="E3210">
        <v>13.54</v>
      </c>
      <c r="F3210" s="3">
        <v>0.31709999999999999</v>
      </c>
      <c r="G3210">
        <v>12.34</v>
      </c>
      <c r="H3210">
        <v>0.13300000000000001</v>
      </c>
    </row>
    <row r="3211" spans="1:8" x14ac:dyDescent="0.25">
      <c r="A3211" t="s">
        <v>3217</v>
      </c>
      <c r="B3211">
        <v>7252</v>
      </c>
      <c r="C3211">
        <v>7891055685327</v>
      </c>
      <c r="D3211">
        <v>20.9</v>
      </c>
      <c r="E3211">
        <v>14.21</v>
      </c>
      <c r="F3211" s="3">
        <v>0.29059999999999997</v>
      </c>
      <c r="G3211">
        <v>12.8933</v>
      </c>
      <c r="H3211">
        <v>3.3000000000000002E-2</v>
      </c>
    </row>
    <row r="3212" spans="1:8" x14ac:dyDescent="0.25">
      <c r="A3212" t="s">
        <v>3218</v>
      </c>
      <c r="B3212">
        <v>7308</v>
      </c>
      <c r="C3212">
        <v>7891055682029</v>
      </c>
      <c r="D3212">
        <v>20.9</v>
      </c>
      <c r="E3212">
        <v>12.48</v>
      </c>
      <c r="F3212" s="3">
        <v>0.36049999999999999</v>
      </c>
      <c r="G3212">
        <v>11.432</v>
      </c>
      <c r="H3212">
        <v>0.13300000000000001</v>
      </c>
    </row>
    <row r="3213" spans="1:8" x14ac:dyDescent="0.25">
      <c r="A3213" t="s">
        <v>3219</v>
      </c>
      <c r="B3213">
        <v>7328</v>
      </c>
      <c r="C3213">
        <v>7891055682128</v>
      </c>
      <c r="D3213">
        <v>20.9</v>
      </c>
      <c r="E3213">
        <v>13.37</v>
      </c>
      <c r="F3213" s="3">
        <v>0.32689999999999997</v>
      </c>
      <c r="G3213">
        <v>12.135</v>
      </c>
      <c r="H3213">
        <v>3.3000000000000002E-2</v>
      </c>
    </row>
    <row r="3214" spans="1:8" x14ac:dyDescent="0.25">
      <c r="A3214" t="s">
        <v>3220</v>
      </c>
      <c r="B3214">
        <v>7336</v>
      </c>
      <c r="C3214">
        <v>7891055680629</v>
      </c>
      <c r="D3214">
        <v>20.9</v>
      </c>
      <c r="E3214">
        <v>12.96</v>
      </c>
      <c r="F3214" s="3">
        <v>0.3448</v>
      </c>
      <c r="G3214">
        <v>11.761100000000001</v>
      </c>
      <c r="H3214">
        <v>6.7000000000000004E-2</v>
      </c>
    </row>
    <row r="3215" spans="1:8" x14ac:dyDescent="0.25">
      <c r="A3215" t="s">
        <v>3221</v>
      </c>
      <c r="B3215">
        <v>7303</v>
      </c>
      <c r="C3215">
        <v>7891055688724</v>
      </c>
      <c r="D3215">
        <v>20.9</v>
      </c>
      <c r="E3215">
        <v>11.66</v>
      </c>
      <c r="F3215" s="3">
        <v>0.40110000000000001</v>
      </c>
      <c r="G3215">
        <v>10.583600000000001</v>
      </c>
      <c r="H3215">
        <v>0.3</v>
      </c>
    </row>
    <row r="3216" spans="1:8" x14ac:dyDescent="0.25">
      <c r="A3216" t="s">
        <v>3222</v>
      </c>
      <c r="B3216">
        <v>44145</v>
      </c>
      <c r="C3216">
        <v>8710908853302</v>
      </c>
      <c r="D3216">
        <v>22.9</v>
      </c>
      <c r="E3216">
        <v>12.6</v>
      </c>
      <c r="F3216" s="3">
        <v>0.45</v>
      </c>
      <c r="G3216">
        <v>12.596</v>
      </c>
      <c r="H3216">
        <v>6.7000000000000004E-2</v>
      </c>
    </row>
    <row r="3217" spans="1:8" x14ac:dyDescent="0.25">
      <c r="A3217" t="s">
        <v>3223</v>
      </c>
      <c r="B3217">
        <v>37005</v>
      </c>
      <c r="C3217">
        <v>7509546065465</v>
      </c>
      <c r="D3217">
        <v>21.9</v>
      </c>
      <c r="E3217">
        <v>17.059999999999999</v>
      </c>
      <c r="F3217" s="3">
        <v>0.21940000000000001</v>
      </c>
      <c r="G3217">
        <v>17.095600000000001</v>
      </c>
      <c r="H3217">
        <v>1.367</v>
      </c>
    </row>
    <row r="3218" spans="1:8" x14ac:dyDescent="0.25">
      <c r="A3218" t="s">
        <v>3224</v>
      </c>
      <c r="B3218">
        <v>19968</v>
      </c>
      <c r="C3218">
        <v>7891024116319</v>
      </c>
      <c r="D3218">
        <v>21.9</v>
      </c>
      <c r="E3218">
        <v>16.89</v>
      </c>
      <c r="F3218" s="3">
        <v>0.22750000000000001</v>
      </c>
      <c r="G3218">
        <v>16.9178</v>
      </c>
      <c r="H3218">
        <v>1.333</v>
      </c>
    </row>
    <row r="3219" spans="1:8" x14ac:dyDescent="0.25">
      <c r="A3219" t="s">
        <v>3225</v>
      </c>
      <c r="B3219">
        <v>19970</v>
      </c>
      <c r="C3219">
        <v>7509546055169</v>
      </c>
      <c r="D3219">
        <v>20.9</v>
      </c>
      <c r="E3219">
        <v>15.6</v>
      </c>
      <c r="F3219" s="3">
        <v>0.2535</v>
      </c>
      <c r="G3219">
        <v>15.601599999999999</v>
      </c>
      <c r="H3219">
        <v>0.433</v>
      </c>
    </row>
    <row r="3220" spans="1:8" x14ac:dyDescent="0.25">
      <c r="A3220" t="s">
        <v>3226</v>
      </c>
      <c r="B3220">
        <v>62718</v>
      </c>
      <c r="C3220">
        <v>7891024026434</v>
      </c>
      <c r="D3220">
        <v>10.39</v>
      </c>
      <c r="E3220">
        <v>9.0299999999999994</v>
      </c>
      <c r="F3220" s="3">
        <v>0.12939999999999999</v>
      </c>
      <c r="G3220">
        <v>9.0451999999999995</v>
      </c>
      <c r="H3220">
        <v>7.1</v>
      </c>
    </row>
    <row r="3221" spans="1:8" x14ac:dyDescent="0.25">
      <c r="A3221" t="s">
        <v>3227</v>
      </c>
      <c r="B3221">
        <v>19926</v>
      </c>
      <c r="C3221">
        <v>7891024184608</v>
      </c>
      <c r="D3221">
        <v>6.9</v>
      </c>
      <c r="E3221">
        <v>3.91</v>
      </c>
      <c r="F3221" s="3">
        <v>0.43290000000000001</v>
      </c>
      <c r="G3221">
        <v>3.9129</v>
      </c>
      <c r="H3221">
        <v>0.433</v>
      </c>
    </row>
    <row r="3222" spans="1:8" x14ac:dyDescent="0.25">
      <c r="A3222" t="s">
        <v>3228</v>
      </c>
      <c r="B3222">
        <v>57403</v>
      </c>
      <c r="C3222">
        <v>7509546653143</v>
      </c>
      <c r="D3222">
        <v>29.9</v>
      </c>
      <c r="E3222">
        <v>20.39</v>
      </c>
      <c r="F3222" s="3">
        <v>0.31540000000000001</v>
      </c>
      <c r="G3222">
        <v>20.469899999999999</v>
      </c>
      <c r="H3222">
        <v>0.6</v>
      </c>
    </row>
    <row r="3223" spans="1:8" x14ac:dyDescent="0.25">
      <c r="A3223" t="s">
        <v>3229</v>
      </c>
      <c r="B3223">
        <v>63881</v>
      </c>
      <c r="C3223">
        <v>8710103985365</v>
      </c>
      <c r="D3223">
        <v>163</v>
      </c>
      <c r="E3223">
        <v>168.11</v>
      </c>
      <c r="F3223" s="3">
        <v>-2.8500000000000001E-2</v>
      </c>
      <c r="G3223">
        <v>152.56209999999999</v>
      </c>
      <c r="H3223">
        <v>3.3000000000000002E-2</v>
      </c>
    </row>
    <row r="3224" spans="1:8" x14ac:dyDescent="0.25">
      <c r="A3224" t="s">
        <v>3230</v>
      </c>
      <c r="B3224">
        <v>19918</v>
      </c>
      <c r="C3224">
        <v>7891024024386</v>
      </c>
      <c r="D3224">
        <v>4.99</v>
      </c>
      <c r="E3224">
        <v>3.14</v>
      </c>
      <c r="F3224" s="3">
        <v>0.37009999999999998</v>
      </c>
      <c r="G3224">
        <v>3.1431</v>
      </c>
      <c r="H3224">
        <v>0.93300000000000005</v>
      </c>
    </row>
    <row r="3225" spans="1:8" x14ac:dyDescent="0.25">
      <c r="A3225" t="s">
        <v>3231</v>
      </c>
      <c r="B3225">
        <v>19958</v>
      </c>
      <c r="C3225">
        <v>7891024116128</v>
      </c>
      <c r="D3225">
        <v>14.99</v>
      </c>
      <c r="E3225">
        <v>12.96</v>
      </c>
      <c r="F3225" s="3">
        <v>0.13</v>
      </c>
      <c r="G3225">
        <v>13.040900000000001</v>
      </c>
      <c r="H3225">
        <v>2.8330000000000002</v>
      </c>
    </row>
    <row r="3226" spans="1:8" x14ac:dyDescent="0.25">
      <c r="A3226" t="s">
        <v>3232</v>
      </c>
      <c r="B3226">
        <v>57549</v>
      </c>
      <c r="C3226">
        <v>7509546661346</v>
      </c>
      <c r="D3226">
        <v>28.9</v>
      </c>
      <c r="E3226">
        <v>16.38</v>
      </c>
      <c r="F3226" s="3">
        <v>0.43680000000000002</v>
      </c>
      <c r="G3226">
        <v>16.275300000000001</v>
      </c>
      <c r="H3226">
        <v>0.26700000000000002</v>
      </c>
    </row>
    <row r="3227" spans="1:8" x14ac:dyDescent="0.25">
      <c r="A3227" t="s">
        <v>3233</v>
      </c>
      <c r="B3227">
        <v>57550</v>
      </c>
      <c r="C3227">
        <v>7509546661353</v>
      </c>
      <c r="D3227">
        <v>28.9</v>
      </c>
      <c r="E3227">
        <v>17.77</v>
      </c>
      <c r="F3227" s="3">
        <v>0.39840000000000003</v>
      </c>
      <c r="G3227">
        <v>17.3858</v>
      </c>
      <c r="H3227">
        <v>0.93300000000000005</v>
      </c>
    </row>
    <row r="3228" spans="1:8" x14ac:dyDescent="0.25">
      <c r="A3228" t="s">
        <v>3234</v>
      </c>
      <c r="B3228">
        <v>42548</v>
      </c>
      <c r="C3228">
        <v>7509546068558</v>
      </c>
      <c r="D3228">
        <v>18.39</v>
      </c>
      <c r="E3228">
        <v>18.21</v>
      </c>
      <c r="F3228" s="3">
        <v>4.5499999999999999E-2</v>
      </c>
      <c r="G3228">
        <v>17.554099999999998</v>
      </c>
      <c r="H3228">
        <v>0.7</v>
      </c>
    </row>
    <row r="3229" spans="1:8" x14ac:dyDescent="0.25">
      <c r="A3229" t="s">
        <v>3235</v>
      </c>
      <c r="B3229">
        <v>68089</v>
      </c>
      <c r="C3229">
        <v>7509546693729</v>
      </c>
      <c r="D3229">
        <v>28.9</v>
      </c>
      <c r="E3229">
        <v>19.23</v>
      </c>
      <c r="F3229" s="3">
        <v>0.30380000000000001</v>
      </c>
      <c r="G3229">
        <v>17.4467</v>
      </c>
      <c r="H3229">
        <v>0.26700000000000002</v>
      </c>
    </row>
    <row r="3230" spans="1:8" x14ac:dyDescent="0.25">
      <c r="A3230" t="s">
        <v>3236</v>
      </c>
      <c r="B3230">
        <v>60155</v>
      </c>
      <c r="C3230">
        <v>7509546668048</v>
      </c>
      <c r="D3230">
        <v>24.99</v>
      </c>
      <c r="E3230">
        <v>16.55</v>
      </c>
      <c r="F3230" s="3">
        <v>0.33909999999999996</v>
      </c>
      <c r="G3230">
        <v>16.516999999999999</v>
      </c>
      <c r="H3230">
        <v>1.5669999999999999</v>
      </c>
    </row>
    <row r="3231" spans="1:8" x14ac:dyDescent="0.25">
      <c r="A3231" t="s">
        <v>3237</v>
      </c>
      <c r="B3231">
        <v>62347</v>
      </c>
      <c r="C3231">
        <v>7509546656588</v>
      </c>
      <c r="D3231">
        <v>23.99</v>
      </c>
      <c r="E3231">
        <v>20.25</v>
      </c>
      <c r="F3231" s="3">
        <v>0.156</v>
      </c>
      <c r="G3231">
        <v>20.248000000000001</v>
      </c>
      <c r="H3231">
        <v>0.3</v>
      </c>
    </row>
    <row r="3232" spans="1:8" x14ac:dyDescent="0.25">
      <c r="A3232" t="s">
        <v>3238</v>
      </c>
      <c r="B3232">
        <v>64588</v>
      </c>
      <c r="C3232">
        <v>6910021007206</v>
      </c>
      <c r="D3232">
        <v>3.19</v>
      </c>
      <c r="E3232">
        <v>2.4700000000000002</v>
      </c>
      <c r="F3232" s="3">
        <v>0.22469999999999998</v>
      </c>
      <c r="G3232">
        <v>2.4733000000000001</v>
      </c>
      <c r="H3232">
        <v>5.633</v>
      </c>
    </row>
    <row r="3233" spans="1:8" x14ac:dyDescent="0.25">
      <c r="A3233" t="s">
        <v>3239</v>
      </c>
      <c r="B3233">
        <v>68506</v>
      </c>
      <c r="C3233">
        <v>7509546686912</v>
      </c>
      <c r="D3233">
        <v>17.190000000000001</v>
      </c>
      <c r="E3233">
        <v>16.2</v>
      </c>
      <c r="F3233" s="3">
        <v>4.7800000000000002E-2</v>
      </c>
      <c r="G3233">
        <v>14.7782</v>
      </c>
      <c r="H3233">
        <v>1.742</v>
      </c>
    </row>
    <row r="3234" spans="1:8" x14ac:dyDescent="0.25">
      <c r="A3234" t="s">
        <v>3240</v>
      </c>
      <c r="B3234">
        <v>19974</v>
      </c>
      <c r="C3234">
        <v>7509546061689</v>
      </c>
      <c r="D3234">
        <v>20.99</v>
      </c>
      <c r="E3234">
        <v>15.02</v>
      </c>
      <c r="F3234" s="3">
        <v>0.2833</v>
      </c>
      <c r="G3234">
        <v>15.0443</v>
      </c>
      <c r="H3234">
        <v>4</v>
      </c>
    </row>
    <row r="3235" spans="1:8" x14ac:dyDescent="0.25">
      <c r="A3235" t="s">
        <v>3241</v>
      </c>
      <c r="B3235">
        <v>58127</v>
      </c>
      <c r="C3235">
        <v>7509546657240</v>
      </c>
      <c r="D3235">
        <v>26.99</v>
      </c>
      <c r="E3235">
        <v>23.66</v>
      </c>
      <c r="F3235" s="3">
        <v>0.1208</v>
      </c>
      <c r="G3235">
        <v>23.7286</v>
      </c>
      <c r="H3235">
        <v>2.6</v>
      </c>
    </row>
    <row r="3236" spans="1:8" x14ac:dyDescent="0.25">
      <c r="A3236" t="s">
        <v>3242</v>
      </c>
      <c r="B3236">
        <v>54201</v>
      </c>
      <c r="C3236">
        <v>7702010130755</v>
      </c>
      <c r="D3236">
        <v>17.899999999999999</v>
      </c>
      <c r="E3236">
        <v>16.09</v>
      </c>
      <c r="F3236" s="3">
        <v>0.1009</v>
      </c>
      <c r="G3236">
        <v>16.0931</v>
      </c>
      <c r="H3236">
        <v>0.433</v>
      </c>
    </row>
    <row r="3237" spans="1:8" x14ac:dyDescent="0.25">
      <c r="A3237" t="s">
        <v>3243</v>
      </c>
      <c r="B3237">
        <v>58125</v>
      </c>
      <c r="C3237">
        <v>7509546665047</v>
      </c>
      <c r="D3237">
        <v>15.9</v>
      </c>
      <c r="E3237">
        <v>11</v>
      </c>
      <c r="F3237" s="3">
        <v>0.30829999999999996</v>
      </c>
      <c r="G3237">
        <v>10.9976</v>
      </c>
      <c r="H3237">
        <v>1.4</v>
      </c>
    </row>
    <row r="3238" spans="1:8" x14ac:dyDescent="0.25">
      <c r="A3238" t="s">
        <v>3244</v>
      </c>
      <c r="B3238">
        <v>45686</v>
      </c>
      <c r="C3238">
        <v>7891024008799</v>
      </c>
      <c r="D3238">
        <v>10.39</v>
      </c>
      <c r="E3238">
        <v>9.07</v>
      </c>
      <c r="F3238" s="3">
        <v>0.12609999999999999</v>
      </c>
      <c r="G3238">
        <v>9.0801999999999996</v>
      </c>
      <c r="H3238">
        <v>3.4670000000000001</v>
      </c>
    </row>
    <row r="3239" spans="1:8" x14ac:dyDescent="0.25">
      <c r="A3239" t="s">
        <v>3245</v>
      </c>
      <c r="B3239">
        <v>38710</v>
      </c>
      <c r="C3239">
        <v>7702010631207</v>
      </c>
      <c r="D3239">
        <v>12.49</v>
      </c>
      <c r="E3239">
        <v>9.0299999999999994</v>
      </c>
      <c r="F3239" s="3">
        <v>0.27529999999999999</v>
      </c>
      <c r="G3239">
        <v>9.0516000000000005</v>
      </c>
      <c r="H3239">
        <v>2.9329999999999998</v>
      </c>
    </row>
    <row r="3240" spans="1:8" x14ac:dyDescent="0.25">
      <c r="A3240" t="s">
        <v>3246</v>
      </c>
      <c r="B3240">
        <v>31724</v>
      </c>
      <c r="C3240">
        <v>7891024186244</v>
      </c>
      <c r="D3240">
        <v>14.99</v>
      </c>
      <c r="E3240">
        <v>13.1</v>
      </c>
      <c r="F3240" s="3">
        <v>0.11650000000000001</v>
      </c>
      <c r="G3240">
        <v>13.2441</v>
      </c>
      <c r="H3240">
        <v>1.3</v>
      </c>
    </row>
    <row r="3241" spans="1:8" x14ac:dyDescent="0.25">
      <c r="A3241" t="s">
        <v>3247</v>
      </c>
      <c r="B3241">
        <v>68090</v>
      </c>
      <c r="C3241">
        <v>7509546693736</v>
      </c>
      <c r="D3241">
        <v>26.99</v>
      </c>
      <c r="E3241">
        <v>19.23</v>
      </c>
      <c r="F3241" s="3">
        <v>0.2611</v>
      </c>
      <c r="G3241">
        <v>17.446999999999999</v>
      </c>
      <c r="H3241">
        <v>0.76700000000000002</v>
      </c>
    </row>
    <row r="3242" spans="1:8" x14ac:dyDescent="0.25">
      <c r="A3242" t="s">
        <v>3248</v>
      </c>
      <c r="B3242">
        <v>63577</v>
      </c>
      <c r="C3242">
        <v>7509546673042</v>
      </c>
      <c r="D3242">
        <v>9.99</v>
      </c>
      <c r="E3242">
        <v>8.98</v>
      </c>
      <c r="F3242" s="3">
        <v>9.9199999999999997E-2</v>
      </c>
      <c r="G3242">
        <v>8.9992999999999999</v>
      </c>
      <c r="H3242">
        <v>4.867</v>
      </c>
    </row>
    <row r="3243" spans="1:8" x14ac:dyDescent="0.25">
      <c r="A3243" t="s">
        <v>3249</v>
      </c>
      <c r="B3243">
        <v>61643</v>
      </c>
      <c r="C3243">
        <v>7509546080864</v>
      </c>
      <c r="D3243">
        <v>20.99</v>
      </c>
      <c r="E3243">
        <v>15.82</v>
      </c>
      <c r="F3243" s="3">
        <v>0.2409</v>
      </c>
      <c r="G3243">
        <v>15.9335</v>
      </c>
      <c r="H3243">
        <v>4.4669999999999996</v>
      </c>
    </row>
    <row r="3244" spans="1:8" x14ac:dyDescent="0.25">
      <c r="A3244" t="s">
        <v>3250</v>
      </c>
      <c r="B3244">
        <v>64603</v>
      </c>
      <c r="C3244">
        <v>7509546658223</v>
      </c>
      <c r="D3244">
        <v>5.39</v>
      </c>
      <c r="E3244">
        <v>4.1399999999999997</v>
      </c>
      <c r="F3244" s="3">
        <v>0.2324</v>
      </c>
      <c r="G3244">
        <v>4.1375000000000002</v>
      </c>
      <c r="H3244">
        <v>2.7669999999999999</v>
      </c>
    </row>
    <row r="3245" spans="1:8" x14ac:dyDescent="0.25">
      <c r="A3245" t="s">
        <v>3251</v>
      </c>
      <c r="B3245">
        <v>7367</v>
      </c>
      <c r="C3245">
        <v>7891055803004</v>
      </c>
      <c r="D3245">
        <v>4.99</v>
      </c>
      <c r="E3245">
        <v>0</v>
      </c>
      <c r="F3245" s="3">
        <v>1</v>
      </c>
      <c r="G3245">
        <v>0</v>
      </c>
      <c r="H3245">
        <v>0.2</v>
      </c>
    </row>
    <row r="3246" spans="1:8" x14ac:dyDescent="0.25">
      <c r="A3246" t="s">
        <v>3252</v>
      </c>
      <c r="B3246">
        <v>57721</v>
      </c>
      <c r="C3246">
        <v>7612412426007</v>
      </c>
      <c r="D3246">
        <v>39.9</v>
      </c>
      <c r="E3246">
        <v>25.49</v>
      </c>
      <c r="F3246" s="3">
        <v>0.36109999999999998</v>
      </c>
      <c r="G3246">
        <v>25.490500000000001</v>
      </c>
      <c r="H3246">
        <v>0.76700000000000002</v>
      </c>
    </row>
    <row r="3247" spans="1:8" x14ac:dyDescent="0.25">
      <c r="A3247" t="s">
        <v>3253</v>
      </c>
      <c r="B3247">
        <v>57719</v>
      </c>
      <c r="C3247">
        <v>7612412422672</v>
      </c>
      <c r="D3247">
        <v>77.8</v>
      </c>
      <c r="E3247">
        <v>48.43</v>
      </c>
      <c r="F3247" s="3">
        <v>0.3775</v>
      </c>
      <c r="G3247">
        <v>48.428400000000003</v>
      </c>
      <c r="H3247">
        <v>0.4</v>
      </c>
    </row>
    <row r="3248" spans="1:8" x14ac:dyDescent="0.25">
      <c r="A3248" t="s">
        <v>3254</v>
      </c>
      <c r="B3248">
        <v>68092</v>
      </c>
      <c r="C3248">
        <v>7612412431063</v>
      </c>
      <c r="D3248">
        <v>77.8</v>
      </c>
      <c r="E3248">
        <v>49.93</v>
      </c>
      <c r="F3248" s="3">
        <v>0.35850000000000004</v>
      </c>
      <c r="G3248">
        <v>49.909100000000002</v>
      </c>
      <c r="H3248">
        <v>0.66700000000000004</v>
      </c>
    </row>
    <row r="3249" spans="1:8" x14ac:dyDescent="0.25">
      <c r="A3249" t="s">
        <v>3255</v>
      </c>
      <c r="B3249">
        <v>57722</v>
      </c>
      <c r="C3249">
        <v>7612412423037</v>
      </c>
      <c r="D3249">
        <v>39.9</v>
      </c>
      <c r="E3249">
        <v>25.45</v>
      </c>
      <c r="F3249" s="3">
        <v>0.36219999999999997</v>
      </c>
      <c r="G3249">
        <v>25.4499</v>
      </c>
      <c r="H3249">
        <v>0.33300000000000002</v>
      </c>
    </row>
    <row r="3250" spans="1:8" x14ac:dyDescent="0.25">
      <c r="A3250" t="s">
        <v>3256</v>
      </c>
      <c r="B3250">
        <v>57720</v>
      </c>
      <c r="C3250">
        <v>7612412422429</v>
      </c>
      <c r="D3250">
        <v>113.7</v>
      </c>
      <c r="E3250">
        <v>68.81</v>
      </c>
      <c r="F3250" s="3">
        <v>0.39479999999999998</v>
      </c>
      <c r="G3250">
        <v>68.808199999999999</v>
      </c>
      <c r="H3250">
        <v>0.56699999999999995</v>
      </c>
    </row>
    <row r="3251" spans="1:8" x14ac:dyDescent="0.25">
      <c r="A3251" t="s">
        <v>3257</v>
      </c>
      <c r="B3251">
        <v>57718</v>
      </c>
      <c r="C3251">
        <v>7612412546002</v>
      </c>
      <c r="D3251">
        <v>39.9</v>
      </c>
      <c r="E3251">
        <v>22.94</v>
      </c>
      <c r="F3251" s="3">
        <v>0.4042</v>
      </c>
      <c r="G3251">
        <v>23.770700000000001</v>
      </c>
      <c r="H3251">
        <v>0.93300000000000005</v>
      </c>
    </row>
    <row r="3252" spans="1:8" x14ac:dyDescent="0.25">
      <c r="A3252" t="s">
        <v>3258</v>
      </c>
      <c r="B3252">
        <v>66198</v>
      </c>
      <c r="C3252">
        <v>7891010041427</v>
      </c>
      <c r="D3252">
        <v>16.899999999999999</v>
      </c>
      <c r="E3252">
        <v>11.18</v>
      </c>
      <c r="F3252" s="3">
        <v>0.33260000000000001</v>
      </c>
      <c r="G3252">
        <v>11.279299999999999</v>
      </c>
      <c r="H3252">
        <v>1.2330000000000001</v>
      </c>
    </row>
    <row r="3253" spans="1:8" x14ac:dyDescent="0.25">
      <c r="A3253" t="s">
        <v>3259</v>
      </c>
      <c r="B3253">
        <v>66197</v>
      </c>
      <c r="C3253">
        <v>7891010041366</v>
      </c>
      <c r="D3253">
        <v>16.899999999999999</v>
      </c>
      <c r="E3253">
        <v>11.41</v>
      </c>
      <c r="F3253" s="3">
        <v>0.3221</v>
      </c>
      <c r="G3253">
        <v>11.457100000000001</v>
      </c>
      <c r="H3253">
        <v>1.3</v>
      </c>
    </row>
    <row r="3254" spans="1:8" x14ac:dyDescent="0.25">
      <c r="A3254" t="s">
        <v>3260</v>
      </c>
      <c r="B3254">
        <v>31728</v>
      </c>
      <c r="C3254">
        <v>7891528012582</v>
      </c>
      <c r="D3254">
        <v>12.49</v>
      </c>
      <c r="E3254">
        <v>8.76</v>
      </c>
      <c r="F3254" s="3">
        <v>0.29899999999999999</v>
      </c>
      <c r="G3254">
        <v>8.7550000000000008</v>
      </c>
      <c r="H3254">
        <v>6.7000000000000004E-2</v>
      </c>
    </row>
    <row r="3255" spans="1:8" x14ac:dyDescent="0.25">
      <c r="A3255" t="s">
        <v>3261</v>
      </c>
      <c r="B3255">
        <v>19952</v>
      </c>
      <c r="C3255">
        <v>7891528016504</v>
      </c>
      <c r="D3255">
        <v>2.99</v>
      </c>
      <c r="E3255">
        <v>2.79</v>
      </c>
      <c r="F3255" s="3">
        <v>6.5700000000000008E-2</v>
      </c>
      <c r="G3255">
        <v>2.7936000000000001</v>
      </c>
      <c r="H3255">
        <v>1.2330000000000001</v>
      </c>
    </row>
    <row r="3256" spans="1:8" x14ac:dyDescent="0.25">
      <c r="A3256" t="s">
        <v>3262</v>
      </c>
      <c r="B3256">
        <v>53500</v>
      </c>
      <c r="C3256">
        <v>7891024073001</v>
      </c>
      <c r="D3256">
        <v>22.9</v>
      </c>
      <c r="E3256">
        <v>16.09</v>
      </c>
      <c r="F3256" s="3">
        <v>0.29719999999999996</v>
      </c>
      <c r="G3256">
        <v>16.093299999999999</v>
      </c>
      <c r="H3256">
        <v>0.23300000000000001</v>
      </c>
    </row>
    <row r="3257" spans="1:8" x14ac:dyDescent="0.25">
      <c r="A3257" t="s">
        <v>3263</v>
      </c>
      <c r="B3257">
        <v>63235</v>
      </c>
      <c r="C3257">
        <v>7509546678467</v>
      </c>
      <c r="D3257">
        <v>26.9</v>
      </c>
      <c r="E3257">
        <v>16.690000000000001</v>
      </c>
      <c r="F3257" s="3">
        <v>0.3856</v>
      </c>
      <c r="G3257">
        <v>16.526299999999999</v>
      </c>
      <c r="H3257">
        <v>1.1000000000000001</v>
      </c>
    </row>
    <row r="3258" spans="1:8" x14ac:dyDescent="0.25">
      <c r="A3258" t="s">
        <v>3264</v>
      </c>
      <c r="B3258">
        <v>63234</v>
      </c>
      <c r="C3258">
        <v>7509546679273</v>
      </c>
      <c r="D3258">
        <v>14.99</v>
      </c>
      <c r="E3258">
        <v>13</v>
      </c>
      <c r="F3258" s="3">
        <v>0.12619999999999998</v>
      </c>
      <c r="G3258">
        <v>13.097799999999999</v>
      </c>
      <c r="H3258">
        <v>3.133</v>
      </c>
    </row>
    <row r="3259" spans="1:8" x14ac:dyDescent="0.25">
      <c r="A3259" t="s">
        <v>3265</v>
      </c>
      <c r="B3259">
        <v>63992</v>
      </c>
      <c r="C3259">
        <v>7509546686196</v>
      </c>
      <c r="D3259">
        <v>10.99</v>
      </c>
      <c r="E3259">
        <v>7.69</v>
      </c>
      <c r="F3259" s="3">
        <v>0.3</v>
      </c>
      <c r="G3259">
        <v>7.6933999999999996</v>
      </c>
      <c r="H3259">
        <v>0.63300000000000001</v>
      </c>
    </row>
    <row r="3260" spans="1:8" x14ac:dyDescent="0.25">
      <c r="A3260" t="s">
        <v>3266</v>
      </c>
      <c r="B3260">
        <v>66097</v>
      </c>
      <c r="C3260">
        <v>7896001001152</v>
      </c>
      <c r="D3260">
        <v>9.9</v>
      </c>
      <c r="E3260">
        <v>5.45</v>
      </c>
      <c r="F3260" s="3">
        <v>0.32659999999999995</v>
      </c>
      <c r="G3260">
        <v>3.9683999999999999</v>
      </c>
      <c r="H3260">
        <v>2.2330000000000001</v>
      </c>
    </row>
    <row r="3261" spans="1:8" x14ac:dyDescent="0.25">
      <c r="A3261" t="s">
        <v>3267</v>
      </c>
      <c r="B3261">
        <v>66093</v>
      </c>
      <c r="C3261">
        <v>7896001001121</v>
      </c>
      <c r="D3261">
        <v>9.9</v>
      </c>
      <c r="E3261">
        <v>5.36</v>
      </c>
      <c r="F3261" s="3">
        <v>0.33</v>
      </c>
      <c r="G3261">
        <v>3.9356</v>
      </c>
      <c r="H3261">
        <v>2.3330000000000002</v>
      </c>
    </row>
    <row r="3262" spans="1:8" x14ac:dyDescent="0.25">
      <c r="A3262" t="s">
        <v>3268</v>
      </c>
      <c r="B3262">
        <v>66150</v>
      </c>
      <c r="C3262">
        <v>7896001002159</v>
      </c>
      <c r="D3262">
        <v>6.9</v>
      </c>
      <c r="E3262">
        <v>3.45</v>
      </c>
      <c r="F3262" s="3">
        <v>0.3594</v>
      </c>
      <c r="G3262">
        <v>2.5398999999999998</v>
      </c>
      <c r="H3262">
        <v>1.7</v>
      </c>
    </row>
    <row r="3263" spans="1:8" x14ac:dyDescent="0.25">
      <c r="A3263" t="s">
        <v>3269</v>
      </c>
      <c r="B3263">
        <v>66095</v>
      </c>
      <c r="C3263">
        <v>7896001001138</v>
      </c>
      <c r="D3263">
        <v>10.9</v>
      </c>
      <c r="E3263">
        <v>5.31</v>
      </c>
      <c r="F3263" s="3">
        <v>0.374</v>
      </c>
      <c r="G3263">
        <v>3.8532000000000002</v>
      </c>
      <c r="H3263">
        <v>0.93300000000000005</v>
      </c>
    </row>
    <row r="3264" spans="1:8" x14ac:dyDescent="0.25">
      <c r="A3264" t="s">
        <v>3270</v>
      </c>
      <c r="B3264">
        <v>66141</v>
      </c>
      <c r="C3264">
        <v>7896001008502</v>
      </c>
      <c r="D3264">
        <v>19.899999999999999</v>
      </c>
      <c r="E3264">
        <v>11.54</v>
      </c>
      <c r="F3264" s="3">
        <v>0.30879999999999996</v>
      </c>
      <c r="G3264">
        <v>8.3323</v>
      </c>
      <c r="H3264">
        <v>1</v>
      </c>
    </row>
    <row r="3265" spans="1:8" x14ac:dyDescent="0.25">
      <c r="A3265" t="s">
        <v>3271</v>
      </c>
      <c r="B3265">
        <v>66099</v>
      </c>
      <c r="C3265">
        <v>7896001005679</v>
      </c>
      <c r="D3265">
        <v>17.899999999999999</v>
      </c>
      <c r="E3265">
        <v>10.15</v>
      </c>
      <c r="F3265" s="3">
        <v>0.31509999999999999</v>
      </c>
      <c r="G3265">
        <v>7.3819999999999997</v>
      </c>
      <c r="H3265">
        <v>1.0669999999999999</v>
      </c>
    </row>
    <row r="3266" spans="1:8" x14ac:dyDescent="0.25">
      <c r="A3266" t="s">
        <v>3272</v>
      </c>
      <c r="B3266">
        <v>66280</v>
      </c>
      <c r="C3266">
        <v>7891010704490</v>
      </c>
      <c r="D3266">
        <v>43.9</v>
      </c>
      <c r="E3266">
        <v>28.59</v>
      </c>
      <c r="F3266" s="3">
        <v>0.3165</v>
      </c>
      <c r="G3266">
        <v>25.944700000000001</v>
      </c>
      <c r="H3266">
        <v>3.3000000000000002E-2</v>
      </c>
    </row>
    <row r="3267" spans="1:8" x14ac:dyDescent="0.25">
      <c r="A3267" t="s">
        <v>3273</v>
      </c>
      <c r="B3267">
        <v>66281</v>
      </c>
      <c r="C3267">
        <v>7891010245191</v>
      </c>
      <c r="D3267">
        <v>60.9</v>
      </c>
      <c r="E3267">
        <v>37.090000000000003</v>
      </c>
      <c r="F3267" s="3">
        <v>0.35479999999999995</v>
      </c>
      <c r="G3267">
        <v>33.661299999999997</v>
      </c>
      <c r="H3267">
        <v>3.3000000000000002E-2</v>
      </c>
    </row>
    <row r="3268" spans="1:8" x14ac:dyDescent="0.25">
      <c r="A3268" t="s">
        <v>3274</v>
      </c>
      <c r="B3268">
        <v>64906</v>
      </c>
      <c r="C3268">
        <v>4005900940759</v>
      </c>
      <c r="D3268">
        <v>39.9</v>
      </c>
      <c r="E3268">
        <v>26.43</v>
      </c>
      <c r="F3268" s="3">
        <v>0.30620000000000003</v>
      </c>
      <c r="G3268">
        <v>23.990600000000001</v>
      </c>
      <c r="H3268">
        <v>0.13300000000000001</v>
      </c>
    </row>
    <row r="3269" spans="1:8" x14ac:dyDescent="0.25">
      <c r="A3269" t="s">
        <v>3275</v>
      </c>
      <c r="B3269">
        <v>58543</v>
      </c>
      <c r="C3269">
        <v>7891112086623</v>
      </c>
      <c r="D3269">
        <v>26.9</v>
      </c>
      <c r="E3269">
        <v>17.899999999999999</v>
      </c>
      <c r="F3269" s="3">
        <v>0.2268</v>
      </c>
      <c r="G3269">
        <v>13.4678</v>
      </c>
      <c r="H3269">
        <v>0.16700000000000001</v>
      </c>
    </row>
    <row r="3270" spans="1:8" x14ac:dyDescent="0.25">
      <c r="A3270" t="s">
        <v>3276</v>
      </c>
      <c r="B3270">
        <v>67551</v>
      </c>
      <c r="C3270">
        <v>7896007902170</v>
      </c>
      <c r="D3270">
        <v>7.9</v>
      </c>
      <c r="E3270">
        <v>2.12</v>
      </c>
      <c r="F3270" s="3">
        <v>0.53079999999999994</v>
      </c>
      <c r="G3270">
        <v>1.5538000000000001</v>
      </c>
      <c r="H3270">
        <v>3.2669999999999999</v>
      </c>
    </row>
    <row r="3271" spans="1:8" x14ac:dyDescent="0.25">
      <c r="A3271" t="s">
        <v>3277</v>
      </c>
      <c r="B3271">
        <v>62111</v>
      </c>
      <c r="C3271">
        <v>7896523118895</v>
      </c>
      <c r="D3271">
        <v>9.9</v>
      </c>
      <c r="E3271">
        <v>5.41</v>
      </c>
      <c r="F3271" s="3">
        <v>0.3296</v>
      </c>
      <c r="G3271">
        <v>3.9392</v>
      </c>
      <c r="H3271">
        <v>1.833</v>
      </c>
    </row>
    <row r="3272" spans="1:8" x14ac:dyDescent="0.25">
      <c r="A3272" t="s">
        <v>3278</v>
      </c>
      <c r="B3272">
        <v>26380</v>
      </c>
      <c r="C3272">
        <v>7898629610716</v>
      </c>
      <c r="D3272">
        <v>4.49</v>
      </c>
      <c r="E3272">
        <v>1.5</v>
      </c>
      <c r="F3272" s="3">
        <v>0.60439999999999994</v>
      </c>
      <c r="G3272">
        <v>1.3611</v>
      </c>
      <c r="H3272">
        <v>1.0329999999999999</v>
      </c>
    </row>
    <row r="3273" spans="1:8" x14ac:dyDescent="0.25">
      <c r="A3273" t="s">
        <v>3279</v>
      </c>
      <c r="B3273">
        <v>66139</v>
      </c>
      <c r="C3273">
        <v>7896001004672</v>
      </c>
      <c r="D3273">
        <v>3.9</v>
      </c>
      <c r="E3273">
        <v>1.83</v>
      </c>
      <c r="F3273" s="3">
        <v>0.38500000000000001</v>
      </c>
      <c r="G3273">
        <v>1.3358000000000001</v>
      </c>
      <c r="H3273">
        <v>2.5</v>
      </c>
    </row>
    <row r="3274" spans="1:8" x14ac:dyDescent="0.25">
      <c r="A3274" t="s">
        <v>3280</v>
      </c>
      <c r="B3274">
        <v>66138</v>
      </c>
      <c r="C3274">
        <v>7896001046733</v>
      </c>
      <c r="D3274">
        <v>9.9</v>
      </c>
      <c r="E3274">
        <v>4.51</v>
      </c>
      <c r="F3274" s="3">
        <v>0.3931</v>
      </c>
      <c r="G3274">
        <v>3.3102</v>
      </c>
      <c r="H3274">
        <v>1.167</v>
      </c>
    </row>
    <row r="3275" spans="1:8" x14ac:dyDescent="0.25">
      <c r="A3275" t="s">
        <v>3281</v>
      </c>
      <c r="B3275">
        <v>66136</v>
      </c>
      <c r="C3275">
        <v>7896001004665</v>
      </c>
      <c r="D3275">
        <v>7.9</v>
      </c>
      <c r="E3275">
        <v>4.5999999999999996</v>
      </c>
      <c r="F3275" s="3">
        <v>0.30359999999999998</v>
      </c>
      <c r="G3275">
        <v>3.3487</v>
      </c>
      <c r="H3275">
        <v>2.2330000000000001</v>
      </c>
    </row>
    <row r="3276" spans="1:8" x14ac:dyDescent="0.25">
      <c r="A3276" t="s">
        <v>3282</v>
      </c>
      <c r="B3276">
        <v>40330</v>
      </c>
      <c r="C3276">
        <v>7891055521410</v>
      </c>
      <c r="D3276">
        <v>6.9</v>
      </c>
      <c r="E3276">
        <v>3.52</v>
      </c>
      <c r="F3276" s="3">
        <v>0.35630000000000001</v>
      </c>
      <c r="G3276">
        <v>2.5613999999999999</v>
      </c>
      <c r="H3276">
        <v>0.3</v>
      </c>
    </row>
    <row r="3277" spans="1:8" x14ac:dyDescent="0.25">
      <c r="A3277" t="s">
        <v>3283</v>
      </c>
      <c r="B3277">
        <v>40347</v>
      </c>
      <c r="C3277">
        <v>7891055521915</v>
      </c>
      <c r="D3277">
        <v>6.9</v>
      </c>
      <c r="E3277">
        <v>4.21</v>
      </c>
      <c r="F3277" s="3">
        <v>0.28320000000000001</v>
      </c>
      <c r="G3277">
        <v>3.0653999999999999</v>
      </c>
      <c r="H3277">
        <v>0.53300000000000003</v>
      </c>
    </row>
    <row r="3278" spans="1:8" x14ac:dyDescent="0.25">
      <c r="A3278" t="s">
        <v>3284</v>
      </c>
      <c r="B3278">
        <v>40532</v>
      </c>
      <c r="C3278">
        <v>7891055521816</v>
      </c>
      <c r="D3278">
        <v>13.95</v>
      </c>
      <c r="E3278">
        <v>9.25</v>
      </c>
      <c r="F3278" s="3">
        <v>0.245</v>
      </c>
      <c r="G3278">
        <v>6.7314999999999996</v>
      </c>
      <c r="H3278">
        <v>0.36699999999999999</v>
      </c>
    </row>
    <row r="3279" spans="1:8" x14ac:dyDescent="0.25">
      <c r="A3279" t="s">
        <v>3285</v>
      </c>
      <c r="B3279">
        <v>5175</v>
      </c>
      <c r="C3279">
        <v>7891022100976</v>
      </c>
      <c r="D3279">
        <v>3.9</v>
      </c>
      <c r="E3279">
        <v>1.48</v>
      </c>
      <c r="F3279" s="3">
        <v>0.56289999999999996</v>
      </c>
      <c r="G3279">
        <v>1.3440000000000001</v>
      </c>
      <c r="H3279">
        <v>11.5</v>
      </c>
    </row>
    <row r="3280" spans="1:8" x14ac:dyDescent="0.25">
      <c r="A3280" t="s">
        <v>3286</v>
      </c>
      <c r="B3280">
        <v>5176</v>
      </c>
      <c r="C3280">
        <v>7891022851021</v>
      </c>
      <c r="D3280">
        <v>7.9</v>
      </c>
      <c r="E3280">
        <v>4.13</v>
      </c>
      <c r="F3280" s="3">
        <v>0.43240000000000001</v>
      </c>
      <c r="G3280">
        <v>3.7528999999999999</v>
      </c>
      <c r="H3280">
        <v>25.367000000000001</v>
      </c>
    </row>
    <row r="3281" spans="1:8" x14ac:dyDescent="0.25">
      <c r="A3281" t="s">
        <v>3287</v>
      </c>
      <c r="B3281">
        <v>5177</v>
      </c>
      <c r="C3281">
        <v>7891022100938</v>
      </c>
      <c r="D3281">
        <v>3.9</v>
      </c>
      <c r="E3281">
        <v>1.5</v>
      </c>
      <c r="F3281" s="3">
        <v>0.55940000000000001</v>
      </c>
      <c r="G3281">
        <v>1.3576999999999999</v>
      </c>
      <c r="H3281">
        <v>5.2329999999999997</v>
      </c>
    </row>
    <row r="3282" spans="1:8" x14ac:dyDescent="0.25">
      <c r="A3282" t="s">
        <v>3288</v>
      </c>
      <c r="B3282">
        <v>63141</v>
      </c>
      <c r="C3282">
        <v>7891022859812</v>
      </c>
      <c r="D3282">
        <v>10.9</v>
      </c>
      <c r="E3282">
        <v>4.32</v>
      </c>
      <c r="F3282" s="3">
        <v>0.54830000000000001</v>
      </c>
      <c r="G3282">
        <v>3.9156</v>
      </c>
      <c r="H3282">
        <v>21.933</v>
      </c>
    </row>
    <row r="3283" spans="1:8" x14ac:dyDescent="0.25">
      <c r="A3283" t="s">
        <v>3289</v>
      </c>
      <c r="B3283">
        <v>66105</v>
      </c>
      <c r="C3283">
        <v>7896001045149</v>
      </c>
      <c r="D3283">
        <v>5.9</v>
      </c>
      <c r="E3283">
        <v>3.03</v>
      </c>
      <c r="F3283" s="3">
        <v>0.44189999999999996</v>
      </c>
      <c r="G3283">
        <v>2.7469999999999999</v>
      </c>
      <c r="H3283">
        <v>12.6</v>
      </c>
    </row>
    <row r="3284" spans="1:8" x14ac:dyDescent="0.25">
      <c r="A3284" t="s">
        <v>3290</v>
      </c>
      <c r="B3284">
        <v>9294</v>
      </c>
      <c r="C3284">
        <v>7891055661109</v>
      </c>
      <c r="D3284">
        <v>7.9</v>
      </c>
      <c r="E3284">
        <v>4.03</v>
      </c>
      <c r="F3284" s="3">
        <v>0.44409999999999994</v>
      </c>
      <c r="G3284">
        <v>3.6608000000000001</v>
      </c>
      <c r="H3284">
        <v>0.4</v>
      </c>
    </row>
    <row r="3285" spans="1:8" x14ac:dyDescent="0.25">
      <c r="A3285" t="s">
        <v>3291</v>
      </c>
      <c r="B3285">
        <v>5180</v>
      </c>
      <c r="C3285">
        <v>7891055596401</v>
      </c>
      <c r="D3285">
        <v>8.9</v>
      </c>
      <c r="E3285">
        <v>3.67</v>
      </c>
      <c r="F3285" s="3">
        <v>0.53290000000000004</v>
      </c>
      <c r="G3285">
        <v>3.3338999999999999</v>
      </c>
      <c r="H3285">
        <v>3.3000000000000002E-2</v>
      </c>
    </row>
    <row r="3286" spans="1:8" x14ac:dyDescent="0.25">
      <c r="A3286" t="s">
        <v>3292</v>
      </c>
      <c r="B3286">
        <v>55382</v>
      </c>
      <c r="C3286">
        <v>7891055228401</v>
      </c>
      <c r="D3286">
        <v>3.9</v>
      </c>
      <c r="E3286">
        <v>1.25</v>
      </c>
      <c r="F3286" s="3">
        <v>0.61759999999999993</v>
      </c>
      <c r="G3286">
        <v>1.1305000000000001</v>
      </c>
      <c r="H3286">
        <v>3.3000000000000002E-2</v>
      </c>
    </row>
    <row r="3287" spans="1:8" x14ac:dyDescent="0.25">
      <c r="A3287" t="s">
        <v>3293</v>
      </c>
      <c r="B3287">
        <v>66104</v>
      </c>
      <c r="C3287">
        <v>7896001004573</v>
      </c>
      <c r="D3287">
        <v>14.9</v>
      </c>
      <c r="E3287">
        <v>8.58</v>
      </c>
      <c r="F3287" s="3">
        <v>0.3851</v>
      </c>
      <c r="G3287">
        <v>7.7838000000000003</v>
      </c>
      <c r="H3287">
        <v>1.9</v>
      </c>
    </row>
    <row r="3288" spans="1:8" x14ac:dyDescent="0.25">
      <c r="A3288" t="s">
        <v>3294</v>
      </c>
      <c r="B3288">
        <v>66113</v>
      </c>
      <c r="C3288">
        <v>7896001004856</v>
      </c>
      <c r="D3288">
        <v>4.9000000000000004</v>
      </c>
      <c r="E3288">
        <v>2.77</v>
      </c>
      <c r="F3288" s="3">
        <v>0.39039999999999997</v>
      </c>
      <c r="G3288">
        <v>2.5339</v>
      </c>
      <c r="H3288">
        <v>2.2330000000000001</v>
      </c>
    </row>
    <row r="3289" spans="1:8" x14ac:dyDescent="0.25">
      <c r="A3289" t="s">
        <v>3295</v>
      </c>
      <c r="B3289">
        <v>66100</v>
      </c>
      <c r="C3289">
        <v>7896001004504</v>
      </c>
      <c r="D3289">
        <v>2.9</v>
      </c>
      <c r="E3289">
        <v>1.41</v>
      </c>
      <c r="F3289" s="3">
        <v>0.46600000000000003</v>
      </c>
      <c r="G3289">
        <v>1.2804</v>
      </c>
      <c r="H3289">
        <v>18.233000000000001</v>
      </c>
    </row>
    <row r="3290" spans="1:8" x14ac:dyDescent="0.25">
      <c r="A3290" t="s">
        <v>3296</v>
      </c>
      <c r="B3290">
        <v>66107</v>
      </c>
      <c r="C3290">
        <v>7896001004535</v>
      </c>
      <c r="D3290">
        <v>5.9</v>
      </c>
      <c r="E3290">
        <v>2.9</v>
      </c>
      <c r="F3290" s="3">
        <v>0.47049999999999997</v>
      </c>
      <c r="G3290">
        <v>2.5785</v>
      </c>
      <c r="H3290">
        <v>5.2670000000000003</v>
      </c>
    </row>
    <row r="3291" spans="1:8" x14ac:dyDescent="0.25">
      <c r="A3291" t="s">
        <v>3297</v>
      </c>
      <c r="B3291">
        <v>66098</v>
      </c>
      <c r="C3291">
        <v>7896001045446</v>
      </c>
      <c r="D3291">
        <v>6.9</v>
      </c>
      <c r="E3291">
        <v>4.24</v>
      </c>
      <c r="F3291" s="3">
        <v>0.3488</v>
      </c>
      <c r="G3291">
        <v>3.8552</v>
      </c>
      <c r="H3291">
        <v>23.033000000000001</v>
      </c>
    </row>
    <row r="3292" spans="1:8" x14ac:dyDescent="0.25">
      <c r="A3292" t="s">
        <v>3298</v>
      </c>
      <c r="B3292">
        <v>66102</v>
      </c>
      <c r="C3292">
        <v>7896001004528</v>
      </c>
      <c r="D3292">
        <v>4.49</v>
      </c>
      <c r="E3292">
        <v>2.74</v>
      </c>
      <c r="F3292" s="3">
        <v>0.34740000000000004</v>
      </c>
      <c r="G3292">
        <v>2.5148000000000001</v>
      </c>
      <c r="H3292">
        <v>3.6</v>
      </c>
    </row>
    <row r="3293" spans="1:8" x14ac:dyDescent="0.25">
      <c r="A3293" t="s">
        <v>3299</v>
      </c>
      <c r="B3293">
        <v>66106</v>
      </c>
      <c r="C3293">
        <v>7896001004566</v>
      </c>
      <c r="D3293">
        <v>3.49</v>
      </c>
      <c r="E3293">
        <v>2.16</v>
      </c>
      <c r="F3293" s="3">
        <v>0.34179999999999999</v>
      </c>
      <c r="G3293">
        <v>1.9741</v>
      </c>
      <c r="H3293">
        <v>16.766999999999999</v>
      </c>
    </row>
    <row r="3294" spans="1:8" x14ac:dyDescent="0.25">
      <c r="A3294" t="s">
        <v>3300</v>
      </c>
      <c r="B3294">
        <v>66101</v>
      </c>
      <c r="C3294">
        <v>7896001045637</v>
      </c>
      <c r="D3294">
        <v>7.9</v>
      </c>
      <c r="E3294">
        <v>4.71</v>
      </c>
      <c r="F3294" s="3">
        <v>0.36609999999999998</v>
      </c>
      <c r="G3294">
        <v>4.2769000000000004</v>
      </c>
      <c r="H3294">
        <v>13.333</v>
      </c>
    </row>
    <row r="3295" spans="1:8" x14ac:dyDescent="0.25">
      <c r="A3295" t="s">
        <v>3301</v>
      </c>
      <c r="B3295">
        <v>66108</v>
      </c>
      <c r="C3295">
        <v>7896001047822</v>
      </c>
      <c r="D3295">
        <v>5.9</v>
      </c>
      <c r="E3295">
        <v>3.21</v>
      </c>
      <c r="F3295" s="3">
        <v>0.41289999999999999</v>
      </c>
      <c r="G3295">
        <v>2.9178999999999999</v>
      </c>
      <c r="H3295">
        <v>4.2670000000000003</v>
      </c>
    </row>
    <row r="3296" spans="1:8" x14ac:dyDescent="0.25">
      <c r="A3296" t="s">
        <v>3302</v>
      </c>
      <c r="B3296">
        <v>64877</v>
      </c>
      <c r="C3296">
        <v>7891022861600</v>
      </c>
      <c r="D3296">
        <v>4.99</v>
      </c>
      <c r="E3296">
        <v>2.88</v>
      </c>
      <c r="F3296" s="3">
        <v>0.38380000000000003</v>
      </c>
      <c r="G3296">
        <v>2.6131000000000002</v>
      </c>
      <c r="H3296">
        <v>1.9330000000000001</v>
      </c>
    </row>
    <row r="3297" spans="1:8" x14ac:dyDescent="0.25">
      <c r="A3297" t="s">
        <v>3303</v>
      </c>
      <c r="B3297">
        <v>66566</v>
      </c>
      <c r="C3297">
        <v>7896098904770</v>
      </c>
      <c r="D3297">
        <v>3.9</v>
      </c>
      <c r="E3297">
        <v>1.57</v>
      </c>
      <c r="F3297" s="3">
        <v>0.54179999999999995</v>
      </c>
      <c r="G3297">
        <v>1.4261999999999999</v>
      </c>
      <c r="H3297">
        <v>0.7</v>
      </c>
    </row>
    <row r="3298" spans="1:8" x14ac:dyDescent="0.25">
      <c r="A3298" t="s">
        <v>3304</v>
      </c>
      <c r="B3298">
        <v>58806</v>
      </c>
      <c r="C3298">
        <v>7896098904787</v>
      </c>
      <c r="D3298">
        <v>7.9</v>
      </c>
      <c r="E3298">
        <v>3.47</v>
      </c>
      <c r="F3298" s="3">
        <v>0.51500000000000001</v>
      </c>
      <c r="G3298">
        <v>3.1004999999999998</v>
      </c>
      <c r="H3298">
        <v>12.032999999999999</v>
      </c>
    </row>
    <row r="3299" spans="1:8" x14ac:dyDescent="0.25">
      <c r="A3299" t="s">
        <v>3305</v>
      </c>
      <c r="B3299">
        <v>59848</v>
      </c>
      <c r="C3299">
        <v>4005900648327</v>
      </c>
      <c r="D3299">
        <v>39.9</v>
      </c>
      <c r="E3299">
        <v>26.96</v>
      </c>
      <c r="F3299" s="3">
        <v>0.32319999999999999</v>
      </c>
      <c r="G3299">
        <v>27.005600000000001</v>
      </c>
      <c r="H3299">
        <v>0.96699999999999997</v>
      </c>
    </row>
    <row r="3300" spans="1:8" x14ac:dyDescent="0.25">
      <c r="A3300" t="s">
        <v>3306</v>
      </c>
      <c r="B3300">
        <v>66094</v>
      </c>
      <c r="C3300">
        <v>7896001001442</v>
      </c>
      <c r="D3300">
        <v>29.9</v>
      </c>
      <c r="E3300">
        <v>19.170000000000002</v>
      </c>
      <c r="F3300" s="3">
        <v>0.26170000000000004</v>
      </c>
      <c r="G3300">
        <v>13.927099999999999</v>
      </c>
      <c r="H3300">
        <v>0.8</v>
      </c>
    </row>
    <row r="3301" spans="1:8" x14ac:dyDescent="0.25">
      <c r="A3301" t="s">
        <v>3307</v>
      </c>
      <c r="B3301">
        <v>58544</v>
      </c>
      <c r="C3301">
        <v>7891112086685</v>
      </c>
      <c r="D3301">
        <v>26.9</v>
      </c>
      <c r="E3301">
        <v>16.72</v>
      </c>
      <c r="F3301" s="3">
        <v>0.27039999999999997</v>
      </c>
      <c r="G3301">
        <v>12.2958</v>
      </c>
      <c r="H3301">
        <v>0</v>
      </c>
    </row>
    <row r="3302" spans="1:8" x14ac:dyDescent="0.25">
      <c r="A3302" t="s">
        <v>3308</v>
      </c>
      <c r="B3302">
        <v>56316</v>
      </c>
      <c r="C3302">
        <v>7896183303013</v>
      </c>
      <c r="D3302">
        <v>0</v>
      </c>
      <c r="E3302">
        <v>4.67</v>
      </c>
      <c r="F3302" s="3">
        <v>0</v>
      </c>
      <c r="G3302">
        <v>3.395</v>
      </c>
      <c r="H3302">
        <v>3.3000000000000002E-2</v>
      </c>
    </row>
    <row r="3303" spans="1:8" x14ac:dyDescent="0.25">
      <c r="A3303" t="s">
        <v>3309</v>
      </c>
      <c r="B3303">
        <v>56314</v>
      </c>
      <c r="C3303">
        <v>7896183302993</v>
      </c>
      <c r="D3303">
        <v>9.9</v>
      </c>
      <c r="E3303">
        <v>5.55</v>
      </c>
      <c r="F3303" s="3">
        <v>0.31819999999999998</v>
      </c>
      <c r="G3303">
        <v>4.0517000000000003</v>
      </c>
      <c r="H3303">
        <v>0.5</v>
      </c>
    </row>
    <row r="3304" spans="1:8" x14ac:dyDescent="0.25">
      <c r="A3304" t="s">
        <v>3310</v>
      </c>
      <c r="B3304">
        <v>56315</v>
      </c>
      <c r="C3304">
        <v>7896183303006</v>
      </c>
      <c r="D3304">
        <v>9.75</v>
      </c>
      <c r="E3304">
        <v>5.44</v>
      </c>
      <c r="F3304" s="3">
        <v>0.3115</v>
      </c>
      <c r="G3304">
        <v>4.0564999999999998</v>
      </c>
      <c r="H3304">
        <v>1.867</v>
      </c>
    </row>
    <row r="3305" spans="1:8" x14ac:dyDescent="0.25">
      <c r="A3305" t="s">
        <v>3311</v>
      </c>
      <c r="B3305">
        <v>66664</v>
      </c>
      <c r="C3305">
        <v>7898453460716</v>
      </c>
      <c r="D3305">
        <v>44.9</v>
      </c>
      <c r="E3305">
        <v>25.84</v>
      </c>
      <c r="F3305" s="3">
        <v>0.30879999999999996</v>
      </c>
      <c r="G3305">
        <v>18.799199999999999</v>
      </c>
      <c r="H3305">
        <v>0.56699999999999995</v>
      </c>
    </row>
    <row r="3306" spans="1:8" x14ac:dyDescent="0.25">
      <c r="A3306" t="s">
        <v>3312</v>
      </c>
      <c r="B3306">
        <v>64706</v>
      </c>
      <c r="C3306">
        <v>7893753603047</v>
      </c>
      <c r="D3306">
        <v>29.9</v>
      </c>
      <c r="E3306">
        <v>18.64</v>
      </c>
      <c r="F3306" s="3">
        <v>0.26539999999999997</v>
      </c>
      <c r="G3306">
        <v>13.8161</v>
      </c>
      <c r="H3306">
        <v>0.6</v>
      </c>
    </row>
    <row r="3307" spans="1:8" x14ac:dyDescent="0.25">
      <c r="A3307" t="s">
        <v>3313</v>
      </c>
      <c r="B3307">
        <v>9753</v>
      </c>
      <c r="C3307">
        <v>7898247311316</v>
      </c>
      <c r="D3307">
        <v>24.9</v>
      </c>
      <c r="E3307">
        <v>12.89</v>
      </c>
      <c r="F3307" s="3">
        <v>0.33850000000000002</v>
      </c>
      <c r="G3307">
        <v>9.6856000000000009</v>
      </c>
      <c r="H3307">
        <v>0.433</v>
      </c>
    </row>
    <row r="3308" spans="1:8" x14ac:dyDescent="0.25">
      <c r="A3308" t="s">
        <v>3314</v>
      </c>
      <c r="B3308">
        <v>6669</v>
      </c>
      <c r="C3308">
        <v>7896036095041</v>
      </c>
      <c r="D3308">
        <v>4.29</v>
      </c>
      <c r="E3308">
        <v>3.4</v>
      </c>
      <c r="F3308" s="3">
        <v>0.18770000000000001</v>
      </c>
      <c r="G3308">
        <v>3.0882000000000001</v>
      </c>
      <c r="H3308">
        <v>30.567</v>
      </c>
    </row>
    <row r="3309" spans="1:8" x14ac:dyDescent="0.25">
      <c r="A3309" t="s">
        <v>3315</v>
      </c>
      <c r="B3309">
        <v>6670</v>
      </c>
      <c r="C3309">
        <v>7896036099117</v>
      </c>
      <c r="D3309">
        <v>7.99</v>
      </c>
      <c r="E3309">
        <v>5.97</v>
      </c>
      <c r="F3309" s="3">
        <v>0.2273</v>
      </c>
      <c r="G3309">
        <v>5.4349999999999996</v>
      </c>
      <c r="H3309">
        <v>53.133000000000003</v>
      </c>
    </row>
    <row r="3310" spans="1:8" x14ac:dyDescent="0.25">
      <c r="A3310" t="s">
        <v>3316</v>
      </c>
      <c r="B3310">
        <v>6680</v>
      </c>
      <c r="C3310">
        <v>7896102502213</v>
      </c>
      <c r="D3310">
        <v>5.49</v>
      </c>
      <c r="E3310">
        <v>3.73</v>
      </c>
      <c r="F3310" s="3">
        <v>0.29160000000000003</v>
      </c>
      <c r="G3310">
        <v>3.3812000000000002</v>
      </c>
      <c r="H3310">
        <v>6.633</v>
      </c>
    </row>
    <row r="3311" spans="1:8" x14ac:dyDescent="0.25">
      <c r="A3311" t="s">
        <v>3317</v>
      </c>
      <c r="B3311">
        <v>60361</v>
      </c>
      <c r="C3311">
        <v>7896102502312</v>
      </c>
      <c r="D3311">
        <v>4.99</v>
      </c>
      <c r="E3311">
        <v>3.53</v>
      </c>
      <c r="F3311" s="3">
        <v>0.26550000000000001</v>
      </c>
      <c r="G3311">
        <v>3.2035</v>
      </c>
      <c r="H3311">
        <v>2.7330000000000001</v>
      </c>
    </row>
    <row r="3312" spans="1:8" x14ac:dyDescent="0.25">
      <c r="A3312" t="s">
        <v>3318</v>
      </c>
      <c r="B3312">
        <v>67816</v>
      </c>
      <c r="C3312">
        <v>7898930142685</v>
      </c>
      <c r="D3312">
        <v>3.99</v>
      </c>
      <c r="E3312">
        <v>2.84</v>
      </c>
      <c r="F3312" s="3">
        <v>0.27579999999999999</v>
      </c>
      <c r="G3312">
        <v>2.5203000000000002</v>
      </c>
      <c r="H3312">
        <v>12.567</v>
      </c>
    </row>
    <row r="3313" spans="1:8" x14ac:dyDescent="0.25">
      <c r="A3313" t="s">
        <v>3319</v>
      </c>
      <c r="B3313">
        <v>67817</v>
      </c>
      <c r="C3313">
        <v>7891300909963</v>
      </c>
      <c r="D3313">
        <v>6.99</v>
      </c>
      <c r="E3313">
        <v>4.62</v>
      </c>
      <c r="F3313" s="3">
        <v>0.30649999999999999</v>
      </c>
      <c r="G3313">
        <v>4.2007000000000003</v>
      </c>
      <c r="H3313">
        <v>18.632999999999999</v>
      </c>
    </row>
    <row r="3314" spans="1:8" x14ac:dyDescent="0.25">
      <c r="A3314" t="s">
        <v>3320</v>
      </c>
      <c r="B3314">
        <v>49582</v>
      </c>
      <c r="C3314">
        <v>7898202610850</v>
      </c>
      <c r="D3314">
        <v>7.9</v>
      </c>
      <c r="E3314">
        <v>3.96</v>
      </c>
      <c r="F3314" s="3">
        <v>0.45270000000000005</v>
      </c>
      <c r="G3314">
        <v>3.5931999999999999</v>
      </c>
      <c r="H3314">
        <v>0.73299999999999998</v>
      </c>
    </row>
    <row r="3315" spans="1:8" x14ac:dyDescent="0.25">
      <c r="A3315" t="s">
        <v>3321</v>
      </c>
      <c r="B3315">
        <v>58304</v>
      </c>
      <c r="C3315">
        <v>7891112225138</v>
      </c>
      <c r="D3315">
        <v>20.9</v>
      </c>
      <c r="E3315">
        <v>11.25</v>
      </c>
      <c r="F3315" s="3">
        <v>0.3387</v>
      </c>
      <c r="G3315">
        <v>8.1259999999999994</v>
      </c>
      <c r="H3315">
        <v>0.23300000000000001</v>
      </c>
    </row>
    <row r="3316" spans="1:8" x14ac:dyDescent="0.25">
      <c r="A3316" t="s">
        <v>3322</v>
      </c>
      <c r="B3316">
        <v>58305</v>
      </c>
      <c r="C3316">
        <v>7891112225435</v>
      </c>
      <c r="D3316">
        <v>20.9</v>
      </c>
      <c r="E3316">
        <v>10.8</v>
      </c>
      <c r="F3316" s="3">
        <v>0.34429999999999999</v>
      </c>
      <c r="G3316">
        <v>8.0092999999999996</v>
      </c>
      <c r="H3316">
        <v>0.23300000000000001</v>
      </c>
    </row>
    <row r="3317" spans="1:8" x14ac:dyDescent="0.25">
      <c r="A3317" t="s">
        <v>3323</v>
      </c>
      <c r="B3317">
        <v>56873</v>
      </c>
      <c r="C3317">
        <v>7891000296196</v>
      </c>
      <c r="D3317">
        <v>5.9</v>
      </c>
      <c r="E3317">
        <v>3.8</v>
      </c>
      <c r="F3317" s="3">
        <v>0.3226</v>
      </c>
      <c r="G3317">
        <v>3.4506999999999999</v>
      </c>
      <c r="H3317">
        <v>1.0669999999999999</v>
      </c>
    </row>
    <row r="3318" spans="1:8" x14ac:dyDescent="0.25">
      <c r="A3318" t="s">
        <v>3324</v>
      </c>
      <c r="B3318">
        <v>56869</v>
      </c>
      <c r="C3318">
        <v>7891000295915</v>
      </c>
      <c r="D3318">
        <v>5.9</v>
      </c>
      <c r="E3318">
        <v>3.8</v>
      </c>
      <c r="F3318" s="3">
        <v>0.3226</v>
      </c>
      <c r="G3318">
        <v>3.4506999999999999</v>
      </c>
      <c r="H3318">
        <v>0.86699999999999999</v>
      </c>
    </row>
    <row r="3319" spans="1:8" x14ac:dyDescent="0.25">
      <c r="A3319" t="s">
        <v>3325</v>
      </c>
      <c r="B3319">
        <v>56868</v>
      </c>
      <c r="C3319">
        <v>7891000295830</v>
      </c>
      <c r="D3319">
        <v>5.9</v>
      </c>
      <c r="E3319">
        <v>3.8</v>
      </c>
      <c r="F3319" s="3">
        <v>0.3226</v>
      </c>
      <c r="G3319">
        <v>3.4508000000000001</v>
      </c>
      <c r="H3319">
        <v>2.2999999999999998</v>
      </c>
    </row>
    <row r="3320" spans="1:8" x14ac:dyDescent="0.25">
      <c r="A3320" t="s">
        <v>3326</v>
      </c>
      <c r="B3320">
        <v>56871</v>
      </c>
      <c r="C3320">
        <v>7891000295717</v>
      </c>
      <c r="D3320">
        <v>5.9</v>
      </c>
      <c r="E3320">
        <v>3.8</v>
      </c>
      <c r="F3320" s="3">
        <v>0.32270000000000004</v>
      </c>
      <c r="G3320">
        <v>3.4506000000000001</v>
      </c>
      <c r="H3320">
        <v>1.3</v>
      </c>
    </row>
    <row r="3321" spans="1:8" x14ac:dyDescent="0.25">
      <c r="A3321" t="s">
        <v>3327</v>
      </c>
      <c r="B3321">
        <v>56870</v>
      </c>
      <c r="C3321">
        <v>7891000295991</v>
      </c>
      <c r="D3321">
        <v>5.9</v>
      </c>
      <c r="E3321">
        <v>3.76</v>
      </c>
      <c r="F3321" s="3">
        <v>0.3261</v>
      </c>
      <c r="G3321">
        <v>3.4302000000000001</v>
      </c>
      <c r="H3321">
        <v>0.36699999999999999</v>
      </c>
    </row>
    <row r="3322" spans="1:8" x14ac:dyDescent="0.25">
      <c r="A3322" t="s">
        <v>3328</v>
      </c>
      <c r="B3322">
        <v>56872</v>
      </c>
      <c r="C3322">
        <v>7891000296073</v>
      </c>
      <c r="D3322">
        <v>5.9</v>
      </c>
      <c r="E3322">
        <v>3.8</v>
      </c>
      <c r="F3322" s="3">
        <v>0.3226</v>
      </c>
      <c r="G3322">
        <v>3.4506999999999999</v>
      </c>
      <c r="H3322">
        <v>3.3</v>
      </c>
    </row>
    <row r="3323" spans="1:8" x14ac:dyDescent="0.25">
      <c r="A3323" t="s">
        <v>3329</v>
      </c>
      <c r="B3323">
        <v>11440</v>
      </c>
      <c r="C3323">
        <v>7891000296158</v>
      </c>
      <c r="D3323">
        <v>5.9</v>
      </c>
      <c r="E3323">
        <v>3.8</v>
      </c>
      <c r="F3323" s="3">
        <v>0.3226</v>
      </c>
      <c r="G3323">
        <v>3.4506999999999999</v>
      </c>
      <c r="H3323">
        <v>0.9</v>
      </c>
    </row>
    <row r="3324" spans="1:8" x14ac:dyDescent="0.25">
      <c r="A3324" t="s">
        <v>3330</v>
      </c>
      <c r="B3324">
        <v>58542</v>
      </c>
      <c r="C3324">
        <v>7891112274075</v>
      </c>
      <c r="D3324">
        <v>109.9</v>
      </c>
      <c r="E3324">
        <v>66.290000000000006</v>
      </c>
      <c r="F3324" s="3">
        <v>0.29070000000000001</v>
      </c>
      <c r="G3324">
        <v>48.002099999999999</v>
      </c>
      <c r="H3324">
        <v>6.7000000000000004E-2</v>
      </c>
    </row>
    <row r="3325" spans="1:8" x14ac:dyDescent="0.25">
      <c r="A3325" t="s">
        <v>3331</v>
      </c>
      <c r="B3325">
        <v>30198</v>
      </c>
      <c r="C3325">
        <v>7896283000072</v>
      </c>
      <c r="D3325">
        <v>14.9</v>
      </c>
      <c r="E3325">
        <v>8.44</v>
      </c>
      <c r="F3325" s="3">
        <v>0.31530000000000002</v>
      </c>
      <c r="G3325">
        <v>6.1416000000000004</v>
      </c>
      <c r="H3325">
        <v>6.7000000000000004E-2</v>
      </c>
    </row>
    <row r="3326" spans="1:8" x14ac:dyDescent="0.25">
      <c r="A3326" t="s">
        <v>3332</v>
      </c>
      <c r="B3326">
        <v>64469</v>
      </c>
      <c r="C3326">
        <v>7891000382301</v>
      </c>
      <c r="D3326">
        <v>9.9</v>
      </c>
      <c r="E3326">
        <v>4.6100000000000003</v>
      </c>
      <c r="F3326" s="3">
        <v>0.38780000000000003</v>
      </c>
      <c r="G3326">
        <v>3.3628999999999998</v>
      </c>
      <c r="H3326">
        <v>5.8</v>
      </c>
    </row>
    <row r="3327" spans="1:8" x14ac:dyDescent="0.25">
      <c r="A3327" t="s">
        <v>3333</v>
      </c>
      <c r="B3327">
        <v>11594</v>
      </c>
      <c r="C3327">
        <v>7891095028368</v>
      </c>
      <c r="D3327">
        <v>8.49</v>
      </c>
      <c r="E3327">
        <v>4.83</v>
      </c>
      <c r="F3327" s="3">
        <v>0.314</v>
      </c>
      <c r="G3327">
        <v>3.5106000000000002</v>
      </c>
      <c r="H3327">
        <v>1.3</v>
      </c>
    </row>
    <row r="3328" spans="1:8" x14ac:dyDescent="0.25">
      <c r="A3328" t="s">
        <v>3334</v>
      </c>
      <c r="B3328">
        <v>41642</v>
      </c>
      <c r="C3328">
        <v>8004323510002</v>
      </c>
      <c r="D3328">
        <v>15.9</v>
      </c>
      <c r="E3328">
        <v>11.29</v>
      </c>
      <c r="F3328" s="3">
        <v>0.26960000000000001</v>
      </c>
      <c r="G3328">
        <v>10.499700000000001</v>
      </c>
      <c r="H3328">
        <v>3.9</v>
      </c>
    </row>
    <row r="3329" spans="1:8" x14ac:dyDescent="0.25">
      <c r="A3329" t="s">
        <v>3335</v>
      </c>
      <c r="B3329">
        <v>60196</v>
      </c>
      <c r="C3329">
        <v>7896038351053</v>
      </c>
      <c r="D3329">
        <v>11.9</v>
      </c>
      <c r="E3329">
        <v>6.8</v>
      </c>
      <c r="F3329" s="3">
        <v>0.31170000000000003</v>
      </c>
      <c r="G3329">
        <v>4.9480000000000004</v>
      </c>
      <c r="H3329">
        <v>0.53300000000000003</v>
      </c>
    </row>
    <row r="3330" spans="1:8" x14ac:dyDescent="0.25">
      <c r="A3330" t="s">
        <v>3336</v>
      </c>
      <c r="B3330">
        <v>37903</v>
      </c>
      <c r="C3330">
        <v>7893500085768</v>
      </c>
      <c r="D3330">
        <v>13.49</v>
      </c>
      <c r="E3330">
        <v>6.88</v>
      </c>
      <c r="F3330" s="3">
        <v>0.35619999999999996</v>
      </c>
      <c r="G3330">
        <v>5.0084999999999997</v>
      </c>
      <c r="H3330">
        <v>2.5</v>
      </c>
    </row>
    <row r="3331" spans="1:8" x14ac:dyDescent="0.25">
      <c r="A3331" t="s">
        <v>3337</v>
      </c>
      <c r="B3331">
        <v>60197</v>
      </c>
      <c r="C3331">
        <v>7896038350056</v>
      </c>
      <c r="D3331">
        <v>9.9</v>
      </c>
      <c r="E3331">
        <v>5.84</v>
      </c>
      <c r="F3331" s="3">
        <v>0.29399999999999998</v>
      </c>
      <c r="G3331">
        <v>4.2912999999999997</v>
      </c>
      <c r="H3331">
        <v>3.9670000000000001</v>
      </c>
    </row>
    <row r="3332" spans="1:8" x14ac:dyDescent="0.25">
      <c r="A3332" t="s">
        <v>3338</v>
      </c>
      <c r="B3332">
        <v>61815</v>
      </c>
      <c r="C3332">
        <v>7896063244528</v>
      </c>
      <c r="D3332">
        <v>7.99</v>
      </c>
      <c r="E3332">
        <v>4.7</v>
      </c>
      <c r="F3332" s="3">
        <v>0.29920000000000002</v>
      </c>
      <c r="G3332">
        <v>3.4220000000000002</v>
      </c>
      <c r="H3332">
        <v>4.4000000000000004</v>
      </c>
    </row>
    <row r="3333" spans="1:8" x14ac:dyDescent="0.25">
      <c r="A3333" t="s">
        <v>3339</v>
      </c>
      <c r="B3333">
        <v>64470</v>
      </c>
      <c r="C3333">
        <v>7891000382547</v>
      </c>
      <c r="D3333">
        <v>8.9</v>
      </c>
      <c r="E3333">
        <v>3.69</v>
      </c>
      <c r="F3333" s="3">
        <v>0.42599999999999999</v>
      </c>
      <c r="G3333">
        <v>2.6835</v>
      </c>
      <c r="H3333">
        <v>4.8</v>
      </c>
    </row>
    <row r="3334" spans="1:8" x14ac:dyDescent="0.25">
      <c r="A3334" t="s">
        <v>3340</v>
      </c>
      <c r="B3334">
        <v>35064</v>
      </c>
      <c r="C3334">
        <v>7894321219929</v>
      </c>
      <c r="D3334">
        <v>6.9</v>
      </c>
      <c r="E3334">
        <v>3.86</v>
      </c>
      <c r="F3334" s="3">
        <v>0.3125</v>
      </c>
      <c r="G3334">
        <v>2.8637000000000001</v>
      </c>
      <c r="H3334">
        <v>13.567</v>
      </c>
    </row>
    <row r="3335" spans="1:8" x14ac:dyDescent="0.25">
      <c r="A3335" t="s">
        <v>3341</v>
      </c>
      <c r="B3335">
        <v>6106</v>
      </c>
      <c r="C3335">
        <v>7891095028351</v>
      </c>
      <c r="D3335">
        <v>4.49</v>
      </c>
      <c r="E3335">
        <v>2.77</v>
      </c>
      <c r="F3335" s="3">
        <v>0.2782</v>
      </c>
      <c r="G3335">
        <v>2.0173000000000001</v>
      </c>
      <c r="H3335">
        <v>2.9</v>
      </c>
    </row>
    <row r="3336" spans="1:8" x14ac:dyDescent="0.25">
      <c r="A3336" t="s">
        <v>3342</v>
      </c>
      <c r="B3336">
        <v>23710</v>
      </c>
      <c r="C3336">
        <v>7897303502682</v>
      </c>
      <c r="D3336">
        <v>19.899999999999999</v>
      </c>
      <c r="E3336">
        <v>8.73</v>
      </c>
      <c r="F3336" s="3">
        <v>0.40850000000000003</v>
      </c>
      <c r="G3336">
        <v>6.3490000000000002</v>
      </c>
      <c r="H3336">
        <v>0</v>
      </c>
    </row>
    <row r="3337" spans="1:8" x14ac:dyDescent="0.25">
      <c r="A3337" t="s">
        <v>3343</v>
      </c>
      <c r="B3337">
        <v>7460</v>
      </c>
      <c r="C3337">
        <v>7897303500343</v>
      </c>
      <c r="D3337">
        <v>5.9</v>
      </c>
      <c r="E3337">
        <v>2.91</v>
      </c>
      <c r="F3337" s="3">
        <v>0.36869999999999997</v>
      </c>
      <c r="G3337">
        <v>2.117</v>
      </c>
      <c r="H3337">
        <v>0.5</v>
      </c>
    </row>
    <row r="3338" spans="1:8" x14ac:dyDescent="0.25">
      <c r="A3338" t="s">
        <v>3344</v>
      </c>
      <c r="B3338">
        <v>30239</v>
      </c>
      <c r="C3338">
        <v>7896283003608</v>
      </c>
      <c r="D3338">
        <v>15.41</v>
      </c>
      <c r="E3338">
        <v>7.35</v>
      </c>
      <c r="F3338" s="3">
        <v>0.40229999999999999</v>
      </c>
      <c r="G3338">
        <v>5.0102000000000002</v>
      </c>
      <c r="H3338">
        <v>1.4330000000000001</v>
      </c>
    </row>
    <row r="3339" spans="1:8" x14ac:dyDescent="0.25">
      <c r="A3339" t="s">
        <v>3345</v>
      </c>
      <c r="B3339">
        <v>7473</v>
      </c>
      <c r="C3339">
        <v>7896063244627</v>
      </c>
      <c r="D3339">
        <v>9.9</v>
      </c>
      <c r="E3339">
        <v>5.7</v>
      </c>
      <c r="F3339" s="3">
        <v>0.30820000000000003</v>
      </c>
      <c r="G3339">
        <v>4.1509999999999998</v>
      </c>
      <c r="H3339">
        <v>0.76700000000000002</v>
      </c>
    </row>
    <row r="3340" spans="1:8" x14ac:dyDescent="0.25">
      <c r="A3340" t="s">
        <v>3346</v>
      </c>
      <c r="B3340">
        <v>7478</v>
      </c>
      <c r="C3340">
        <v>7897303509179</v>
      </c>
      <c r="D3340">
        <v>5.9</v>
      </c>
      <c r="E3340">
        <v>3.02</v>
      </c>
      <c r="F3340" s="3">
        <v>0.3553</v>
      </c>
      <c r="G3340">
        <v>2.1960000000000002</v>
      </c>
      <c r="H3340">
        <v>3.3000000000000002E-2</v>
      </c>
    </row>
    <row r="3341" spans="1:8" x14ac:dyDescent="0.25">
      <c r="A3341" t="s">
        <v>3347</v>
      </c>
      <c r="B3341">
        <v>62064</v>
      </c>
      <c r="C3341">
        <v>7891000358764</v>
      </c>
      <c r="D3341">
        <v>18.899999999999999</v>
      </c>
      <c r="E3341">
        <v>14.3</v>
      </c>
      <c r="F3341" s="3">
        <v>0.22109999999999999</v>
      </c>
      <c r="G3341">
        <v>12.9733</v>
      </c>
      <c r="H3341">
        <v>6.2670000000000003</v>
      </c>
    </row>
    <row r="3342" spans="1:8" x14ac:dyDescent="0.25">
      <c r="A3342" t="s">
        <v>3348</v>
      </c>
      <c r="B3342">
        <v>13022</v>
      </c>
      <c r="C3342">
        <v>7891000099032</v>
      </c>
      <c r="D3342">
        <v>9.99</v>
      </c>
      <c r="E3342">
        <v>6.73</v>
      </c>
      <c r="F3342" s="3">
        <v>0.29609999999999997</v>
      </c>
      <c r="G3342">
        <v>6.1075999999999997</v>
      </c>
      <c r="H3342">
        <v>19</v>
      </c>
    </row>
    <row r="3343" spans="1:8" x14ac:dyDescent="0.25">
      <c r="A3343" t="s">
        <v>3349</v>
      </c>
      <c r="B3343">
        <v>3648</v>
      </c>
      <c r="C3343">
        <v>7891095300303</v>
      </c>
      <c r="D3343">
        <v>13.49</v>
      </c>
      <c r="E3343">
        <v>9.35</v>
      </c>
      <c r="F3343" s="3">
        <v>0.30670000000000003</v>
      </c>
      <c r="G3343">
        <v>9.3522999999999996</v>
      </c>
      <c r="H3343">
        <v>2.7330000000000001</v>
      </c>
    </row>
    <row r="3344" spans="1:8" x14ac:dyDescent="0.25">
      <c r="A3344" t="s">
        <v>3350</v>
      </c>
      <c r="B3344">
        <v>3651</v>
      </c>
      <c r="C3344">
        <v>7896070800199</v>
      </c>
      <c r="D3344">
        <v>7.99</v>
      </c>
      <c r="E3344">
        <v>5.1100000000000003</v>
      </c>
      <c r="F3344" s="3">
        <v>0.36060000000000003</v>
      </c>
      <c r="G3344">
        <v>5.1085000000000003</v>
      </c>
      <c r="H3344">
        <v>6.9</v>
      </c>
    </row>
    <row r="3345" spans="1:8" x14ac:dyDescent="0.25">
      <c r="A3345" t="s">
        <v>3351</v>
      </c>
      <c r="B3345">
        <v>3649</v>
      </c>
      <c r="C3345">
        <v>7896070800106</v>
      </c>
      <c r="D3345">
        <v>9.9</v>
      </c>
      <c r="E3345">
        <v>7.28</v>
      </c>
      <c r="F3345" s="3">
        <v>0.26450000000000001</v>
      </c>
      <c r="G3345">
        <v>7.2819000000000003</v>
      </c>
      <c r="H3345">
        <v>5.7670000000000003</v>
      </c>
    </row>
    <row r="3346" spans="1:8" x14ac:dyDescent="0.25">
      <c r="A3346" t="s">
        <v>3352</v>
      </c>
      <c r="B3346">
        <v>3650</v>
      </c>
      <c r="C3346">
        <v>7896070800229</v>
      </c>
      <c r="D3346">
        <v>7.99</v>
      </c>
      <c r="E3346">
        <v>5.12</v>
      </c>
      <c r="F3346" s="3">
        <v>0.35899999999999999</v>
      </c>
      <c r="G3346">
        <v>5.1215999999999999</v>
      </c>
      <c r="H3346">
        <v>0.76700000000000002</v>
      </c>
    </row>
    <row r="3347" spans="1:8" x14ac:dyDescent="0.25">
      <c r="A3347" t="s">
        <v>3353</v>
      </c>
      <c r="B3347">
        <v>3654</v>
      </c>
      <c r="C3347">
        <v>7896070800502</v>
      </c>
      <c r="D3347">
        <v>3.99</v>
      </c>
      <c r="E3347">
        <v>2.76</v>
      </c>
      <c r="F3347" s="3">
        <v>0.30959999999999999</v>
      </c>
      <c r="G3347">
        <v>2.7545000000000002</v>
      </c>
      <c r="H3347">
        <v>10.967000000000001</v>
      </c>
    </row>
    <row r="3348" spans="1:8" x14ac:dyDescent="0.25">
      <c r="A3348" t="s">
        <v>3354</v>
      </c>
      <c r="B3348">
        <v>3653</v>
      </c>
      <c r="C3348">
        <v>7896070800151</v>
      </c>
      <c r="D3348">
        <v>3.99</v>
      </c>
      <c r="E3348">
        <v>2.84</v>
      </c>
      <c r="F3348" s="3">
        <v>0.28850000000000003</v>
      </c>
      <c r="G3348">
        <v>2.839</v>
      </c>
      <c r="H3348">
        <v>4.3</v>
      </c>
    </row>
    <row r="3349" spans="1:8" x14ac:dyDescent="0.25">
      <c r="A3349" t="s">
        <v>3355</v>
      </c>
      <c r="B3349">
        <v>3659</v>
      </c>
      <c r="C3349">
        <v>7891095001101</v>
      </c>
      <c r="D3349">
        <v>14.9</v>
      </c>
      <c r="E3349">
        <v>10.11</v>
      </c>
      <c r="F3349" s="3">
        <v>0.3246</v>
      </c>
      <c r="G3349">
        <v>10.0631</v>
      </c>
      <c r="H3349">
        <v>4.0330000000000004</v>
      </c>
    </row>
    <row r="3350" spans="1:8" x14ac:dyDescent="0.25">
      <c r="A3350" t="s">
        <v>3356</v>
      </c>
      <c r="B3350">
        <v>3657</v>
      </c>
      <c r="C3350">
        <v>7891095300389</v>
      </c>
      <c r="D3350">
        <v>9.49</v>
      </c>
      <c r="E3350">
        <v>6.54</v>
      </c>
      <c r="F3350" s="3">
        <v>0.315</v>
      </c>
      <c r="G3350">
        <v>6.5002000000000004</v>
      </c>
      <c r="H3350">
        <v>6.6669999999999998</v>
      </c>
    </row>
    <row r="3351" spans="1:8" x14ac:dyDescent="0.25">
      <c r="A3351" t="s">
        <v>3357</v>
      </c>
      <c r="B3351">
        <v>3658</v>
      </c>
      <c r="C3351">
        <v>7891095300372</v>
      </c>
      <c r="D3351">
        <v>7.9</v>
      </c>
      <c r="E3351">
        <v>5.48</v>
      </c>
      <c r="F3351" s="3">
        <v>0.30790000000000001</v>
      </c>
      <c r="G3351">
        <v>5.4672999999999998</v>
      </c>
      <c r="H3351">
        <v>13.3</v>
      </c>
    </row>
    <row r="3352" spans="1:8" x14ac:dyDescent="0.25">
      <c r="A3352" t="s">
        <v>3358</v>
      </c>
      <c r="B3352">
        <v>3667</v>
      </c>
      <c r="C3352">
        <v>7891095200696</v>
      </c>
      <c r="D3352">
        <v>9.9</v>
      </c>
      <c r="E3352">
        <v>6.05</v>
      </c>
      <c r="F3352" s="3">
        <v>0.32229999999999998</v>
      </c>
      <c r="G3352">
        <v>4.9269999999999996</v>
      </c>
      <c r="H3352">
        <v>7.6669999999999998</v>
      </c>
    </row>
    <row r="3353" spans="1:8" x14ac:dyDescent="0.25">
      <c r="A3353" t="s">
        <v>3359</v>
      </c>
      <c r="B3353">
        <v>61131</v>
      </c>
      <c r="C3353">
        <v>7898097891464</v>
      </c>
      <c r="D3353">
        <v>24.9</v>
      </c>
      <c r="E3353">
        <v>14.97</v>
      </c>
      <c r="F3353" s="3">
        <v>0.29010000000000002</v>
      </c>
      <c r="G3353">
        <v>10.8908</v>
      </c>
      <c r="H3353">
        <v>0.16700000000000001</v>
      </c>
    </row>
    <row r="3354" spans="1:8" x14ac:dyDescent="0.25">
      <c r="A3354" t="s">
        <v>3360</v>
      </c>
      <c r="B3354">
        <v>61132</v>
      </c>
      <c r="C3354">
        <v>7898097891488</v>
      </c>
      <c r="D3354">
        <v>24.9</v>
      </c>
      <c r="E3354">
        <v>12.29</v>
      </c>
      <c r="F3354" s="3">
        <v>0.29389999999999999</v>
      </c>
      <c r="G3354">
        <v>10.7965</v>
      </c>
      <c r="H3354">
        <v>0.33300000000000002</v>
      </c>
    </row>
    <row r="3355" spans="1:8" x14ac:dyDescent="0.25">
      <c r="A3355" t="s">
        <v>3361</v>
      </c>
      <c r="B3355">
        <v>31801</v>
      </c>
      <c r="C3355">
        <v>7896007870554</v>
      </c>
      <c r="D3355">
        <v>17.899999999999999</v>
      </c>
      <c r="E3355">
        <v>8.24</v>
      </c>
      <c r="F3355" s="3">
        <v>0.39369999999999999</v>
      </c>
      <c r="G3355">
        <v>5.9744999999999999</v>
      </c>
      <c r="H3355">
        <v>5.0670000000000002</v>
      </c>
    </row>
    <row r="3356" spans="1:8" x14ac:dyDescent="0.25">
      <c r="A3356" t="s">
        <v>3362</v>
      </c>
      <c r="B3356">
        <v>65128</v>
      </c>
      <c r="C3356">
        <v>7896007802692</v>
      </c>
      <c r="D3356">
        <v>19.899999999999999</v>
      </c>
      <c r="E3356">
        <v>11.57</v>
      </c>
      <c r="F3356" s="3">
        <v>0.30620000000000003</v>
      </c>
      <c r="G3356">
        <v>8.3834999999999997</v>
      </c>
      <c r="H3356">
        <v>0.33300000000000002</v>
      </c>
    </row>
    <row r="3357" spans="1:8" x14ac:dyDescent="0.25">
      <c r="A3357" t="s">
        <v>3363</v>
      </c>
      <c r="B3357">
        <v>51182</v>
      </c>
      <c r="C3357">
        <v>7898954933474</v>
      </c>
      <c r="D3357">
        <v>25.9</v>
      </c>
      <c r="E3357">
        <v>14.55</v>
      </c>
      <c r="F3357" s="3">
        <v>0.31489999999999996</v>
      </c>
      <c r="G3357">
        <v>10.686299999999999</v>
      </c>
      <c r="H3357">
        <v>1.2</v>
      </c>
    </row>
    <row r="3358" spans="1:8" x14ac:dyDescent="0.25">
      <c r="A3358" t="s">
        <v>3364</v>
      </c>
      <c r="B3358">
        <v>3674</v>
      </c>
      <c r="C3358">
        <v>7896002362085</v>
      </c>
      <c r="D3358">
        <v>9.59</v>
      </c>
      <c r="E3358">
        <v>6.3</v>
      </c>
      <c r="F3358" s="3">
        <v>0.31120000000000003</v>
      </c>
      <c r="G3358">
        <v>5.7180999999999997</v>
      </c>
      <c r="H3358">
        <v>6.7</v>
      </c>
    </row>
    <row r="3359" spans="1:8" x14ac:dyDescent="0.25">
      <c r="A3359" t="s">
        <v>3365</v>
      </c>
      <c r="B3359">
        <v>3677</v>
      </c>
      <c r="C3359">
        <v>7891095400423</v>
      </c>
      <c r="D3359">
        <v>16.899999999999999</v>
      </c>
      <c r="E3359">
        <v>9.14</v>
      </c>
      <c r="F3359" s="3">
        <v>0.33270000000000005</v>
      </c>
      <c r="G3359">
        <v>6.6715</v>
      </c>
      <c r="H3359">
        <v>13.167</v>
      </c>
    </row>
    <row r="3360" spans="1:8" x14ac:dyDescent="0.25">
      <c r="A3360" t="s">
        <v>3366</v>
      </c>
      <c r="B3360">
        <v>68742</v>
      </c>
      <c r="C3360">
        <v>8011322311202</v>
      </c>
      <c r="D3360">
        <v>9.9</v>
      </c>
      <c r="E3360">
        <v>27.22</v>
      </c>
      <c r="F3360" s="3">
        <v>-1.2729999999999999</v>
      </c>
      <c r="G3360">
        <v>19.805199999999999</v>
      </c>
      <c r="H3360">
        <v>0.36699999999999999</v>
      </c>
    </row>
    <row r="3361" spans="1:8" x14ac:dyDescent="0.25">
      <c r="A3361" t="s">
        <v>3367</v>
      </c>
      <c r="B3361">
        <v>68960</v>
      </c>
      <c r="C3361">
        <v>8852633333503</v>
      </c>
      <c r="D3361">
        <v>19.899999999999999</v>
      </c>
      <c r="E3361">
        <v>0</v>
      </c>
      <c r="F3361" s="3">
        <v>0.90749999999999997</v>
      </c>
      <c r="G3361">
        <v>0</v>
      </c>
      <c r="H3361">
        <v>0</v>
      </c>
    </row>
    <row r="3362" spans="1:8" x14ac:dyDescent="0.25">
      <c r="A3362" t="s">
        <v>3368</v>
      </c>
      <c r="B3362">
        <v>9312</v>
      </c>
      <c r="C3362">
        <v>7896005232705</v>
      </c>
      <c r="D3362">
        <v>6.95</v>
      </c>
      <c r="E3362">
        <v>5.17</v>
      </c>
      <c r="F3362" s="3">
        <v>0.23870000000000002</v>
      </c>
      <c r="G3362">
        <v>4.8067000000000002</v>
      </c>
      <c r="H3362">
        <v>5.9329999999999998</v>
      </c>
    </row>
    <row r="3363" spans="1:8" x14ac:dyDescent="0.25">
      <c r="A3363" t="s">
        <v>3369</v>
      </c>
      <c r="B3363">
        <v>9059</v>
      </c>
      <c r="C3363">
        <v>7896005205877</v>
      </c>
      <c r="D3363">
        <v>11.49</v>
      </c>
      <c r="E3363">
        <v>7.1</v>
      </c>
      <c r="F3363" s="3">
        <v>0.35470000000000002</v>
      </c>
      <c r="G3363">
        <v>6.6105999999999998</v>
      </c>
      <c r="H3363">
        <v>1.5669999999999999</v>
      </c>
    </row>
    <row r="3364" spans="1:8" x14ac:dyDescent="0.25">
      <c r="A3364" t="s">
        <v>3370</v>
      </c>
      <c r="B3364">
        <v>3692</v>
      </c>
      <c r="C3364">
        <v>7896005202074</v>
      </c>
      <c r="D3364">
        <v>6.49</v>
      </c>
      <c r="E3364">
        <v>4.49</v>
      </c>
      <c r="F3364" s="3">
        <v>0.29020000000000001</v>
      </c>
      <c r="G3364">
        <v>4.1510999999999996</v>
      </c>
      <c r="H3364">
        <v>106.5</v>
      </c>
    </row>
    <row r="3365" spans="1:8" x14ac:dyDescent="0.25">
      <c r="A3365" t="s">
        <v>3371</v>
      </c>
      <c r="B3365">
        <v>13019</v>
      </c>
      <c r="C3365">
        <v>7896005212905</v>
      </c>
      <c r="D3365">
        <v>7.99</v>
      </c>
      <c r="E3365">
        <v>5.69</v>
      </c>
      <c r="F3365" s="3">
        <v>0.26629999999999998</v>
      </c>
      <c r="G3365">
        <v>5.3026</v>
      </c>
      <c r="H3365">
        <v>10.4</v>
      </c>
    </row>
    <row r="3366" spans="1:8" x14ac:dyDescent="0.25">
      <c r="A3366" t="s">
        <v>3372</v>
      </c>
      <c r="B3366">
        <v>3685</v>
      </c>
      <c r="C3366">
        <v>7896022200961</v>
      </c>
      <c r="D3366">
        <v>8.84</v>
      </c>
      <c r="E3366">
        <v>6.51</v>
      </c>
      <c r="F3366" s="3">
        <v>0.24510000000000001</v>
      </c>
      <c r="G3366">
        <v>6.0528000000000004</v>
      </c>
      <c r="H3366">
        <v>35.700000000000003</v>
      </c>
    </row>
    <row r="3367" spans="1:8" x14ac:dyDescent="0.25">
      <c r="A3367" t="s">
        <v>3373</v>
      </c>
      <c r="B3367">
        <v>21911</v>
      </c>
      <c r="C3367">
        <v>7896022206147</v>
      </c>
      <c r="D3367">
        <v>9.9</v>
      </c>
      <c r="E3367">
        <v>6.98</v>
      </c>
      <c r="F3367" s="3">
        <v>0.27440000000000003</v>
      </c>
      <c r="G3367">
        <v>6.4909999999999997</v>
      </c>
      <c r="H3367">
        <v>4.0670000000000002</v>
      </c>
    </row>
    <row r="3368" spans="1:8" x14ac:dyDescent="0.25">
      <c r="A3368" t="s">
        <v>3374</v>
      </c>
      <c r="B3368">
        <v>3683</v>
      </c>
      <c r="C3368">
        <v>7896022201357</v>
      </c>
      <c r="D3368">
        <v>29.9</v>
      </c>
      <c r="E3368">
        <v>19.29</v>
      </c>
      <c r="F3368" s="3">
        <v>0.2581</v>
      </c>
      <c r="G3368">
        <v>14.035500000000001</v>
      </c>
      <c r="H3368">
        <v>0.2</v>
      </c>
    </row>
    <row r="3369" spans="1:8" x14ac:dyDescent="0.25">
      <c r="A3369" t="s">
        <v>3375</v>
      </c>
      <c r="B3369">
        <v>9114</v>
      </c>
      <c r="C3369">
        <v>7896005213698</v>
      </c>
      <c r="D3369">
        <v>5.73</v>
      </c>
      <c r="E3369">
        <v>3.95</v>
      </c>
      <c r="F3369" s="3">
        <v>0.29469999999999996</v>
      </c>
      <c r="G3369">
        <v>3.6429</v>
      </c>
      <c r="H3369">
        <v>17.933</v>
      </c>
    </row>
    <row r="3370" spans="1:8" x14ac:dyDescent="0.25">
      <c r="A3370" t="s">
        <v>3376</v>
      </c>
      <c r="B3370">
        <v>15403</v>
      </c>
      <c r="C3370">
        <v>7896396800101</v>
      </c>
      <c r="D3370">
        <v>23.9</v>
      </c>
      <c r="E3370">
        <v>15.33</v>
      </c>
      <c r="F3370" s="3">
        <v>0.26079999999999998</v>
      </c>
      <c r="G3370">
        <v>11.1532</v>
      </c>
      <c r="H3370">
        <v>0.13300000000000001</v>
      </c>
    </row>
    <row r="3371" spans="1:8" x14ac:dyDescent="0.25">
      <c r="A3371" t="s">
        <v>3377</v>
      </c>
      <c r="B3371">
        <v>65153</v>
      </c>
      <c r="C3371">
        <v>7898912222312</v>
      </c>
      <c r="D3371">
        <v>11.9</v>
      </c>
      <c r="E3371">
        <v>6.99</v>
      </c>
      <c r="F3371" s="3">
        <v>0.30030000000000001</v>
      </c>
      <c r="G3371">
        <v>5.0838999999999999</v>
      </c>
      <c r="H3371">
        <v>4.5</v>
      </c>
    </row>
    <row r="3372" spans="1:8" x14ac:dyDescent="0.25">
      <c r="A3372" t="s">
        <v>3378</v>
      </c>
      <c r="B3372">
        <v>65154</v>
      </c>
      <c r="C3372">
        <v>7898912222329</v>
      </c>
      <c r="D3372">
        <v>9.99</v>
      </c>
      <c r="E3372">
        <v>6.74</v>
      </c>
      <c r="F3372" s="3">
        <v>0.2366</v>
      </c>
      <c r="G3372">
        <v>4.9040999999999997</v>
      </c>
      <c r="H3372">
        <v>1.167</v>
      </c>
    </row>
    <row r="3373" spans="1:8" x14ac:dyDescent="0.25">
      <c r="A3373" t="s">
        <v>3379</v>
      </c>
      <c r="B3373">
        <v>65150</v>
      </c>
      <c r="C3373">
        <v>7898912222282</v>
      </c>
      <c r="D3373">
        <v>9.99</v>
      </c>
      <c r="E3373">
        <v>6.75</v>
      </c>
      <c r="F3373" s="3">
        <v>0.2359</v>
      </c>
      <c r="G3373">
        <v>4.9112</v>
      </c>
      <c r="H3373">
        <v>0.16700000000000001</v>
      </c>
    </row>
    <row r="3374" spans="1:8" x14ac:dyDescent="0.25">
      <c r="A3374" t="s">
        <v>3380</v>
      </c>
      <c r="B3374">
        <v>65151</v>
      </c>
      <c r="C3374">
        <v>7898912222299</v>
      </c>
      <c r="D3374">
        <v>9.99</v>
      </c>
      <c r="E3374">
        <v>6.63</v>
      </c>
      <c r="F3374" s="3">
        <v>0.2427</v>
      </c>
      <c r="G3374">
        <v>4.8430999999999997</v>
      </c>
      <c r="H3374">
        <v>26</v>
      </c>
    </row>
    <row r="3375" spans="1:8" x14ac:dyDescent="0.25">
      <c r="A3375" t="s">
        <v>3381</v>
      </c>
      <c r="B3375">
        <v>60780</v>
      </c>
      <c r="C3375">
        <v>7898912222916</v>
      </c>
      <c r="D3375">
        <v>15.9</v>
      </c>
      <c r="E3375">
        <v>9.58</v>
      </c>
      <c r="F3375" s="3">
        <v>0.28970000000000001</v>
      </c>
      <c r="G3375">
        <v>6.9614000000000003</v>
      </c>
      <c r="H3375">
        <v>1.7669999999999999</v>
      </c>
    </row>
    <row r="3376" spans="1:8" x14ac:dyDescent="0.25">
      <c r="A3376" t="s">
        <v>3382</v>
      </c>
      <c r="B3376">
        <v>55829</v>
      </c>
      <c r="C3376">
        <v>7898912222237</v>
      </c>
      <c r="D3376">
        <v>15.9</v>
      </c>
      <c r="E3376">
        <v>9.65</v>
      </c>
      <c r="F3376" s="3">
        <v>0.28600000000000003</v>
      </c>
      <c r="G3376">
        <v>7.0194999999999999</v>
      </c>
      <c r="H3376">
        <v>2.0670000000000002</v>
      </c>
    </row>
    <row r="3377" spans="1:8" x14ac:dyDescent="0.25">
      <c r="A3377" t="s">
        <v>3383</v>
      </c>
      <c r="B3377">
        <v>60781</v>
      </c>
      <c r="C3377">
        <v>7898912222923</v>
      </c>
      <c r="D3377">
        <v>15.9</v>
      </c>
      <c r="E3377">
        <v>9.61</v>
      </c>
      <c r="F3377" s="3">
        <v>0.28800000000000003</v>
      </c>
      <c r="G3377">
        <v>6.9886999999999997</v>
      </c>
      <c r="H3377">
        <v>2.2330000000000001</v>
      </c>
    </row>
    <row r="3378" spans="1:8" x14ac:dyDescent="0.25">
      <c r="A3378" t="s">
        <v>3384</v>
      </c>
      <c r="B3378">
        <v>3655</v>
      </c>
      <c r="C3378">
        <v>7891095301065</v>
      </c>
      <c r="D3378">
        <v>5.0199999999999996</v>
      </c>
      <c r="E3378">
        <v>2.73</v>
      </c>
      <c r="F3378" s="3">
        <v>0.33159999999999995</v>
      </c>
      <c r="G3378">
        <v>1.9888999999999999</v>
      </c>
      <c r="H3378">
        <v>4.0330000000000004</v>
      </c>
    </row>
    <row r="3379" spans="1:8" x14ac:dyDescent="0.25">
      <c r="A3379" t="s">
        <v>3385</v>
      </c>
      <c r="B3379">
        <v>3656</v>
      </c>
      <c r="C3379">
        <v>7891095911486</v>
      </c>
      <c r="D3379">
        <v>5.99</v>
      </c>
      <c r="E3379">
        <v>5.74</v>
      </c>
      <c r="F3379" s="3">
        <v>2.5399999999999999E-2</v>
      </c>
      <c r="G3379">
        <v>4.2054</v>
      </c>
      <c r="H3379">
        <v>75.400000000000006</v>
      </c>
    </row>
    <row r="3380" spans="1:8" x14ac:dyDescent="0.25">
      <c r="A3380" t="s">
        <v>3386</v>
      </c>
      <c r="B3380">
        <v>67773</v>
      </c>
      <c r="C3380">
        <v>7891095911660</v>
      </c>
      <c r="D3380">
        <v>7.99</v>
      </c>
      <c r="E3380">
        <v>5.39</v>
      </c>
      <c r="F3380" s="3">
        <v>0.23710000000000001</v>
      </c>
      <c r="G3380">
        <v>3.9178999999999999</v>
      </c>
      <c r="H3380">
        <v>7.133</v>
      </c>
    </row>
    <row r="3381" spans="1:8" x14ac:dyDescent="0.25">
      <c r="A3381" t="s">
        <v>3387</v>
      </c>
      <c r="B3381">
        <v>67772</v>
      </c>
      <c r="C3381">
        <v>7891095911677</v>
      </c>
      <c r="D3381">
        <v>7.99</v>
      </c>
      <c r="E3381">
        <v>5.37</v>
      </c>
      <c r="F3381" s="3">
        <v>0.23920000000000002</v>
      </c>
      <c r="G3381">
        <v>3.9018000000000002</v>
      </c>
      <c r="H3381">
        <v>15.1</v>
      </c>
    </row>
    <row r="3382" spans="1:8" x14ac:dyDescent="0.25">
      <c r="A3382" t="s">
        <v>3388</v>
      </c>
      <c r="B3382">
        <v>67774</v>
      </c>
      <c r="C3382">
        <v>7891095911684</v>
      </c>
      <c r="D3382">
        <v>7.99</v>
      </c>
      <c r="E3382">
        <v>5.35</v>
      </c>
      <c r="F3382" s="3">
        <v>0.2404</v>
      </c>
      <c r="G3382">
        <v>3.8921999999999999</v>
      </c>
      <c r="H3382">
        <v>17.8</v>
      </c>
    </row>
    <row r="3383" spans="1:8" x14ac:dyDescent="0.25">
      <c r="A3383" t="s">
        <v>3389</v>
      </c>
      <c r="B3383">
        <v>3670</v>
      </c>
      <c r="C3383">
        <v>7891095911448</v>
      </c>
      <c r="D3383">
        <v>11.9</v>
      </c>
      <c r="E3383">
        <v>6.86</v>
      </c>
      <c r="F3383" s="3">
        <v>0.30940000000000001</v>
      </c>
      <c r="G3383">
        <v>4.9751000000000003</v>
      </c>
      <c r="H3383">
        <v>5.4669999999999996</v>
      </c>
    </row>
    <row r="3384" spans="1:8" x14ac:dyDescent="0.25">
      <c r="A3384" t="s">
        <v>3390</v>
      </c>
      <c r="B3384">
        <v>67358</v>
      </c>
      <c r="C3384">
        <v>7898635644903</v>
      </c>
      <c r="D3384">
        <v>49.9</v>
      </c>
      <c r="E3384">
        <v>33.46</v>
      </c>
      <c r="F3384" s="3">
        <v>0.23899999999999999</v>
      </c>
      <c r="G3384">
        <v>24.375399999999999</v>
      </c>
      <c r="H3384">
        <v>0.1</v>
      </c>
    </row>
    <row r="3385" spans="1:8" x14ac:dyDescent="0.25">
      <c r="A3385" t="s">
        <v>3391</v>
      </c>
      <c r="B3385">
        <v>63972</v>
      </c>
      <c r="C3385">
        <v>7896063280236</v>
      </c>
      <c r="D3385">
        <v>16.899999999999999</v>
      </c>
      <c r="E3385">
        <v>10.73</v>
      </c>
      <c r="F3385" s="3">
        <v>0.26379999999999998</v>
      </c>
      <c r="G3385">
        <v>7.8361999999999998</v>
      </c>
      <c r="H3385">
        <v>0.36699999999999999</v>
      </c>
    </row>
    <row r="3386" spans="1:8" x14ac:dyDescent="0.25">
      <c r="A3386" t="s">
        <v>3392</v>
      </c>
      <c r="B3386">
        <v>5679</v>
      </c>
      <c r="C3386">
        <v>3083680001663</v>
      </c>
      <c r="D3386">
        <v>19.899999999999999</v>
      </c>
      <c r="E3386">
        <v>16.46</v>
      </c>
      <c r="F3386" s="3">
        <v>0.17370000000000002</v>
      </c>
      <c r="G3386">
        <v>14.602499999999999</v>
      </c>
      <c r="H3386">
        <v>0.26700000000000002</v>
      </c>
    </row>
    <row r="3387" spans="1:8" x14ac:dyDescent="0.25">
      <c r="A3387" t="s">
        <v>3393</v>
      </c>
      <c r="B3387">
        <v>3464</v>
      </c>
      <c r="C3387">
        <v>7896006748885</v>
      </c>
      <c r="D3387">
        <v>11.9</v>
      </c>
      <c r="E3387">
        <v>8.99</v>
      </c>
      <c r="F3387" s="3">
        <v>0.24390000000000001</v>
      </c>
      <c r="G3387">
        <v>8.9976000000000003</v>
      </c>
      <c r="H3387">
        <v>2.8330000000000002</v>
      </c>
    </row>
    <row r="3388" spans="1:8" x14ac:dyDescent="0.25">
      <c r="A3388" t="s">
        <v>3394</v>
      </c>
      <c r="B3388">
        <v>6684</v>
      </c>
      <c r="C3388">
        <v>7896006715160</v>
      </c>
      <c r="D3388">
        <v>8.99</v>
      </c>
      <c r="E3388">
        <v>6.07</v>
      </c>
      <c r="F3388" s="3">
        <v>0.29570000000000002</v>
      </c>
      <c r="G3388">
        <v>5.5</v>
      </c>
      <c r="H3388">
        <v>6.3</v>
      </c>
    </row>
    <row r="3389" spans="1:8" x14ac:dyDescent="0.25">
      <c r="A3389" t="s">
        <v>3395</v>
      </c>
      <c r="B3389">
        <v>66334</v>
      </c>
      <c r="C3389">
        <v>7896200115032</v>
      </c>
      <c r="D3389">
        <v>6.99</v>
      </c>
      <c r="E3389">
        <v>5.2</v>
      </c>
      <c r="F3389" s="3">
        <v>0.25670000000000004</v>
      </c>
      <c r="G3389">
        <v>5.1957000000000004</v>
      </c>
      <c r="H3389">
        <v>3.1</v>
      </c>
    </row>
    <row r="3390" spans="1:8" x14ac:dyDescent="0.25">
      <c r="A3390" t="s">
        <v>3396</v>
      </c>
      <c r="B3390">
        <v>66336</v>
      </c>
      <c r="C3390">
        <v>7896200115056</v>
      </c>
      <c r="D3390">
        <v>6.99</v>
      </c>
      <c r="E3390">
        <v>5.28</v>
      </c>
      <c r="F3390" s="3">
        <v>0.3029</v>
      </c>
      <c r="G3390">
        <v>4.8731</v>
      </c>
      <c r="H3390">
        <v>1.2190000000000001</v>
      </c>
    </row>
    <row r="3391" spans="1:8" x14ac:dyDescent="0.25">
      <c r="A3391" t="s">
        <v>3397</v>
      </c>
      <c r="B3391">
        <v>66338</v>
      </c>
      <c r="C3391">
        <v>7896200115025</v>
      </c>
      <c r="D3391">
        <v>7.38</v>
      </c>
      <c r="E3391">
        <v>4.4400000000000004</v>
      </c>
      <c r="F3391" s="3">
        <v>0.4224</v>
      </c>
      <c r="G3391">
        <v>4.2605000000000004</v>
      </c>
      <c r="H3391">
        <v>2.6909999999999998</v>
      </c>
    </row>
    <row r="3392" spans="1:8" x14ac:dyDescent="0.25">
      <c r="A3392" t="s">
        <v>3398</v>
      </c>
      <c r="B3392">
        <v>66339</v>
      </c>
      <c r="C3392">
        <v>7896200115100</v>
      </c>
      <c r="D3392">
        <v>6.99</v>
      </c>
      <c r="E3392">
        <v>5.39</v>
      </c>
      <c r="F3392" s="3">
        <v>0.22489999999999999</v>
      </c>
      <c r="G3392">
        <v>5.4181999999999997</v>
      </c>
      <c r="H3392">
        <v>2.867</v>
      </c>
    </row>
    <row r="3393" spans="1:8" x14ac:dyDescent="0.25">
      <c r="A3393" t="s">
        <v>3399</v>
      </c>
      <c r="B3393">
        <v>3469</v>
      </c>
      <c r="C3393">
        <v>7896006748830</v>
      </c>
      <c r="D3393">
        <v>10.99</v>
      </c>
      <c r="E3393">
        <v>8.3699999999999992</v>
      </c>
      <c r="F3393" s="3">
        <v>0.23629999999999998</v>
      </c>
      <c r="G3393">
        <v>8.3931000000000004</v>
      </c>
      <c r="H3393">
        <v>1.2</v>
      </c>
    </row>
    <row r="3394" spans="1:8" x14ac:dyDescent="0.25">
      <c r="A3394" t="s">
        <v>3400</v>
      </c>
      <c r="B3394">
        <v>3470</v>
      </c>
      <c r="C3394">
        <v>7896006749295</v>
      </c>
      <c r="D3394">
        <v>4.99</v>
      </c>
      <c r="E3394">
        <v>4.16</v>
      </c>
      <c r="F3394" s="3">
        <v>0.16739999999999999</v>
      </c>
      <c r="G3394">
        <v>4.1547999999999998</v>
      </c>
      <c r="H3394">
        <v>6.5330000000000004</v>
      </c>
    </row>
    <row r="3395" spans="1:8" x14ac:dyDescent="0.25">
      <c r="A3395" t="s">
        <v>3401</v>
      </c>
      <c r="B3395">
        <v>3471</v>
      </c>
      <c r="C3395">
        <v>7896006748731</v>
      </c>
      <c r="D3395">
        <v>8.99</v>
      </c>
      <c r="E3395">
        <v>7.38</v>
      </c>
      <c r="F3395" s="3">
        <v>0.18160000000000001</v>
      </c>
      <c r="G3395">
        <v>7.3570000000000002</v>
      </c>
      <c r="H3395">
        <v>1.5669999999999999</v>
      </c>
    </row>
    <row r="3396" spans="1:8" x14ac:dyDescent="0.25">
      <c r="A3396" t="s">
        <v>3402</v>
      </c>
      <c r="B3396">
        <v>3473</v>
      </c>
      <c r="C3396">
        <v>7896006748939</v>
      </c>
      <c r="D3396">
        <v>9.99</v>
      </c>
      <c r="E3396">
        <v>7.53</v>
      </c>
      <c r="F3396" s="3">
        <v>0.24850000000000003</v>
      </c>
      <c r="G3396">
        <v>7.5069999999999997</v>
      </c>
      <c r="H3396">
        <v>1.6</v>
      </c>
    </row>
    <row r="3397" spans="1:8" x14ac:dyDescent="0.25">
      <c r="A3397" t="s">
        <v>3403</v>
      </c>
      <c r="B3397">
        <v>59139</v>
      </c>
      <c r="C3397">
        <v>7896200115346</v>
      </c>
      <c r="D3397">
        <v>7.99</v>
      </c>
      <c r="E3397">
        <v>6.69</v>
      </c>
      <c r="F3397" s="3">
        <v>0.1502</v>
      </c>
      <c r="G3397">
        <v>6.79</v>
      </c>
      <c r="H3397">
        <v>96.466999999999999</v>
      </c>
    </row>
    <row r="3398" spans="1:8" x14ac:dyDescent="0.25">
      <c r="A3398" t="s">
        <v>3404</v>
      </c>
      <c r="B3398">
        <v>3475</v>
      </c>
      <c r="C3398">
        <v>7896006744115</v>
      </c>
      <c r="D3398">
        <v>6.99</v>
      </c>
      <c r="E3398">
        <v>5.0599999999999996</v>
      </c>
      <c r="F3398" s="3">
        <v>0.28220000000000001</v>
      </c>
      <c r="G3398">
        <v>5.0171999999999999</v>
      </c>
      <c r="H3398">
        <v>109.133</v>
      </c>
    </row>
    <row r="3399" spans="1:8" x14ac:dyDescent="0.25">
      <c r="A3399" t="s">
        <v>3405</v>
      </c>
      <c r="B3399">
        <v>8107</v>
      </c>
      <c r="C3399">
        <v>7896006716402</v>
      </c>
      <c r="D3399">
        <v>9.99</v>
      </c>
      <c r="E3399">
        <v>8</v>
      </c>
      <c r="F3399" s="3">
        <v>0.1812</v>
      </c>
      <c r="G3399">
        <v>7.2553000000000001</v>
      </c>
      <c r="H3399">
        <v>7.6669999999999998</v>
      </c>
    </row>
    <row r="3400" spans="1:8" x14ac:dyDescent="0.25">
      <c r="A3400" t="s">
        <v>3406</v>
      </c>
      <c r="B3400">
        <v>30964</v>
      </c>
      <c r="C3400">
        <v>7898270911941</v>
      </c>
      <c r="D3400">
        <v>14.9</v>
      </c>
      <c r="E3400">
        <v>9.7799999999999994</v>
      </c>
      <c r="F3400" s="3">
        <v>0.34399999999999997</v>
      </c>
      <c r="G3400">
        <v>9.7743000000000002</v>
      </c>
      <c r="H3400">
        <v>0.46700000000000003</v>
      </c>
    </row>
    <row r="3401" spans="1:8" x14ac:dyDescent="0.25">
      <c r="A3401" t="s">
        <v>3407</v>
      </c>
      <c r="B3401">
        <v>3484</v>
      </c>
      <c r="C3401">
        <v>7896070800014</v>
      </c>
      <c r="D3401">
        <v>7.99</v>
      </c>
      <c r="E3401">
        <v>5.92</v>
      </c>
      <c r="F3401" s="3">
        <v>0.26500000000000001</v>
      </c>
      <c r="G3401">
        <v>5.8730000000000002</v>
      </c>
      <c r="H3401">
        <v>151.1</v>
      </c>
    </row>
    <row r="3402" spans="1:8" x14ac:dyDescent="0.25">
      <c r="A3402" t="s">
        <v>3408</v>
      </c>
      <c r="B3402">
        <v>6690</v>
      </c>
      <c r="C3402">
        <v>7896006797920</v>
      </c>
      <c r="D3402">
        <v>9.2899999999999991</v>
      </c>
      <c r="E3402">
        <v>6.12</v>
      </c>
      <c r="F3402" s="3">
        <v>0.30659999999999998</v>
      </c>
      <c r="G3402">
        <v>5.5826000000000002</v>
      </c>
      <c r="H3402">
        <v>11</v>
      </c>
    </row>
    <row r="3403" spans="1:8" x14ac:dyDescent="0.25">
      <c r="A3403" t="s">
        <v>3409</v>
      </c>
      <c r="B3403">
        <v>3480</v>
      </c>
      <c r="C3403">
        <v>7897122600071</v>
      </c>
      <c r="D3403">
        <v>15.7</v>
      </c>
      <c r="E3403">
        <v>10.67</v>
      </c>
      <c r="F3403" s="3">
        <v>0.26229999999999998</v>
      </c>
      <c r="G3403">
        <v>8.7552000000000003</v>
      </c>
      <c r="H3403">
        <v>1.1000000000000001</v>
      </c>
    </row>
    <row r="3404" spans="1:8" x14ac:dyDescent="0.25">
      <c r="A3404" t="s">
        <v>3410</v>
      </c>
      <c r="B3404">
        <v>66035</v>
      </c>
      <c r="C3404">
        <v>7896200115360</v>
      </c>
      <c r="D3404">
        <v>6.99</v>
      </c>
      <c r="E3404">
        <v>5.58</v>
      </c>
      <c r="F3404" s="3">
        <v>0.22469999999999998</v>
      </c>
      <c r="G3404">
        <v>5.4191000000000003</v>
      </c>
      <c r="H3404">
        <v>35.1</v>
      </c>
    </row>
    <row r="3405" spans="1:8" x14ac:dyDescent="0.25">
      <c r="A3405" t="s">
        <v>3411</v>
      </c>
      <c r="B3405">
        <v>3488</v>
      </c>
      <c r="C3405">
        <v>7896006751113</v>
      </c>
      <c r="D3405">
        <v>8.49</v>
      </c>
      <c r="E3405">
        <v>4.6900000000000004</v>
      </c>
      <c r="F3405" s="3">
        <v>0.45319999999999999</v>
      </c>
      <c r="G3405">
        <v>4.6424000000000003</v>
      </c>
      <c r="H3405">
        <v>37.667000000000002</v>
      </c>
    </row>
    <row r="3406" spans="1:8" x14ac:dyDescent="0.25">
      <c r="A3406" t="s">
        <v>3412</v>
      </c>
      <c r="B3406">
        <v>9268</v>
      </c>
      <c r="C3406">
        <v>7896006797944</v>
      </c>
      <c r="D3406">
        <v>7.99</v>
      </c>
      <c r="E3406">
        <v>6.14</v>
      </c>
      <c r="F3406" s="3">
        <v>0.20910000000000001</v>
      </c>
      <c r="G3406">
        <v>5.5801999999999996</v>
      </c>
      <c r="H3406">
        <v>8.4329999999999998</v>
      </c>
    </row>
    <row r="3407" spans="1:8" x14ac:dyDescent="0.25">
      <c r="A3407" t="s">
        <v>3413</v>
      </c>
      <c r="B3407">
        <v>48316</v>
      </c>
      <c r="C3407">
        <v>7898270911958</v>
      </c>
      <c r="D3407">
        <v>14.9</v>
      </c>
      <c r="E3407">
        <v>9.58</v>
      </c>
      <c r="F3407" s="3">
        <v>0.35710000000000003</v>
      </c>
      <c r="G3407">
        <v>9.5798000000000005</v>
      </c>
      <c r="H3407">
        <v>0.5</v>
      </c>
    </row>
    <row r="3408" spans="1:8" x14ac:dyDescent="0.25">
      <c r="A3408" t="s">
        <v>3414</v>
      </c>
      <c r="B3408">
        <v>47140</v>
      </c>
      <c r="C3408">
        <v>7897122601924</v>
      </c>
      <c r="D3408">
        <v>8.99</v>
      </c>
      <c r="E3408">
        <v>7.46</v>
      </c>
      <c r="F3408" s="3">
        <v>0.14099999999999999</v>
      </c>
      <c r="G3408">
        <v>6.1040000000000001</v>
      </c>
      <c r="H3408">
        <v>0.3</v>
      </c>
    </row>
    <row r="3409" spans="1:8" x14ac:dyDescent="0.25">
      <c r="A3409" t="s">
        <v>3415</v>
      </c>
      <c r="B3409">
        <v>3490</v>
      </c>
      <c r="C3409">
        <v>7896070800137</v>
      </c>
      <c r="D3409">
        <v>7.49</v>
      </c>
      <c r="E3409">
        <v>5.52</v>
      </c>
      <c r="F3409" s="3">
        <v>0.2616</v>
      </c>
      <c r="G3409">
        <v>5.5308000000000002</v>
      </c>
      <c r="H3409">
        <v>21.167000000000002</v>
      </c>
    </row>
    <row r="3410" spans="1:8" x14ac:dyDescent="0.25">
      <c r="A3410" t="s">
        <v>3416</v>
      </c>
      <c r="B3410">
        <v>3492</v>
      </c>
      <c r="C3410">
        <v>7896006751106</v>
      </c>
      <c r="D3410">
        <v>5.99</v>
      </c>
      <c r="E3410">
        <v>3.05</v>
      </c>
      <c r="F3410" s="3">
        <v>0.4924</v>
      </c>
      <c r="G3410">
        <v>3.0402999999999998</v>
      </c>
      <c r="H3410">
        <v>5.4</v>
      </c>
    </row>
    <row r="3411" spans="1:8" x14ac:dyDescent="0.25">
      <c r="A3411" t="s">
        <v>3417</v>
      </c>
      <c r="B3411">
        <v>3495</v>
      </c>
      <c r="C3411">
        <v>7897122600064</v>
      </c>
      <c r="D3411">
        <v>15.4</v>
      </c>
      <c r="E3411">
        <v>10.53</v>
      </c>
      <c r="F3411" s="3">
        <v>0.24940000000000001</v>
      </c>
      <c r="G3411">
        <v>8.7875999999999994</v>
      </c>
      <c r="H3411">
        <v>1.167</v>
      </c>
    </row>
    <row r="3412" spans="1:8" x14ac:dyDescent="0.25">
      <c r="A3412" t="s">
        <v>3418</v>
      </c>
      <c r="B3412">
        <v>66342</v>
      </c>
      <c r="C3412">
        <v>7896401183120</v>
      </c>
      <c r="D3412">
        <v>4.99</v>
      </c>
      <c r="E3412">
        <v>4.3099999999999996</v>
      </c>
      <c r="F3412" s="3">
        <v>0.10630000000000001</v>
      </c>
      <c r="G3412">
        <v>4.4593999999999996</v>
      </c>
      <c r="H3412">
        <v>3.4670000000000001</v>
      </c>
    </row>
    <row r="3413" spans="1:8" x14ac:dyDescent="0.25">
      <c r="A3413" t="s">
        <v>3419</v>
      </c>
      <c r="B3413">
        <v>3497</v>
      </c>
      <c r="C3413">
        <v>7897122600576</v>
      </c>
      <c r="D3413">
        <v>28.9</v>
      </c>
      <c r="E3413">
        <v>22.44</v>
      </c>
      <c r="F3413" s="3">
        <v>0.2021</v>
      </c>
      <c r="G3413">
        <v>20.386099999999999</v>
      </c>
      <c r="H3413">
        <v>0.93300000000000005</v>
      </c>
    </row>
    <row r="3414" spans="1:8" x14ac:dyDescent="0.25">
      <c r="A3414" t="s">
        <v>3420</v>
      </c>
      <c r="B3414">
        <v>6119</v>
      </c>
      <c r="C3414">
        <v>7891048040065</v>
      </c>
      <c r="D3414">
        <v>1.99</v>
      </c>
      <c r="E3414">
        <v>1.23</v>
      </c>
      <c r="F3414" s="3">
        <v>0.27810000000000001</v>
      </c>
      <c r="G3414">
        <v>0.89429999999999998</v>
      </c>
      <c r="H3414">
        <v>13.667</v>
      </c>
    </row>
    <row r="3415" spans="1:8" x14ac:dyDescent="0.25">
      <c r="A3415" t="s">
        <v>3421</v>
      </c>
      <c r="B3415">
        <v>17845</v>
      </c>
      <c r="C3415">
        <v>7896005274088</v>
      </c>
      <c r="D3415">
        <v>11.9</v>
      </c>
      <c r="E3415">
        <v>7.39</v>
      </c>
      <c r="F3415" s="3">
        <v>0.27589999999999998</v>
      </c>
      <c r="G3415">
        <v>5.3735999999999997</v>
      </c>
      <c r="H3415">
        <v>0.66700000000000004</v>
      </c>
    </row>
    <row r="3416" spans="1:8" x14ac:dyDescent="0.25">
      <c r="A3416" t="s">
        <v>3422</v>
      </c>
      <c r="B3416">
        <v>43462</v>
      </c>
      <c r="C3416">
        <v>7898409957970</v>
      </c>
      <c r="D3416">
        <v>2.29</v>
      </c>
      <c r="E3416">
        <v>1.24</v>
      </c>
      <c r="F3416" s="3">
        <v>0.33350000000000002</v>
      </c>
      <c r="G3416">
        <v>0.90229999999999999</v>
      </c>
      <c r="H3416">
        <v>40.232999999999997</v>
      </c>
    </row>
    <row r="3417" spans="1:8" x14ac:dyDescent="0.25">
      <c r="A3417" t="s">
        <v>3423</v>
      </c>
      <c r="B3417">
        <v>43463</v>
      </c>
      <c r="C3417">
        <v>7898409952128</v>
      </c>
      <c r="D3417">
        <v>12.9</v>
      </c>
      <c r="E3417">
        <v>8.81</v>
      </c>
      <c r="F3417" s="3">
        <v>0.22969999999999999</v>
      </c>
      <c r="G3417">
        <v>6.4212999999999996</v>
      </c>
      <c r="H3417">
        <v>3.4</v>
      </c>
    </row>
    <row r="3418" spans="1:8" x14ac:dyDescent="0.25">
      <c r="A3418" t="s">
        <v>3424</v>
      </c>
      <c r="B3418">
        <v>9314</v>
      </c>
      <c r="C3418">
        <v>7896005279489</v>
      </c>
      <c r="D3418">
        <v>4.49</v>
      </c>
      <c r="E3418">
        <v>2.66</v>
      </c>
      <c r="F3418" s="3">
        <v>0.2989</v>
      </c>
      <c r="G3418">
        <v>1.9241999999999999</v>
      </c>
      <c r="H3418">
        <v>24</v>
      </c>
    </row>
    <row r="3419" spans="1:8" x14ac:dyDescent="0.25">
      <c r="A3419" t="s">
        <v>3425</v>
      </c>
      <c r="B3419">
        <v>9116</v>
      </c>
      <c r="C3419">
        <v>7896005271964</v>
      </c>
      <c r="D3419">
        <v>1.69</v>
      </c>
      <c r="E3419">
        <v>0.82</v>
      </c>
      <c r="F3419" s="3">
        <v>0.3705</v>
      </c>
      <c r="G3419">
        <v>0.60340000000000005</v>
      </c>
      <c r="H3419">
        <v>31.966999999999999</v>
      </c>
    </row>
    <row r="3420" spans="1:8" x14ac:dyDescent="0.25">
      <c r="A3420" t="s">
        <v>3426</v>
      </c>
      <c r="B3420">
        <v>25104</v>
      </c>
      <c r="C3420">
        <v>7898409951046</v>
      </c>
      <c r="D3420">
        <v>5.9</v>
      </c>
      <c r="E3420">
        <v>3.56</v>
      </c>
      <c r="F3420" s="3">
        <v>0.28870000000000001</v>
      </c>
      <c r="G3420">
        <v>2.589</v>
      </c>
      <c r="H3420">
        <v>4.5330000000000004</v>
      </c>
    </row>
    <row r="3421" spans="1:8" x14ac:dyDescent="0.25">
      <c r="A3421" t="s">
        <v>3427</v>
      </c>
      <c r="B3421">
        <v>6124</v>
      </c>
      <c r="C3421">
        <v>7622300119621</v>
      </c>
      <c r="D3421">
        <v>4.99</v>
      </c>
      <c r="E3421">
        <v>3.17</v>
      </c>
      <c r="F3421" s="3">
        <v>0.26450000000000001</v>
      </c>
      <c r="G3421">
        <v>2.3104</v>
      </c>
      <c r="H3421">
        <v>34</v>
      </c>
    </row>
    <row r="3422" spans="1:8" x14ac:dyDescent="0.25">
      <c r="A3422" t="s">
        <v>3428</v>
      </c>
      <c r="B3422">
        <v>6125</v>
      </c>
      <c r="C3422">
        <v>7622300119652</v>
      </c>
      <c r="D3422">
        <v>11.99</v>
      </c>
      <c r="E3422">
        <v>8.06</v>
      </c>
      <c r="F3422" s="3">
        <v>0.23649999999999999</v>
      </c>
      <c r="G3422">
        <v>5.8865999999999996</v>
      </c>
      <c r="H3422">
        <v>2.9670000000000001</v>
      </c>
    </row>
    <row r="3423" spans="1:8" x14ac:dyDescent="0.25">
      <c r="A3423" t="s">
        <v>3429</v>
      </c>
      <c r="B3423">
        <v>6136</v>
      </c>
      <c r="C3423">
        <v>7891032016403</v>
      </c>
      <c r="D3423">
        <v>22.9</v>
      </c>
      <c r="E3423">
        <v>15.02</v>
      </c>
      <c r="F3423" s="3">
        <v>0.3145</v>
      </c>
      <c r="G3423">
        <v>13.5799</v>
      </c>
      <c r="H3423">
        <v>0.83299999999999996</v>
      </c>
    </row>
    <row r="3424" spans="1:8" x14ac:dyDescent="0.25">
      <c r="A3424" t="s">
        <v>3430</v>
      </c>
      <c r="B3424">
        <v>67915</v>
      </c>
      <c r="C3424">
        <v>7896659100085</v>
      </c>
      <c r="D3424">
        <v>12.9</v>
      </c>
      <c r="E3424">
        <v>7.05</v>
      </c>
      <c r="F3424" s="3">
        <v>0.41139999999999999</v>
      </c>
      <c r="G3424">
        <v>6.3990999999999998</v>
      </c>
      <c r="H3424">
        <v>0.5</v>
      </c>
    </row>
    <row r="3425" spans="1:8" x14ac:dyDescent="0.25">
      <c r="A3425" t="s">
        <v>3431</v>
      </c>
      <c r="B3425">
        <v>67993</v>
      </c>
      <c r="C3425">
        <v>7898994905226</v>
      </c>
      <c r="D3425">
        <v>26.9</v>
      </c>
      <c r="E3425">
        <v>16</v>
      </c>
      <c r="F3425" s="3">
        <v>0.36770000000000003</v>
      </c>
      <c r="G3425">
        <v>14.52</v>
      </c>
      <c r="H3425">
        <v>0.2</v>
      </c>
    </row>
    <row r="3426" spans="1:8" x14ac:dyDescent="0.25">
      <c r="A3426" t="s">
        <v>3432</v>
      </c>
      <c r="B3426">
        <v>65548</v>
      </c>
      <c r="C3426">
        <v>8003294528726</v>
      </c>
      <c r="D3426">
        <v>69.900000000000006</v>
      </c>
      <c r="E3426">
        <v>49.32</v>
      </c>
      <c r="F3426" s="3">
        <v>0.26719999999999999</v>
      </c>
      <c r="G3426">
        <v>44.758299999999998</v>
      </c>
      <c r="H3426">
        <v>0.2</v>
      </c>
    </row>
    <row r="3427" spans="1:8" x14ac:dyDescent="0.25">
      <c r="A3427" t="s">
        <v>3433</v>
      </c>
      <c r="B3427">
        <v>20364</v>
      </c>
      <c r="C3427">
        <v>7891167022058</v>
      </c>
      <c r="D3427">
        <v>16.899999999999999</v>
      </c>
      <c r="E3427">
        <v>12.44</v>
      </c>
      <c r="F3427" s="3">
        <v>0.23960000000000001</v>
      </c>
      <c r="G3427">
        <v>11.287100000000001</v>
      </c>
      <c r="H3427">
        <v>1.5329999999999999</v>
      </c>
    </row>
    <row r="3428" spans="1:8" x14ac:dyDescent="0.25">
      <c r="A3428" t="s">
        <v>3434</v>
      </c>
      <c r="B3428">
        <v>20365</v>
      </c>
      <c r="C3428">
        <v>7891167022065</v>
      </c>
      <c r="D3428">
        <v>16.899999999999999</v>
      </c>
      <c r="E3428">
        <v>12.29</v>
      </c>
      <c r="F3428" s="3">
        <v>0.24510000000000001</v>
      </c>
      <c r="G3428">
        <v>11.195399999999999</v>
      </c>
      <c r="H3428">
        <v>4.3330000000000002</v>
      </c>
    </row>
    <row r="3429" spans="1:8" x14ac:dyDescent="0.25">
      <c r="A3429" t="s">
        <v>3435</v>
      </c>
      <c r="B3429">
        <v>66985</v>
      </c>
      <c r="C3429">
        <v>7891167831698</v>
      </c>
      <c r="D3429">
        <v>16.899999999999999</v>
      </c>
      <c r="E3429">
        <v>11.95</v>
      </c>
      <c r="F3429" s="3">
        <v>0.2656</v>
      </c>
      <c r="G3429">
        <v>10.848800000000001</v>
      </c>
      <c r="H3429">
        <v>0.93300000000000005</v>
      </c>
    </row>
    <row r="3430" spans="1:8" x14ac:dyDescent="0.25">
      <c r="A3430" t="s">
        <v>3436</v>
      </c>
      <c r="B3430">
        <v>63919</v>
      </c>
      <c r="C3430">
        <v>80410072</v>
      </c>
      <c r="D3430">
        <v>69.900000000000006</v>
      </c>
      <c r="E3430">
        <v>49.49</v>
      </c>
      <c r="F3430" s="3">
        <v>0.26619999999999999</v>
      </c>
      <c r="G3430">
        <v>44.824300000000001</v>
      </c>
      <c r="H3430">
        <v>0.13300000000000001</v>
      </c>
    </row>
    <row r="3431" spans="1:8" x14ac:dyDescent="0.25">
      <c r="A3431" t="s">
        <v>3437</v>
      </c>
      <c r="B3431">
        <v>15907</v>
      </c>
      <c r="C3431">
        <v>8414753700025</v>
      </c>
      <c r="D3431">
        <v>39.9</v>
      </c>
      <c r="E3431">
        <v>32.32</v>
      </c>
      <c r="F3431" s="3">
        <v>0.1636</v>
      </c>
      <c r="G3431">
        <v>29.680700000000002</v>
      </c>
      <c r="H3431">
        <v>1.4</v>
      </c>
    </row>
    <row r="3432" spans="1:8" x14ac:dyDescent="0.25">
      <c r="A3432" t="s">
        <v>3438</v>
      </c>
      <c r="B3432">
        <v>6700</v>
      </c>
      <c r="C3432">
        <v>7891167022034</v>
      </c>
      <c r="D3432">
        <v>12.9</v>
      </c>
      <c r="E3432">
        <v>8.9600000000000009</v>
      </c>
      <c r="F3432" s="3">
        <v>0.2717</v>
      </c>
      <c r="G3432">
        <v>8.202</v>
      </c>
      <c r="H3432">
        <v>2.7330000000000001</v>
      </c>
    </row>
    <row r="3433" spans="1:8" x14ac:dyDescent="0.25">
      <c r="A3433" t="s">
        <v>3439</v>
      </c>
      <c r="B3433">
        <v>6698</v>
      </c>
      <c r="C3433">
        <v>7891167022010</v>
      </c>
      <c r="D3433">
        <v>12.9</v>
      </c>
      <c r="E3433">
        <v>8.94</v>
      </c>
      <c r="F3433" s="3">
        <v>0.27079999999999999</v>
      </c>
      <c r="G3433">
        <v>8.2129999999999992</v>
      </c>
      <c r="H3433">
        <v>7.1</v>
      </c>
    </row>
    <row r="3434" spans="1:8" x14ac:dyDescent="0.25">
      <c r="A3434" t="s">
        <v>3440</v>
      </c>
      <c r="B3434">
        <v>20361</v>
      </c>
      <c r="C3434">
        <v>7891167022041</v>
      </c>
      <c r="D3434">
        <v>12.9</v>
      </c>
      <c r="E3434">
        <v>8.74</v>
      </c>
      <c r="F3434" s="3">
        <v>0.2722</v>
      </c>
      <c r="G3434">
        <v>8.1951000000000001</v>
      </c>
      <c r="H3434">
        <v>4.7329999999999997</v>
      </c>
    </row>
    <row r="3435" spans="1:8" x14ac:dyDescent="0.25">
      <c r="A3435" t="s">
        <v>3441</v>
      </c>
      <c r="B3435">
        <v>66537</v>
      </c>
      <c r="C3435">
        <v>7891167022027</v>
      </c>
      <c r="D3435">
        <v>12.9</v>
      </c>
      <c r="E3435">
        <v>8.91</v>
      </c>
      <c r="F3435" s="3">
        <v>0.2712</v>
      </c>
      <c r="G3435">
        <v>8.2088999999999999</v>
      </c>
      <c r="H3435">
        <v>3.133</v>
      </c>
    </row>
    <row r="3436" spans="1:8" x14ac:dyDescent="0.25">
      <c r="A3436" t="s">
        <v>3442</v>
      </c>
      <c r="B3436">
        <v>14723</v>
      </c>
      <c r="C3436">
        <v>7898930672328</v>
      </c>
      <c r="D3436">
        <v>6.9</v>
      </c>
      <c r="E3436">
        <v>2.87</v>
      </c>
      <c r="F3436" s="3">
        <v>0.42509999999999998</v>
      </c>
      <c r="G3436">
        <v>2.0867</v>
      </c>
      <c r="H3436">
        <v>12.333</v>
      </c>
    </row>
    <row r="3437" spans="1:8" x14ac:dyDescent="0.25">
      <c r="A3437" t="s">
        <v>3443</v>
      </c>
      <c r="B3437">
        <v>3754</v>
      </c>
      <c r="C3437">
        <v>7898930672335</v>
      </c>
      <c r="D3437">
        <v>10.9</v>
      </c>
      <c r="E3437">
        <v>4.5999999999999996</v>
      </c>
      <c r="F3437" s="3">
        <v>0.42049999999999998</v>
      </c>
      <c r="G3437">
        <v>3.3460999999999999</v>
      </c>
      <c r="H3437">
        <v>17.100000000000001</v>
      </c>
    </row>
    <row r="3438" spans="1:8" x14ac:dyDescent="0.25">
      <c r="A3438" t="s">
        <v>3444</v>
      </c>
      <c r="B3438">
        <v>22386</v>
      </c>
      <c r="C3438">
        <v>7891021002189</v>
      </c>
      <c r="D3438">
        <v>4.99</v>
      </c>
      <c r="E3438">
        <v>3.57</v>
      </c>
      <c r="F3438" s="3">
        <v>0.2586</v>
      </c>
      <c r="G3438">
        <v>3.2378</v>
      </c>
      <c r="H3438">
        <v>7.1</v>
      </c>
    </row>
    <row r="3439" spans="1:8" x14ac:dyDescent="0.25">
      <c r="A3439" t="s">
        <v>3445</v>
      </c>
      <c r="B3439">
        <v>22388</v>
      </c>
      <c r="C3439">
        <v>7891021002196</v>
      </c>
      <c r="D3439">
        <v>5.49</v>
      </c>
      <c r="E3439">
        <v>4.04</v>
      </c>
      <c r="F3439" s="3">
        <v>0.2379</v>
      </c>
      <c r="G3439">
        <v>3.6760999999999999</v>
      </c>
      <c r="H3439">
        <v>7.5</v>
      </c>
    </row>
    <row r="3440" spans="1:8" x14ac:dyDescent="0.25">
      <c r="A3440" t="s">
        <v>3446</v>
      </c>
      <c r="B3440">
        <v>22389</v>
      </c>
      <c r="C3440">
        <v>7891021002202</v>
      </c>
      <c r="D3440">
        <v>6.49</v>
      </c>
      <c r="E3440">
        <v>4.42</v>
      </c>
      <c r="F3440" s="3">
        <v>0.28820000000000001</v>
      </c>
      <c r="G3440">
        <v>4.0190999999999999</v>
      </c>
      <c r="H3440">
        <v>6.3330000000000002</v>
      </c>
    </row>
    <row r="3441" spans="1:8" x14ac:dyDescent="0.25">
      <c r="A3441" t="s">
        <v>3447</v>
      </c>
      <c r="B3441">
        <v>23603</v>
      </c>
      <c r="C3441">
        <v>7896005803714</v>
      </c>
      <c r="D3441">
        <v>4.41</v>
      </c>
      <c r="E3441">
        <v>2.99</v>
      </c>
      <c r="F3441" s="3">
        <v>0.2913</v>
      </c>
      <c r="G3441">
        <v>2.7183999999999999</v>
      </c>
      <c r="H3441">
        <v>37.6</v>
      </c>
    </row>
    <row r="3442" spans="1:8" x14ac:dyDescent="0.25">
      <c r="A3442" t="s">
        <v>3448</v>
      </c>
      <c r="B3442">
        <v>30332</v>
      </c>
      <c r="C3442">
        <v>7896005803721</v>
      </c>
      <c r="D3442">
        <v>4.4400000000000004</v>
      </c>
      <c r="E3442">
        <v>3.02</v>
      </c>
      <c r="F3442" s="3">
        <v>0.28260000000000002</v>
      </c>
      <c r="G3442">
        <v>2.7757999999999998</v>
      </c>
      <c r="H3442">
        <v>60.2</v>
      </c>
    </row>
    <row r="3443" spans="1:8" x14ac:dyDescent="0.25">
      <c r="A3443" t="s">
        <v>3449</v>
      </c>
      <c r="B3443">
        <v>4621</v>
      </c>
      <c r="C3443">
        <v>7891021001885</v>
      </c>
      <c r="D3443">
        <v>4.59</v>
      </c>
      <c r="E3443">
        <v>2.65</v>
      </c>
      <c r="F3443" s="3">
        <v>0.38400000000000001</v>
      </c>
      <c r="G3443">
        <v>2.4026999999999998</v>
      </c>
      <c r="H3443">
        <v>39.4</v>
      </c>
    </row>
    <row r="3444" spans="1:8" x14ac:dyDescent="0.25">
      <c r="A3444" t="s">
        <v>3450</v>
      </c>
      <c r="B3444">
        <v>4623</v>
      </c>
      <c r="C3444">
        <v>7891021001946</v>
      </c>
      <c r="D3444">
        <v>4.59</v>
      </c>
      <c r="E3444">
        <v>2.65</v>
      </c>
      <c r="F3444" s="3">
        <v>0.38240000000000002</v>
      </c>
      <c r="G3444">
        <v>2.4102999999999999</v>
      </c>
      <c r="H3444">
        <v>78.2</v>
      </c>
    </row>
    <row r="3445" spans="1:8" x14ac:dyDescent="0.25">
      <c r="A3445" t="s">
        <v>3451</v>
      </c>
      <c r="B3445">
        <v>19987</v>
      </c>
      <c r="C3445">
        <v>7891024183007</v>
      </c>
      <c r="D3445">
        <v>14.9</v>
      </c>
      <c r="E3445">
        <v>10.24</v>
      </c>
      <c r="F3445" s="3">
        <v>0.31329999999999997</v>
      </c>
      <c r="G3445">
        <v>10.2315</v>
      </c>
      <c r="H3445">
        <v>4.0330000000000004</v>
      </c>
    </row>
    <row r="3446" spans="1:8" x14ac:dyDescent="0.25">
      <c r="A3446" t="s">
        <v>3452</v>
      </c>
      <c r="B3446">
        <v>19988</v>
      </c>
      <c r="C3446">
        <v>7891024183021</v>
      </c>
      <c r="D3446">
        <v>14.9</v>
      </c>
      <c r="E3446">
        <v>10.59</v>
      </c>
      <c r="F3446" s="3">
        <v>0.28889999999999999</v>
      </c>
      <c r="G3446">
        <v>10.595000000000001</v>
      </c>
      <c r="H3446">
        <v>3.9</v>
      </c>
    </row>
    <row r="3447" spans="1:8" x14ac:dyDescent="0.25">
      <c r="A3447" t="s">
        <v>3453</v>
      </c>
      <c r="B3447">
        <v>62348</v>
      </c>
      <c r="C3447">
        <v>7509546671536</v>
      </c>
      <c r="D3447">
        <v>23.9</v>
      </c>
      <c r="E3447">
        <v>17.04</v>
      </c>
      <c r="F3447" s="3">
        <v>0.27489999999999998</v>
      </c>
      <c r="G3447">
        <v>17.330200000000001</v>
      </c>
      <c r="H3447">
        <v>0.6</v>
      </c>
    </row>
    <row r="3448" spans="1:8" x14ac:dyDescent="0.25">
      <c r="A3448" t="s">
        <v>3454</v>
      </c>
      <c r="B3448">
        <v>62349</v>
      </c>
      <c r="C3448">
        <v>7509546671529</v>
      </c>
      <c r="D3448">
        <v>23.9</v>
      </c>
      <c r="E3448">
        <v>16.66</v>
      </c>
      <c r="F3448" s="3">
        <v>0.30280000000000001</v>
      </c>
      <c r="G3448">
        <v>16.664100000000001</v>
      </c>
      <c r="H3448">
        <v>3.3000000000000002E-2</v>
      </c>
    </row>
    <row r="3449" spans="1:8" x14ac:dyDescent="0.25">
      <c r="A3449" t="s">
        <v>3455</v>
      </c>
      <c r="B3449">
        <v>19989</v>
      </c>
      <c r="C3449">
        <v>7891024183182</v>
      </c>
      <c r="D3449">
        <v>23.9</v>
      </c>
      <c r="E3449">
        <v>16.77</v>
      </c>
      <c r="F3449" s="3">
        <v>0.29659999999999997</v>
      </c>
      <c r="G3449">
        <v>16.810400000000001</v>
      </c>
      <c r="H3449">
        <v>1.0669999999999999</v>
      </c>
    </row>
    <row r="3450" spans="1:8" x14ac:dyDescent="0.25">
      <c r="A3450" t="s">
        <v>3456</v>
      </c>
      <c r="B3450">
        <v>66164</v>
      </c>
      <c r="C3450">
        <v>7891010501105</v>
      </c>
      <c r="D3450">
        <v>14.9</v>
      </c>
      <c r="E3450">
        <v>10.42</v>
      </c>
      <c r="F3450" s="3">
        <v>0.3004</v>
      </c>
      <c r="G3450">
        <v>10.423400000000001</v>
      </c>
      <c r="H3450">
        <v>10.532999999999999</v>
      </c>
    </row>
    <row r="3451" spans="1:8" x14ac:dyDescent="0.25">
      <c r="A3451" t="s">
        <v>3457</v>
      </c>
      <c r="B3451">
        <v>66166</v>
      </c>
      <c r="C3451">
        <v>7891010038892</v>
      </c>
      <c r="D3451">
        <v>11.9</v>
      </c>
      <c r="E3451">
        <v>9.74</v>
      </c>
      <c r="F3451" s="3">
        <v>0.16250000000000001</v>
      </c>
      <c r="G3451">
        <v>9.9665999999999997</v>
      </c>
      <c r="H3451">
        <v>8.5329999999999995</v>
      </c>
    </row>
    <row r="3452" spans="1:8" x14ac:dyDescent="0.25">
      <c r="A3452" t="s">
        <v>3458</v>
      </c>
      <c r="B3452">
        <v>6585</v>
      </c>
      <c r="C3452">
        <v>7891048047095</v>
      </c>
      <c r="D3452">
        <v>5.49</v>
      </c>
      <c r="E3452">
        <v>2.56</v>
      </c>
      <c r="F3452" s="3">
        <v>0.38799999999999996</v>
      </c>
      <c r="G3452">
        <v>1.8635999999999999</v>
      </c>
      <c r="H3452">
        <v>0.6</v>
      </c>
    </row>
    <row r="3453" spans="1:8" x14ac:dyDescent="0.25">
      <c r="A3453" t="s">
        <v>3459</v>
      </c>
      <c r="B3453">
        <v>6586</v>
      </c>
      <c r="C3453">
        <v>7891048047088</v>
      </c>
      <c r="D3453">
        <v>4.49</v>
      </c>
      <c r="E3453">
        <v>2.59</v>
      </c>
      <c r="F3453" s="3">
        <v>0.30719999999999997</v>
      </c>
      <c r="G3453">
        <v>1.887</v>
      </c>
      <c r="H3453">
        <v>1.4670000000000001</v>
      </c>
    </row>
    <row r="3454" spans="1:8" x14ac:dyDescent="0.25">
      <c r="A3454" t="s">
        <v>3460</v>
      </c>
      <c r="B3454">
        <v>5184</v>
      </c>
      <c r="C3454">
        <v>7898946572216</v>
      </c>
      <c r="D3454">
        <v>6.99</v>
      </c>
      <c r="E3454">
        <v>3.69</v>
      </c>
      <c r="F3454" s="3">
        <v>0.34299999999999997</v>
      </c>
      <c r="G3454">
        <v>2.6876000000000002</v>
      </c>
      <c r="H3454">
        <v>4.9000000000000004</v>
      </c>
    </row>
    <row r="3455" spans="1:8" x14ac:dyDescent="0.25">
      <c r="A3455" t="s">
        <v>3461</v>
      </c>
      <c r="B3455">
        <v>48385</v>
      </c>
      <c r="C3455">
        <v>7896043014042</v>
      </c>
      <c r="D3455">
        <v>10.9</v>
      </c>
      <c r="E3455">
        <v>6.83</v>
      </c>
      <c r="F3455" s="3">
        <v>0.3392</v>
      </c>
      <c r="G3455">
        <v>6.1948999999999996</v>
      </c>
      <c r="H3455">
        <v>1.1000000000000001</v>
      </c>
    </row>
    <row r="3456" spans="1:8" x14ac:dyDescent="0.25">
      <c r="A3456" t="s">
        <v>3462</v>
      </c>
      <c r="B3456">
        <v>55759</v>
      </c>
      <c r="C3456">
        <v>7898930673806</v>
      </c>
      <c r="D3456">
        <v>38.9</v>
      </c>
      <c r="E3456">
        <v>23.02</v>
      </c>
      <c r="F3456" s="3">
        <v>0.29089999999999999</v>
      </c>
      <c r="G3456">
        <v>16.984500000000001</v>
      </c>
      <c r="H3456">
        <v>0.26700000000000002</v>
      </c>
    </row>
    <row r="3457" spans="1:8" x14ac:dyDescent="0.25">
      <c r="A3457" t="s">
        <v>3463</v>
      </c>
      <c r="B3457">
        <v>3756</v>
      </c>
      <c r="C3457">
        <v>7898930672441</v>
      </c>
      <c r="D3457">
        <v>8.9</v>
      </c>
      <c r="E3457">
        <v>4.08</v>
      </c>
      <c r="F3457" s="3">
        <v>0.3926</v>
      </c>
      <c r="G3457">
        <v>2.9809999999999999</v>
      </c>
      <c r="H3457">
        <v>52.966999999999999</v>
      </c>
    </row>
    <row r="3458" spans="1:8" x14ac:dyDescent="0.25">
      <c r="A3458" t="s">
        <v>3464</v>
      </c>
      <c r="B3458">
        <v>3758</v>
      </c>
      <c r="C3458">
        <v>7898930672472</v>
      </c>
      <c r="D3458">
        <v>11.9</v>
      </c>
      <c r="E3458">
        <v>6.19</v>
      </c>
      <c r="F3458" s="3">
        <v>0.34450000000000003</v>
      </c>
      <c r="G3458">
        <v>4.5580999999999996</v>
      </c>
      <c r="H3458">
        <v>11.032999999999999</v>
      </c>
    </row>
    <row r="3459" spans="1:8" x14ac:dyDescent="0.25">
      <c r="A3459" t="s">
        <v>3465</v>
      </c>
      <c r="B3459">
        <v>65980</v>
      </c>
      <c r="C3459">
        <v>5285001408153</v>
      </c>
      <c r="D3459">
        <v>39.99</v>
      </c>
      <c r="E3459">
        <v>28.99</v>
      </c>
      <c r="F3459" s="3">
        <v>0.24960000000000002</v>
      </c>
      <c r="G3459">
        <v>26.308199999999999</v>
      </c>
      <c r="H3459">
        <v>6.7000000000000004E-2</v>
      </c>
    </row>
    <row r="3460" spans="1:8" x14ac:dyDescent="0.25">
      <c r="A3460" t="s">
        <v>3466</v>
      </c>
      <c r="B3460">
        <v>4783</v>
      </c>
      <c r="C3460">
        <v>7891095154302</v>
      </c>
      <c r="D3460">
        <v>4.99</v>
      </c>
      <c r="E3460">
        <v>2</v>
      </c>
      <c r="F3460" s="3">
        <v>0.43799999999999994</v>
      </c>
      <c r="G3460">
        <v>1.4444999999999999</v>
      </c>
      <c r="H3460">
        <v>8.4</v>
      </c>
    </row>
    <row r="3461" spans="1:8" x14ac:dyDescent="0.25">
      <c r="A3461" t="s">
        <v>3467</v>
      </c>
      <c r="B3461">
        <v>32482</v>
      </c>
      <c r="C3461">
        <v>7891000071625</v>
      </c>
      <c r="D3461">
        <v>69.900000000000006</v>
      </c>
      <c r="E3461">
        <v>55.59</v>
      </c>
      <c r="F3461" s="3">
        <v>0.20480000000000001</v>
      </c>
      <c r="G3461">
        <v>55.585900000000002</v>
      </c>
      <c r="H3461">
        <v>0.433</v>
      </c>
    </row>
    <row r="3462" spans="1:8" x14ac:dyDescent="0.25">
      <c r="A3462" t="s">
        <v>3468</v>
      </c>
      <c r="B3462">
        <v>24568</v>
      </c>
      <c r="C3462">
        <v>7891000079515</v>
      </c>
      <c r="D3462">
        <v>69.900000000000006</v>
      </c>
      <c r="E3462">
        <v>55.58</v>
      </c>
      <c r="F3462" s="3">
        <v>0.20480000000000001</v>
      </c>
      <c r="G3462">
        <v>55.584600000000002</v>
      </c>
      <c r="H3462">
        <v>0.26700000000000002</v>
      </c>
    </row>
    <row r="3463" spans="1:8" x14ac:dyDescent="0.25">
      <c r="A3463" t="s">
        <v>3469</v>
      </c>
      <c r="B3463">
        <v>13028</v>
      </c>
      <c r="C3463">
        <v>7891000097649</v>
      </c>
      <c r="D3463">
        <v>78.900000000000006</v>
      </c>
      <c r="E3463">
        <v>56.38</v>
      </c>
      <c r="F3463" s="3">
        <v>0.28539999999999999</v>
      </c>
      <c r="G3463">
        <v>56.381700000000002</v>
      </c>
      <c r="H3463">
        <v>0</v>
      </c>
    </row>
    <row r="3464" spans="1:8" x14ac:dyDescent="0.25">
      <c r="A3464" t="s">
        <v>3470</v>
      </c>
      <c r="B3464">
        <v>5979</v>
      </c>
      <c r="C3464">
        <v>7891000065389</v>
      </c>
      <c r="D3464">
        <v>39.9</v>
      </c>
      <c r="E3464">
        <v>32.82</v>
      </c>
      <c r="F3464" s="3">
        <v>0.1769</v>
      </c>
      <c r="G3464">
        <v>32.841099999999997</v>
      </c>
      <c r="H3464">
        <v>0.23300000000000001</v>
      </c>
    </row>
    <row r="3465" spans="1:8" x14ac:dyDescent="0.25">
      <c r="A3465" t="s">
        <v>3471</v>
      </c>
      <c r="B3465">
        <v>29918</v>
      </c>
      <c r="C3465">
        <v>7613034968388</v>
      </c>
      <c r="D3465">
        <v>109.9</v>
      </c>
      <c r="E3465">
        <v>87.2</v>
      </c>
      <c r="F3465" s="3">
        <v>0.16940000000000002</v>
      </c>
      <c r="G3465">
        <v>71.5017</v>
      </c>
      <c r="H3465">
        <v>0.4</v>
      </c>
    </row>
    <row r="3466" spans="1:8" x14ac:dyDescent="0.25">
      <c r="A3466" t="s">
        <v>3472</v>
      </c>
      <c r="B3466">
        <v>5988</v>
      </c>
      <c r="C3466">
        <v>7891000056523</v>
      </c>
      <c r="D3466">
        <v>32.9</v>
      </c>
      <c r="E3466">
        <v>26.82</v>
      </c>
      <c r="F3466" s="3">
        <v>0.1895</v>
      </c>
      <c r="G3466">
        <v>26.665400000000002</v>
      </c>
      <c r="H3466">
        <v>3.3000000000000002E-2</v>
      </c>
    </row>
    <row r="3467" spans="1:8" x14ac:dyDescent="0.25">
      <c r="A3467" t="s">
        <v>3473</v>
      </c>
      <c r="B3467">
        <v>24569</v>
      </c>
      <c r="C3467">
        <v>7891000062722</v>
      </c>
      <c r="D3467">
        <v>54.9</v>
      </c>
      <c r="E3467">
        <v>44.18</v>
      </c>
      <c r="F3467" s="3">
        <v>0.1953</v>
      </c>
      <c r="G3467">
        <v>44.178899999999999</v>
      </c>
      <c r="H3467">
        <v>0.33300000000000002</v>
      </c>
    </row>
    <row r="3468" spans="1:8" x14ac:dyDescent="0.25">
      <c r="A3468" t="s">
        <v>3474</v>
      </c>
      <c r="B3468">
        <v>24570</v>
      </c>
      <c r="C3468">
        <v>7891000062760</v>
      </c>
      <c r="D3468">
        <v>54.9</v>
      </c>
      <c r="E3468">
        <v>45.41</v>
      </c>
      <c r="F3468" s="3">
        <v>0.17559999999999998</v>
      </c>
      <c r="G3468">
        <v>45.261099999999999</v>
      </c>
      <c r="H3468">
        <v>0.8</v>
      </c>
    </row>
    <row r="3469" spans="1:8" x14ac:dyDescent="0.25">
      <c r="A3469" t="s">
        <v>3475</v>
      </c>
      <c r="B3469">
        <v>5986</v>
      </c>
      <c r="C3469">
        <v>7891000056615</v>
      </c>
      <c r="D3469">
        <v>32.9</v>
      </c>
      <c r="E3469">
        <v>25.74</v>
      </c>
      <c r="F3469" s="3">
        <v>0.21760000000000002</v>
      </c>
      <c r="G3469">
        <v>25.740200000000002</v>
      </c>
      <c r="H3469">
        <v>0.13300000000000001</v>
      </c>
    </row>
    <row r="3470" spans="1:8" x14ac:dyDescent="0.25">
      <c r="A3470" t="s">
        <v>3476</v>
      </c>
      <c r="B3470">
        <v>52069</v>
      </c>
      <c r="C3470">
        <v>7891000255544</v>
      </c>
      <c r="D3470">
        <v>59.9</v>
      </c>
      <c r="E3470">
        <v>44.59</v>
      </c>
      <c r="F3470" s="3">
        <v>0.25569999999999998</v>
      </c>
      <c r="G3470">
        <v>44.585000000000001</v>
      </c>
      <c r="H3470">
        <v>0.36699999999999999</v>
      </c>
    </row>
    <row r="3471" spans="1:8" x14ac:dyDescent="0.25">
      <c r="A3471" t="s">
        <v>3477</v>
      </c>
      <c r="B3471">
        <v>63429</v>
      </c>
      <c r="C3471">
        <v>7891025107897</v>
      </c>
      <c r="D3471">
        <v>79.900000000000006</v>
      </c>
      <c r="E3471">
        <v>59.08</v>
      </c>
      <c r="F3471" s="3">
        <v>0.25989999999999996</v>
      </c>
      <c r="G3471">
        <v>59.1357</v>
      </c>
      <c r="H3471">
        <v>0.16700000000000001</v>
      </c>
    </row>
    <row r="3472" spans="1:8" x14ac:dyDescent="0.25">
      <c r="A3472" t="s">
        <v>3478</v>
      </c>
      <c r="B3472">
        <v>63430</v>
      </c>
      <c r="C3472">
        <v>7891025112686</v>
      </c>
      <c r="D3472">
        <v>99.9</v>
      </c>
      <c r="E3472">
        <v>89.59</v>
      </c>
      <c r="F3472" s="3">
        <v>0.1032</v>
      </c>
      <c r="G3472">
        <v>89.591700000000003</v>
      </c>
      <c r="H3472">
        <v>6.7000000000000004E-2</v>
      </c>
    </row>
    <row r="3473" spans="1:8" x14ac:dyDescent="0.25">
      <c r="A3473" t="s">
        <v>3479</v>
      </c>
      <c r="B3473">
        <v>63431</v>
      </c>
      <c r="C3473">
        <v>7891025112709</v>
      </c>
      <c r="D3473">
        <v>99.9</v>
      </c>
      <c r="E3473">
        <v>90.39</v>
      </c>
      <c r="F3473" s="3">
        <v>9.5199999999999993E-2</v>
      </c>
      <c r="G3473">
        <v>90.392399999999995</v>
      </c>
      <c r="H3473">
        <v>0.23300000000000001</v>
      </c>
    </row>
    <row r="3474" spans="1:8" x14ac:dyDescent="0.25">
      <c r="A3474" t="s">
        <v>3480</v>
      </c>
      <c r="B3474">
        <v>63432</v>
      </c>
      <c r="C3474">
        <v>7891025118763</v>
      </c>
      <c r="D3474">
        <v>99.9</v>
      </c>
      <c r="E3474">
        <v>79.19</v>
      </c>
      <c r="F3474" s="3">
        <v>0.20730000000000001</v>
      </c>
      <c r="G3474">
        <v>79.191699999999997</v>
      </c>
      <c r="H3474">
        <v>0.13300000000000001</v>
      </c>
    </row>
    <row r="3475" spans="1:8" x14ac:dyDescent="0.25">
      <c r="A3475" t="s">
        <v>3481</v>
      </c>
      <c r="B3475">
        <v>63433</v>
      </c>
      <c r="C3475">
        <v>7891025107910</v>
      </c>
      <c r="D3475">
        <v>84.9</v>
      </c>
      <c r="E3475">
        <v>58.06</v>
      </c>
      <c r="F3475" s="3">
        <v>0.31609999999999999</v>
      </c>
      <c r="G3475">
        <v>58.06</v>
      </c>
      <c r="H3475">
        <v>0.2</v>
      </c>
    </row>
    <row r="3476" spans="1:8" x14ac:dyDescent="0.25">
      <c r="A3476" t="s">
        <v>3482</v>
      </c>
      <c r="B3476">
        <v>64846</v>
      </c>
      <c r="C3476">
        <v>7908381100292</v>
      </c>
      <c r="D3476">
        <v>24.9</v>
      </c>
      <c r="E3476">
        <v>14.03</v>
      </c>
      <c r="F3476" s="3">
        <v>0.31769999999999998</v>
      </c>
      <c r="G3476">
        <v>10.2052</v>
      </c>
      <c r="H3476">
        <v>0.93300000000000005</v>
      </c>
    </row>
    <row r="3477" spans="1:8" x14ac:dyDescent="0.25">
      <c r="A3477" t="s">
        <v>3483</v>
      </c>
      <c r="B3477">
        <v>64847</v>
      </c>
      <c r="C3477">
        <v>7908381100308</v>
      </c>
      <c r="D3477">
        <v>30.9</v>
      </c>
      <c r="E3477">
        <v>18.59</v>
      </c>
      <c r="F3477" s="3">
        <v>0.28970000000000001</v>
      </c>
      <c r="G3477">
        <v>13.5275</v>
      </c>
      <c r="H3477">
        <v>1.2</v>
      </c>
    </row>
    <row r="3478" spans="1:8" x14ac:dyDescent="0.25">
      <c r="A3478" t="s">
        <v>3484</v>
      </c>
      <c r="B3478">
        <v>67542</v>
      </c>
      <c r="C3478">
        <v>7896007941254</v>
      </c>
      <c r="D3478">
        <v>6.9</v>
      </c>
      <c r="E3478">
        <v>2.2799999999999998</v>
      </c>
      <c r="F3478" s="3">
        <v>0.4874</v>
      </c>
      <c r="G3478">
        <v>1.6569</v>
      </c>
      <c r="H3478">
        <v>2.0329999999999999</v>
      </c>
    </row>
    <row r="3479" spans="1:8" x14ac:dyDescent="0.25">
      <c r="A3479" t="s">
        <v>3485</v>
      </c>
      <c r="B3479">
        <v>67667</v>
      </c>
      <c r="C3479">
        <v>7896007942534</v>
      </c>
      <c r="D3479">
        <v>4.9000000000000004</v>
      </c>
      <c r="E3479">
        <v>2.52</v>
      </c>
      <c r="F3479" s="3">
        <v>0.35399999999999998</v>
      </c>
      <c r="G3479">
        <v>1.8299000000000001</v>
      </c>
      <c r="H3479">
        <v>4.2</v>
      </c>
    </row>
    <row r="3480" spans="1:8" x14ac:dyDescent="0.25">
      <c r="A3480" t="s">
        <v>3486</v>
      </c>
      <c r="B3480">
        <v>3835</v>
      </c>
      <c r="C3480">
        <v>7896007912124</v>
      </c>
      <c r="D3480">
        <v>5.5</v>
      </c>
      <c r="E3480">
        <v>3.03</v>
      </c>
      <c r="F3480" s="3">
        <v>0.315</v>
      </c>
      <c r="G3480">
        <v>2.2686000000000002</v>
      </c>
      <c r="H3480">
        <v>5.3</v>
      </c>
    </row>
    <row r="3481" spans="1:8" x14ac:dyDescent="0.25">
      <c r="A3481" t="s">
        <v>3487</v>
      </c>
      <c r="B3481">
        <v>67541</v>
      </c>
      <c r="C3481">
        <v>7896007942213</v>
      </c>
      <c r="D3481">
        <v>5.9</v>
      </c>
      <c r="E3481">
        <v>3.02</v>
      </c>
      <c r="F3481" s="3">
        <v>0.3553</v>
      </c>
      <c r="G3481">
        <v>2.1959</v>
      </c>
      <c r="H3481">
        <v>5.2670000000000003</v>
      </c>
    </row>
    <row r="3482" spans="1:8" x14ac:dyDescent="0.25">
      <c r="A3482" t="s">
        <v>3488</v>
      </c>
      <c r="B3482">
        <v>64924</v>
      </c>
      <c r="C3482">
        <v>7896061996368</v>
      </c>
      <c r="D3482">
        <v>45.9</v>
      </c>
      <c r="E3482">
        <v>31.99</v>
      </c>
      <c r="F3482" s="3">
        <v>0.27500000000000002</v>
      </c>
      <c r="G3482">
        <v>29.033999999999999</v>
      </c>
      <c r="H3482">
        <v>6.7000000000000004E-2</v>
      </c>
    </row>
    <row r="3483" spans="1:8" x14ac:dyDescent="0.25">
      <c r="A3483" t="s">
        <v>3489</v>
      </c>
      <c r="B3483">
        <v>64923</v>
      </c>
      <c r="C3483">
        <v>7896061996351</v>
      </c>
      <c r="D3483">
        <v>45.9</v>
      </c>
      <c r="E3483">
        <v>33.18</v>
      </c>
      <c r="F3483" s="3">
        <v>0.25359999999999999</v>
      </c>
      <c r="G3483">
        <v>30.013999999999999</v>
      </c>
      <c r="H3483">
        <v>0.3</v>
      </c>
    </row>
    <row r="3484" spans="1:8" x14ac:dyDescent="0.25">
      <c r="A3484" t="s">
        <v>3490</v>
      </c>
      <c r="B3484">
        <v>64922</v>
      </c>
      <c r="C3484">
        <v>7896061996849</v>
      </c>
      <c r="D3484">
        <v>45.9</v>
      </c>
      <c r="E3484">
        <v>33.08</v>
      </c>
      <c r="F3484" s="3">
        <v>0.25629999999999997</v>
      </c>
      <c r="G3484">
        <v>29.889700000000001</v>
      </c>
      <c r="H3484">
        <v>0.1</v>
      </c>
    </row>
    <row r="3485" spans="1:8" x14ac:dyDescent="0.25">
      <c r="A3485" t="s">
        <v>3491</v>
      </c>
      <c r="B3485">
        <v>64925</v>
      </c>
      <c r="C3485">
        <v>7896061996375</v>
      </c>
      <c r="D3485">
        <v>45.9</v>
      </c>
      <c r="E3485">
        <v>30.92</v>
      </c>
      <c r="F3485" s="3">
        <v>0.29620000000000002</v>
      </c>
      <c r="G3485">
        <v>28.059699999999999</v>
      </c>
      <c r="H3485">
        <v>0</v>
      </c>
    </row>
    <row r="3486" spans="1:8" x14ac:dyDescent="0.25">
      <c r="A3486" t="s">
        <v>3492</v>
      </c>
      <c r="B3486">
        <v>64926</v>
      </c>
      <c r="C3486">
        <v>7896061996887</v>
      </c>
      <c r="D3486">
        <v>45.9</v>
      </c>
      <c r="E3486">
        <v>33.549999999999997</v>
      </c>
      <c r="F3486" s="3">
        <v>0.24429999999999999</v>
      </c>
      <c r="G3486">
        <v>30.442799999999998</v>
      </c>
      <c r="H3486">
        <v>0.13300000000000001</v>
      </c>
    </row>
    <row r="3487" spans="1:8" x14ac:dyDescent="0.25">
      <c r="A3487" t="s">
        <v>3493</v>
      </c>
      <c r="B3487">
        <v>67876</v>
      </c>
      <c r="C3487">
        <v>7896061995910</v>
      </c>
      <c r="D3487">
        <v>42.9</v>
      </c>
      <c r="E3487">
        <v>32.299999999999997</v>
      </c>
      <c r="F3487" s="3">
        <v>0.22440000000000002</v>
      </c>
      <c r="G3487">
        <v>29.304400000000001</v>
      </c>
      <c r="H3487">
        <v>1.2</v>
      </c>
    </row>
    <row r="3488" spans="1:8" x14ac:dyDescent="0.25">
      <c r="A3488" t="s">
        <v>3494</v>
      </c>
      <c r="B3488">
        <v>67875</v>
      </c>
      <c r="C3488">
        <v>7896061995903</v>
      </c>
      <c r="D3488">
        <v>42.9</v>
      </c>
      <c r="E3488">
        <v>32.299999999999997</v>
      </c>
      <c r="F3488" s="3">
        <v>0.22399999999999998</v>
      </c>
      <c r="G3488">
        <v>29.323499999999999</v>
      </c>
      <c r="H3488">
        <v>0.9</v>
      </c>
    </row>
    <row r="3489" spans="1:8" x14ac:dyDescent="0.25">
      <c r="A3489" t="s">
        <v>3495</v>
      </c>
      <c r="B3489">
        <v>67874</v>
      </c>
      <c r="C3489">
        <v>7896061995460</v>
      </c>
      <c r="D3489">
        <v>42.9</v>
      </c>
      <c r="E3489">
        <v>32.340000000000003</v>
      </c>
      <c r="F3489" s="3">
        <v>0.22320000000000001</v>
      </c>
      <c r="G3489">
        <v>29.354399999999998</v>
      </c>
      <c r="H3489">
        <v>0.6</v>
      </c>
    </row>
    <row r="3490" spans="1:8" x14ac:dyDescent="0.25">
      <c r="A3490" t="s">
        <v>3496</v>
      </c>
      <c r="B3490">
        <v>67877</v>
      </c>
      <c r="C3490">
        <v>7896061995927</v>
      </c>
      <c r="D3490">
        <v>42.9</v>
      </c>
      <c r="E3490">
        <v>32.270000000000003</v>
      </c>
      <c r="F3490" s="3">
        <v>0.22460000000000002</v>
      </c>
      <c r="G3490">
        <v>29.296600000000002</v>
      </c>
      <c r="H3490">
        <v>1.7330000000000001</v>
      </c>
    </row>
    <row r="3491" spans="1:8" x14ac:dyDescent="0.25">
      <c r="A3491" t="s">
        <v>3497</v>
      </c>
      <c r="B3491">
        <v>67878</v>
      </c>
      <c r="C3491">
        <v>7896061995477</v>
      </c>
      <c r="D3491">
        <v>42.9</v>
      </c>
      <c r="E3491">
        <v>32.28</v>
      </c>
      <c r="F3491" s="3">
        <v>0.22409999999999999</v>
      </c>
      <c r="G3491">
        <v>29.316700000000001</v>
      </c>
      <c r="H3491">
        <v>0.56699999999999995</v>
      </c>
    </row>
    <row r="3492" spans="1:8" x14ac:dyDescent="0.25">
      <c r="A3492" t="s">
        <v>3498</v>
      </c>
      <c r="B3492">
        <v>63927</v>
      </c>
      <c r="C3492">
        <v>7896007552016</v>
      </c>
      <c r="D3492">
        <v>48.9</v>
      </c>
      <c r="E3492">
        <v>30.75</v>
      </c>
      <c r="F3492" s="3">
        <v>0.33689999999999998</v>
      </c>
      <c r="G3492">
        <v>27.904199999999999</v>
      </c>
      <c r="H3492">
        <v>3.3000000000000002E-2</v>
      </c>
    </row>
    <row r="3493" spans="1:8" x14ac:dyDescent="0.25">
      <c r="A3493" t="s">
        <v>3499</v>
      </c>
      <c r="B3493">
        <v>58908</v>
      </c>
      <c r="C3493">
        <v>7896007551316</v>
      </c>
      <c r="D3493">
        <v>58.9</v>
      </c>
      <c r="E3493">
        <v>32.380000000000003</v>
      </c>
      <c r="F3493" s="3">
        <v>0.40860000000000002</v>
      </c>
      <c r="G3493">
        <v>29.385300000000001</v>
      </c>
      <c r="H3493">
        <v>3.3000000000000002E-2</v>
      </c>
    </row>
    <row r="3494" spans="1:8" x14ac:dyDescent="0.25">
      <c r="A3494" t="s">
        <v>3500</v>
      </c>
      <c r="B3494">
        <v>62982</v>
      </c>
      <c r="C3494">
        <v>7896110010885</v>
      </c>
      <c r="D3494">
        <v>45.9</v>
      </c>
      <c r="E3494">
        <v>34.700000000000003</v>
      </c>
      <c r="F3494" s="3">
        <v>0.22190000000000001</v>
      </c>
      <c r="G3494">
        <v>31.469000000000001</v>
      </c>
      <c r="H3494">
        <v>0.16700000000000001</v>
      </c>
    </row>
    <row r="3495" spans="1:8" x14ac:dyDescent="0.25">
      <c r="A3495" t="s">
        <v>3501</v>
      </c>
      <c r="B3495">
        <v>62984</v>
      </c>
      <c r="C3495">
        <v>7896110012063</v>
      </c>
      <c r="D3495">
        <v>45.9</v>
      </c>
      <c r="E3495">
        <v>34.4</v>
      </c>
      <c r="F3495" s="3">
        <v>0.2303</v>
      </c>
      <c r="G3495">
        <v>31.0838</v>
      </c>
      <c r="H3495">
        <v>3.3000000000000002E-2</v>
      </c>
    </row>
    <row r="3496" spans="1:8" x14ac:dyDescent="0.25">
      <c r="A3496" t="s">
        <v>3502</v>
      </c>
      <c r="B3496">
        <v>62985</v>
      </c>
      <c r="C3496">
        <v>7896110012032</v>
      </c>
      <c r="D3496">
        <v>45.9</v>
      </c>
      <c r="E3496">
        <v>34.74</v>
      </c>
      <c r="F3496" s="3">
        <v>0.22070000000000001</v>
      </c>
      <c r="G3496">
        <v>31.523299999999999</v>
      </c>
      <c r="H3496">
        <v>0.1</v>
      </c>
    </row>
    <row r="3497" spans="1:8" x14ac:dyDescent="0.25">
      <c r="A3497" t="s">
        <v>3503</v>
      </c>
      <c r="B3497">
        <v>62986</v>
      </c>
      <c r="C3497">
        <v>7896110012124</v>
      </c>
      <c r="D3497">
        <v>45.9</v>
      </c>
      <c r="E3497">
        <v>34.74</v>
      </c>
      <c r="F3497" s="3">
        <v>0.22070000000000001</v>
      </c>
      <c r="G3497">
        <v>31.523299999999999</v>
      </c>
      <c r="H3497">
        <v>6.7000000000000004E-2</v>
      </c>
    </row>
    <row r="3498" spans="1:8" x14ac:dyDescent="0.25">
      <c r="A3498" t="s">
        <v>3504</v>
      </c>
      <c r="B3498">
        <v>42862</v>
      </c>
      <c r="C3498">
        <v>1000000000047</v>
      </c>
      <c r="D3498">
        <v>9.9</v>
      </c>
      <c r="E3498">
        <v>1.32</v>
      </c>
      <c r="F3498" s="3">
        <v>0.63060000000000005</v>
      </c>
      <c r="G3498">
        <v>0.95940000000000003</v>
      </c>
      <c r="H3498">
        <v>0.76700000000000002</v>
      </c>
    </row>
    <row r="3499" spans="1:8" x14ac:dyDescent="0.25">
      <c r="A3499" t="s">
        <v>3505</v>
      </c>
      <c r="B3499">
        <v>3499</v>
      </c>
      <c r="C3499">
        <v>7897122600910</v>
      </c>
      <c r="D3499">
        <v>32.9</v>
      </c>
      <c r="E3499">
        <v>21.34</v>
      </c>
      <c r="F3499" s="3">
        <v>0.28260000000000002</v>
      </c>
      <c r="G3499">
        <v>20.559100000000001</v>
      </c>
      <c r="H3499">
        <v>2.7</v>
      </c>
    </row>
    <row r="3500" spans="1:8" x14ac:dyDescent="0.25">
      <c r="A3500" t="s">
        <v>3506</v>
      </c>
      <c r="B3500">
        <v>58286</v>
      </c>
      <c r="C3500">
        <v>7891112201798</v>
      </c>
      <c r="D3500">
        <v>52.9</v>
      </c>
      <c r="E3500">
        <v>26.84</v>
      </c>
      <c r="F3500" s="3">
        <v>0.35200000000000004</v>
      </c>
      <c r="G3500">
        <v>19.866199999999999</v>
      </c>
      <c r="H3500">
        <v>0.46700000000000003</v>
      </c>
    </row>
    <row r="3501" spans="1:8" x14ac:dyDescent="0.25">
      <c r="A3501" t="s">
        <v>3507</v>
      </c>
      <c r="B3501">
        <v>3504</v>
      </c>
      <c r="C3501">
        <v>7891095200467</v>
      </c>
      <c r="D3501">
        <v>9.99</v>
      </c>
      <c r="E3501">
        <v>6.16</v>
      </c>
      <c r="F3501" s="3">
        <v>0.35770000000000002</v>
      </c>
      <c r="G3501">
        <v>5.7172999999999998</v>
      </c>
      <c r="H3501">
        <v>6.8330000000000002</v>
      </c>
    </row>
    <row r="3502" spans="1:8" x14ac:dyDescent="0.25">
      <c r="A3502" t="s">
        <v>3508</v>
      </c>
      <c r="B3502">
        <v>3507</v>
      </c>
      <c r="C3502">
        <v>7891095200450</v>
      </c>
      <c r="D3502">
        <v>5.49</v>
      </c>
      <c r="E3502">
        <v>3.45</v>
      </c>
      <c r="F3502" s="3">
        <v>0.34490000000000004</v>
      </c>
      <c r="G3502">
        <v>3.2120000000000002</v>
      </c>
      <c r="H3502">
        <v>26.067</v>
      </c>
    </row>
    <row r="3503" spans="1:8" x14ac:dyDescent="0.25">
      <c r="A3503" t="s">
        <v>3509</v>
      </c>
      <c r="B3503">
        <v>3690</v>
      </c>
      <c r="C3503">
        <v>7891095200184</v>
      </c>
      <c r="D3503">
        <v>7.99</v>
      </c>
      <c r="E3503">
        <v>4.95</v>
      </c>
      <c r="F3503" s="3">
        <v>0.3629</v>
      </c>
      <c r="G3503">
        <v>4.5312999999999999</v>
      </c>
      <c r="H3503">
        <v>0.66700000000000004</v>
      </c>
    </row>
    <row r="3504" spans="1:8" x14ac:dyDescent="0.25">
      <c r="A3504" t="s">
        <v>3510</v>
      </c>
      <c r="B3504">
        <v>65588</v>
      </c>
      <c r="C3504">
        <v>7896175310029</v>
      </c>
      <c r="D3504">
        <v>22.9</v>
      </c>
      <c r="E3504">
        <v>17.89</v>
      </c>
      <c r="F3504" s="3">
        <v>0.1986</v>
      </c>
      <c r="G3504">
        <v>16.234500000000001</v>
      </c>
      <c r="H3504">
        <v>0.16700000000000001</v>
      </c>
    </row>
    <row r="3505" spans="1:8" x14ac:dyDescent="0.25">
      <c r="A3505" t="s">
        <v>3511</v>
      </c>
      <c r="B3505">
        <v>25749</v>
      </c>
      <c r="C3505">
        <v>7898968066267</v>
      </c>
      <c r="D3505">
        <v>19.899999999999999</v>
      </c>
      <c r="E3505">
        <v>10.79</v>
      </c>
      <c r="F3505" s="3">
        <v>0.41539999999999999</v>
      </c>
      <c r="G3505">
        <v>9.7929999999999993</v>
      </c>
      <c r="H3505">
        <v>0.7</v>
      </c>
    </row>
    <row r="3506" spans="1:8" x14ac:dyDescent="0.25">
      <c r="A3506" t="s">
        <v>3512</v>
      </c>
      <c r="B3506">
        <v>53161</v>
      </c>
      <c r="C3506">
        <v>7898629611737</v>
      </c>
      <c r="D3506">
        <v>6.99</v>
      </c>
      <c r="E3506">
        <v>2.74</v>
      </c>
      <c r="F3506" s="3">
        <v>0.44189999999999996</v>
      </c>
      <c r="G3506">
        <v>1.9964</v>
      </c>
      <c r="H3506">
        <v>2.8</v>
      </c>
    </row>
    <row r="3507" spans="1:8" x14ac:dyDescent="0.25">
      <c r="A3507" t="s">
        <v>3513</v>
      </c>
      <c r="B3507">
        <v>66665</v>
      </c>
      <c r="C3507">
        <v>7898453466879</v>
      </c>
      <c r="D3507">
        <v>19.899999999999999</v>
      </c>
      <c r="E3507">
        <v>12.24</v>
      </c>
      <c r="F3507" s="3">
        <v>0.28010000000000002</v>
      </c>
      <c r="G3507">
        <v>8.9041999999999994</v>
      </c>
      <c r="H3507">
        <v>3.3000000000000002E-2</v>
      </c>
    </row>
    <row r="3508" spans="1:8" x14ac:dyDescent="0.25">
      <c r="A3508" t="s">
        <v>3514</v>
      </c>
      <c r="B3508">
        <v>63909</v>
      </c>
      <c r="C3508">
        <v>7896196080468</v>
      </c>
      <c r="D3508">
        <v>29.9</v>
      </c>
      <c r="E3508">
        <v>18.829999999999998</v>
      </c>
      <c r="F3508" s="3">
        <v>0.33640000000000003</v>
      </c>
      <c r="G3508">
        <v>17.077200000000001</v>
      </c>
      <c r="H3508">
        <v>0.3</v>
      </c>
    </row>
    <row r="3509" spans="1:8" x14ac:dyDescent="0.25">
      <c r="A3509" t="s">
        <v>3515</v>
      </c>
      <c r="B3509">
        <v>8945</v>
      </c>
      <c r="C3509">
        <v>8017465000041</v>
      </c>
      <c r="D3509">
        <v>27.9</v>
      </c>
      <c r="E3509">
        <v>17.72</v>
      </c>
      <c r="F3509" s="3">
        <v>0.29969999999999997</v>
      </c>
      <c r="G3509">
        <v>14.5158</v>
      </c>
      <c r="H3509">
        <v>0.56699999999999995</v>
      </c>
    </row>
    <row r="3510" spans="1:8" x14ac:dyDescent="0.25">
      <c r="A3510" t="s">
        <v>3516</v>
      </c>
      <c r="B3510">
        <v>52201</v>
      </c>
      <c r="C3510">
        <v>7898629611645</v>
      </c>
      <c r="D3510">
        <v>12.9</v>
      </c>
      <c r="E3510">
        <v>4.83</v>
      </c>
      <c r="F3510" s="3">
        <v>0.51300000000000001</v>
      </c>
      <c r="G3510">
        <v>3.96</v>
      </c>
      <c r="H3510">
        <v>1.7669999999999999</v>
      </c>
    </row>
    <row r="3511" spans="1:8" x14ac:dyDescent="0.25">
      <c r="A3511" t="s">
        <v>3517</v>
      </c>
      <c r="B3511">
        <v>7590</v>
      </c>
      <c r="C3511">
        <v>4901174017411</v>
      </c>
      <c r="D3511">
        <v>19.989999999999998</v>
      </c>
      <c r="E3511">
        <v>11.51</v>
      </c>
      <c r="F3511" s="3">
        <v>0.3851</v>
      </c>
      <c r="G3511">
        <v>10.4422</v>
      </c>
      <c r="H3511">
        <v>0.73299999999999998</v>
      </c>
    </row>
    <row r="3512" spans="1:8" x14ac:dyDescent="0.25">
      <c r="A3512" t="s">
        <v>3518</v>
      </c>
      <c r="B3512">
        <v>7593</v>
      </c>
      <c r="C3512">
        <v>4901174017435</v>
      </c>
      <c r="D3512">
        <v>19.989999999999998</v>
      </c>
      <c r="E3512">
        <v>11.51</v>
      </c>
      <c r="F3512" s="3">
        <v>0.3851</v>
      </c>
      <c r="G3512">
        <v>10.4429</v>
      </c>
      <c r="H3512">
        <v>0.433</v>
      </c>
    </row>
    <row r="3513" spans="1:8" x14ac:dyDescent="0.25">
      <c r="A3513" t="s">
        <v>3519</v>
      </c>
      <c r="B3513">
        <v>7595</v>
      </c>
      <c r="C3513">
        <v>4901174017459</v>
      </c>
      <c r="D3513">
        <v>19.989999999999998</v>
      </c>
      <c r="E3513">
        <v>11.51</v>
      </c>
      <c r="F3513" s="3">
        <v>0.3851</v>
      </c>
      <c r="G3513">
        <v>10.442399999999999</v>
      </c>
      <c r="H3513">
        <v>1.3</v>
      </c>
    </row>
    <row r="3514" spans="1:8" x14ac:dyDescent="0.25">
      <c r="A3514" t="s">
        <v>3520</v>
      </c>
      <c r="B3514">
        <v>7597</v>
      </c>
      <c r="C3514">
        <v>4901174017404</v>
      </c>
      <c r="D3514">
        <v>19.989999999999998</v>
      </c>
      <c r="E3514">
        <v>11.51</v>
      </c>
      <c r="F3514" s="3">
        <v>0.3851</v>
      </c>
      <c r="G3514">
        <v>10.442</v>
      </c>
      <c r="H3514">
        <v>1.133</v>
      </c>
    </row>
    <row r="3515" spans="1:8" x14ac:dyDescent="0.25">
      <c r="A3515" t="s">
        <v>3521</v>
      </c>
      <c r="B3515">
        <v>7605</v>
      </c>
      <c r="C3515">
        <v>4901174017442</v>
      </c>
      <c r="D3515">
        <v>19.989999999999998</v>
      </c>
      <c r="E3515">
        <v>11.51</v>
      </c>
      <c r="F3515" s="3">
        <v>0.3851</v>
      </c>
      <c r="G3515">
        <v>10.442500000000001</v>
      </c>
      <c r="H3515">
        <v>0.56699999999999995</v>
      </c>
    </row>
    <row r="3516" spans="1:8" x14ac:dyDescent="0.25">
      <c r="A3516" t="s">
        <v>3522</v>
      </c>
      <c r="B3516">
        <v>23746</v>
      </c>
      <c r="C3516">
        <v>4901174017466</v>
      </c>
      <c r="D3516">
        <v>19.989999999999998</v>
      </c>
      <c r="E3516">
        <v>11.51</v>
      </c>
      <c r="F3516" s="3">
        <v>0.3851</v>
      </c>
      <c r="G3516">
        <v>10.4428</v>
      </c>
      <c r="H3516">
        <v>0.83299999999999996</v>
      </c>
    </row>
    <row r="3517" spans="1:8" x14ac:dyDescent="0.25">
      <c r="A3517" t="s">
        <v>3523</v>
      </c>
      <c r="B3517">
        <v>68739</v>
      </c>
      <c r="C3517">
        <v>7898453460563</v>
      </c>
      <c r="D3517">
        <v>29.9</v>
      </c>
      <c r="E3517">
        <v>16.66</v>
      </c>
      <c r="F3517" s="3">
        <v>0.40179999999999999</v>
      </c>
      <c r="G3517">
        <v>15.121700000000001</v>
      </c>
      <c r="H3517">
        <v>14.1</v>
      </c>
    </row>
    <row r="3518" spans="1:8" x14ac:dyDescent="0.25">
      <c r="A3518" t="s">
        <v>3524</v>
      </c>
      <c r="B3518">
        <v>49577</v>
      </c>
      <c r="C3518">
        <v>7898202615213</v>
      </c>
      <c r="D3518">
        <v>7.9</v>
      </c>
      <c r="E3518">
        <v>2.81</v>
      </c>
      <c r="F3518" s="3">
        <v>0.58450000000000002</v>
      </c>
      <c r="G3518">
        <v>2.5518999999999998</v>
      </c>
      <c r="H3518">
        <v>2</v>
      </c>
    </row>
    <row r="3519" spans="1:8" x14ac:dyDescent="0.25">
      <c r="A3519" t="s">
        <v>3525</v>
      </c>
      <c r="B3519">
        <v>49578</v>
      </c>
      <c r="C3519">
        <v>7898202615411</v>
      </c>
      <c r="D3519">
        <v>15.9</v>
      </c>
      <c r="E3519">
        <v>8.76</v>
      </c>
      <c r="F3519" s="3">
        <v>0.4073</v>
      </c>
      <c r="G3519">
        <v>7.9528999999999996</v>
      </c>
      <c r="H3519">
        <v>1.2330000000000001</v>
      </c>
    </row>
    <row r="3520" spans="1:8" x14ac:dyDescent="0.25">
      <c r="A3520" t="s">
        <v>3526</v>
      </c>
      <c r="B3520">
        <v>49579</v>
      </c>
      <c r="C3520">
        <v>7898202610799</v>
      </c>
      <c r="D3520">
        <v>7.9</v>
      </c>
      <c r="E3520">
        <v>3.96</v>
      </c>
      <c r="F3520" s="3">
        <v>0.4526</v>
      </c>
      <c r="G3520">
        <v>3.5937000000000001</v>
      </c>
      <c r="H3520">
        <v>3.9329999999999998</v>
      </c>
    </row>
    <row r="3521" spans="1:8" x14ac:dyDescent="0.25">
      <c r="A3521" t="s">
        <v>3527</v>
      </c>
      <c r="B3521">
        <v>49580</v>
      </c>
      <c r="C3521">
        <v>7898202615039</v>
      </c>
      <c r="D3521">
        <v>7.9</v>
      </c>
      <c r="E3521">
        <v>3.76</v>
      </c>
      <c r="F3521" s="3">
        <v>0.4753</v>
      </c>
      <c r="G3521">
        <v>3.4148000000000001</v>
      </c>
      <c r="H3521">
        <v>2</v>
      </c>
    </row>
    <row r="3522" spans="1:8" x14ac:dyDescent="0.25">
      <c r="A3522" t="s">
        <v>3528</v>
      </c>
      <c r="B3522">
        <v>49581</v>
      </c>
      <c r="C3522">
        <v>7898202612359</v>
      </c>
      <c r="D3522">
        <v>20.9</v>
      </c>
      <c r="E3522">
        <v>11.35</v>
      </c>
      <c r="F3522" s="3">
        <v>0.41359999999999997</v>
      </c>
      <c r="G3522">
        <v>10.3224</v>
      </c>
      <c r="H3522">
        <v>0.63300000000000001</v>
      </c>
    </row>
    <row r="3523" spans="1:8" x14ac:dyDescent="0.25">
      <c r="A3523" t="s">
        <v>3529</v>
      </c>
      <c r="B3523">
        <v>7608</v>
      </c>
      <c r="C3523">
        <v>7898968066274</v>
      </c>
      <c r="D3523">
        <v>24.9</v>
      </c>
      <c r="E3523">
        <v>12.89</v>
      </c>
      <c r="F3523" s="3">
        <v>0.43780000000000002</v>
      </c>
      <c r="G3523">
        <v>11.6959</v>
      </c>
      <c r="H3523">
        <v>0.4</v>
      </c>
    </row>
    <row r="3524" spans="1:8" x14ac:dyDescent="0.25">
      <c r="A3524" t="s">
        <v>3530</v>
      </c>
      <c r="B3524">
        <v>25750</v>
      </c>
      <c r="C3524">
        <v>7898968066281</v>
      </c>
      <c r="D3524">
        <v>25.9</v>
      </c>
      <c r="E3524">
        <v>13.6</v>
      </c>
      <c r="F3524" s="3">
        <v>0.43099999999999999</v>
      </c>
      <c r="G3524">
        <v>12.3423</v>
      </c>
      <c r="H3524">
        <v>0.5</v>
      </c>
    </row>
    <row r="3525" spans="1:8" x14ac:dyDescent="0.25">
      <c r="A3525" t="s">
        <v>3531</v>
      </c>
      <c r="B3525">
        <v>63589</v>
      </c>
      <c r="C3525">
        <v>7509546685892</v>
      </c>
      <c r="D3525">
        <v>17.899999999999999</v>
      </c>
      <c r="E3525">
        <v>12.5</v>
      </c>
      <c r="F3525" s="3">
        <v>0.2782</v>
      </c>
      <c r="G3525">
        <v>11.263999999999999</v>
      </c>
      <c r="H3525">
        <v>0.1</v>
      </c>
    </row>
    <row r="3526" spans="1:8" x14ac:dyDescent="0.25">
      <c r="A3526" t="s">
        <v>3532</v>
      </c>
      <c r="B3526">
        <v>52218</v>
      </c>
      <c r="C3526">
        <v>7891150063075</v>
      </c>
      <c r="D3526">
        <v>6.9</v>
      </c>
      <c r="E3526">
        <v>4.79</v>
      </c>
      <c r="F3526" s="3">
        <v>0.29600000000000004</v>
      </c>
      <c r="G3526">
        <v>4.8575999999999997</v>
      </c>
      <c r="H3526">
        <v>2.367</v>
      </c>
    </row>
    <row r="3527" spans="1:8" x14ac:dyDescent="0.25">
      <c r="A3527" t="s">
        <v>3533</v>
      </c>
      <c r="B3527">
        <v>59120</v>
      </c>
      <c r="C3527">
        <v>7891150078543</v>
      </c>
      <c r="D3527">
        <v>5.49</v>
      </c>
      <c r="E3527">
        <v>3.67</v>
      </c>
      <c r="F3527" s="3">
        <v>0.32450000000000001</v>
      </c>
      <c r="G3527">
        <v>3.7086000000000001</v>
      </c>
      <c r="H3527">
        <v>2.7330000000000001</v>
      </c>
    </row>
    <row r="3528" spans="1:8" x14ac:dyDescent="0.25">
      <c r="A3528" t="s">
        <v>3534</v>
      </c>
      <c r="B3528">
        <v>17569</v>
      </c>
      <c r="C3528">
        <v>7891037744509</v>
      </c>
      <c r="D3528">
        <v>6.9</v>
      </c>
      <c r="E3528">
        <v>4.8499999999999996</v>
      </c>
      <c r="F3528" s="3">
        <v>0.29499999999999998</v>
      </c>
      <c r="G3528">
        <v>4.8643999999999998</v>
      </c>
      <c r="H3528">
        <v>3.8</v>
      </c>
    </row>
    <row r="3529" spans="1:8" x14ac:dyDescent="0.25">
      <c r="A3529" t="s">
        <v>3535</v>
      </c>
      <c r="B3529">
        <v>53499</v>
      </c>
      <c r="C3529">
        <v>7509546079400</v>
      </c>
      <c r="D3529">
        <v>13.9</v>
      </c>
      <c r="E3529">
        <v>9.9499999999999993</v>
      </c>
      <c r="F3529" s="3">
        <v>0.2787</v>
      </c>
      <c r="G3529">
        <v>10.0268</v>
      </c>
      <c r="H3529">
        <v>2.4</v>
      </c>
    </row>
    <row r="3530" spans="1:8" x14ac:dyDescent="0.25">
      <c r="A3530" t="s">
        <v>3536</v>
      </c>
      <c r="B3530">
        <v>62346</v>
      </c>
      <c r="C3530">
        <v>7509546680750</v>
      </c>
      <c r="D3530">
        <v>16.899999999999999</v>
      </c>
      <c r="E3530">
        <v>12.04</v>
      </c>
      <c r="F3530" s="3">
        <v>0.27760000000000001</v>
      </c>
      <c r="G3530">
        <v>12.208500000000001</v>
      </c>
      <c r="H3530">
        <v>0.76700000000000002</v>
      </c>
    </row>
    <row r="3531" spans="1:8" x14ac:dyDescent="0.25">
      <c r="A3531" t="s">
        <v>3537</v>
      </c>
      <c r="B3531">
        <v>61641</v>
      </c>
      <c r="C3531">
        <v>7509546661506</v>
      </c>
      <c r="D3531">
        <v>25.9</v>
      </c>
      <c r="E3531">
        <v>19.96</v>
      </c>
      <c r="F3531" s="3">
        <v>0.22920000000000001</v>
      </c>
      <c r="G3531">
        <v>19.963100000000001</v>
      </c>
      <c r="H3531">
        <v>1.4330000000000001</v>
      </c>
    </row>
    <row r="3532" spans="1:8" x14ac:dyDescent="0.25">
      <c r="A3532" t="s">
        <v>3538</v>
      </c>
      <c r="B3532">
        <v>51101</v>
      </c>
      <c r="C3532">
        <v>6920354822223</v>
      </c>
      <c r="D3532">
        <v>12.9</v>
      </c>
      <c r="E3532">
        <v>9.18</v>
      </c>
      <c r="F3532" s="3">
        <v>0.28570000000000001</v>
      </c>
      <c r="G3532">
        <v>9.2138000000000009</v>
      </c>
      <c r="H3532">
        <v>5.4669999999999996</v>
      </c>
    </row>
    <row r="3533" spans="1:8" x14ac:dyDescent="0.25">
      <c r="A3533" t="s">
        <v>3539</v>
      </c>
      <c r="B3533">
        <v>55241</v>
      </c>
      <c r="C3533">
        <v>6920354824395</v>
      </c>
      <c r="D3533">
        <v>12.9</v>
      </c>
      <c r="E3533">
        <v>9.07</v>
      </c>
      <c r="F3533" s="3">
        <v>0.2928</v>
      </c>
      <c r="G3533">
        <v>9.1227</v>
      </c>
      <c r="H3533">
        <v>5.867</v>
      </c>
    </row>
    <row r="3534" spans="1:8" x14ac:dyDescent="0.25">
      <c r="A3534" t="s">
        <v>3540</v>
      </c>
      <c r="B3534">
        <v>51099</v>
      </c>
      <c r="C3534">
        <v>6920354822193</v>
      </c>
      <c r="D3534">
        <v>12.9</v>
      </c>
      <c r="E3534">
        <v>9.2100000000000009</v>
      </c>
      <c r="F3534" s="3">
        <v>0.27789999999999998</v>
      </c>
      <c r="G3534">
        <v>9.3153000000000006</v>
      </c>
      <c r="H3534">
        <v>6.3</v>
      </c>
    </row>
    <row r="3535" spans="1:8" x14ac:dyDescent="0.25">
      <c r="A3535" t="s">
        <v>3541</v>
      </c>
      <c r="B3535">
        <v>57548</v>
      </c>
      <c r="C3535">
        <v>7509546660561</v>
      </c>
      <c r="D3535">
        <v>10.9</v>
      </c>
      <c r="E3535">
        <v>7.42</v>
      </c>
      <c r="F3535" s="3">
        <v>0.317</v>
      </c>
      <c r="G3535">
        <v>7.4451999999999998</v>
      </c>
      <c r="H3535">
        <v>2.5670000000000002</v>
      </c>
    </row>
    <row r="3536" spans="1:8" x14ac:dyDescent="0.25">
      <c r="A3536" t="s">
        <v>3542</v>
      </c>
      <c r="B3536">
        <v>55789</v>
      </c>
      <c r="C3536">
        <v>7891024000427</v>
      </c>
      <c r="D3536">
        <v>10.9</v>
      </c>
      <c r="E3536">
        <v>7.61</v>
      </c>
      <c r="F3536" s="3">
        <v>0.30199999999999999</v>
      </c>
      <c r="G3536">
        <v>7.6082999999999998</v>
      </c>
      <c r="H3536">
        <v>0.9</v>
      </c>
    </row>
    <row r="3537" spans="1:8" x14ac:dyDescent="0.25">
      <c r="A3537" t="s">
        <v>3543</v>
      </c>
      <c r="B3537">
        <v>42550</v>
      </c>
      <c r="C3537">
        <v>7509546069593</v>
      </c>
      <c r="D3537">
        <v>13.9</v>
      </c>
      <c r="E3537">
        <v>10.1</v>
      </c>
      <c r="F3537" s="3">
        <v>0.27310000000000001</v>
      </c>
      <c r="G3537">
        <v>10.104200000000001</v>
      </c>
      <c r="H3537">
        <v>0.56699999999999995</v>
      </c>
    </row>
    <row r="3538" spans="1:8" x14ac:dyDescent="0.25">
      <c r="A3538" t="s">
        <v>3544</v>
      </c>
      <c r="B3538">
        <v>67045</v>
      </c>
      <c r="C3538">
        <v>7509546688176</v>
      </c>
      <c r="D3538">
        <v>12.49</v>
      </c>
      <c r="E3538">
        <v>7.43</v>
      </c>
      <c r="F3538" s="3">
        <v>0.39479999999999998</v>
      </c>
      <c r="G3538">
        <v>7.5594000000000001</v>
      </c>
      <c r="H3538">
        <v>0.83299999999999996</v>
      </c>
    </row>
    <row r="3539" spans="1:8" x14ac:dyDescent="0.25">
      <c r="A3539" t="s">
        <v>3545</v>
      </c>
      <c r="B3539">
        <v>60534</v>
      </c>
      <c r="C3539">
        <v>7509546675138</v>
      </c>
      <c r="D3539">
        <v>5.5</v>
      </c>
      <c r="E3539">
        <v>5.08</v>
      </c>
      <c r="F3539" s="3">
        <v>7.1099999999999997E-2</v>
      </c>
      <c r="G3539">
        <v>5.1087999999999996</v>
      </c>
      <c r="H3539">
        <v>7.367</v>
      </c>
    </row>
    <row r="3540" spans="1:8" x14ac:dyDescent="0.25">
      <c r="A3540" t="s">
        <v>3546</v>
      </c>
      <c r="B3540">
        <v>19951</v>
      </c>
      <c r="C3540">
        <v>7891528038612</v>
      </c>
      <c r="D3540">
        <v>5.9</v>
      </c>
      <c r="E3540">
        <v>3.82</v>
      </c>
      <c r="F3540" s="3">
        <v>0.34570000000000001</v>
      </c>
      <c r="G3540">
        <v>3.8605</v>
      </c>
      <c r="H3540">
        <v>1.7330000000000001</v>
      </c>
    </row>
    <row r="3541" spans="1:8" x14ac:dyDescent="0.25">
      <c r="A3541" t="s">
        <v>3547</v>
      </c>
      <c r="B3541">
        <v>19960</v>
      </c>
      <c r="C3541">
        <v>7891528038308</v>
      </c>
      <c r="D3541">
        <v>5.9</v>
      </c>
      <c r="E3541">
        <v>4.03</v>
      </c>
      <c r="F3541" s="3">
        <v>0.31629999999999997</v>
      </c>
      <c r="G3541">
        <v>4.0335999999999999</v>
      </c>
      <c r="H3541">
        <v>0.93300000000000005</v>
      </c>
    </row>
    <row r="3542" spans="1:8" x14ac:dyDescent="0.25">
      <c r="A3542" t="s">
        <v>3548</v>
      </c>
      <c r="B3542">
        <v>63237</v>
      </c>
      <c r="C3542">
        <v>7509546683591</v>
      </c>
      <c r="D3542">
        <v>11.79</v>
      </c>
      <c r="E3542">
        <v>9.7100000000000009</v>
      </c>
      <c r="F3542" s="3">
        <v>0.17030000000000001</v>
      </c>
      <c r="G3542">
        <v>9.7822999999999993</v>
      </c>
      <c r="H3542">
        <v>1.867</v>
      </c>
    </row>
    <row r="3543" spans="1:8" x14ac:dyDescent="0.25">
      <c r="A3543" t="s">
        <v>3549</v>
      </c>
      <c r="B3543">
        <v>19980</v>
      </c>
      <c r="C3543">
        <v>7891528038810</v>
      </c>
      <c r="D3543">
        <v>6.99</v>
      </c>
      <c r="E3543">
        <v>6</v>
      </c>
      <c r="F3543" s="3">
        <v>0.1416</v>
      </c>
      <c r="G3543">
        <v>6</v>
      </c>
      <c r="H3543">
        <v>3.1</v>
      </c>
    </row>
    <row r="3544" spans="1:8" x14ac:dyDescent="0.25">
      <c r="A3544" t="s">
        <v>3550</v>
      </c>
      <c r="B3544">
        <v>19981</v>
      </c>
      <c r="C3544">
        <v>7891528038827</v>
      </c>
      <c r="D3544">
        <v>6.99</v>
      </c>
      <c r="E3544">
        <v>6.01</v>
      </c>
      <c r="F3544" s="3">
        <v>0.1376</v>
      </c>
      <c r="G3544">
        <v>6.0279999999999996</v>
      </c>
      <c r="H3544">
        <v>4.7</v>
      </c>
    </row>
    <row r="3545" spans="1:8" x14ac:dyDescent="0.25">
      <c r="A3545" t="s">
        <v>3551</v>
      </c>
      <c r="B3545">
        <v>19982</v>
      </c>
      <c r="C3545">
        <v>7891528038834</v>
      </c>
      <c r="D3545">
        <v>6.99</v>
      </c>
      <c r="E3545">
        <v>6.06</v>
      </c>
      <c r="F3545" s="3">
        <v>0.13289999999999999</v>
      </c>
      <c r="G3545">
        <v>6.0609000000000002</v>
      </c>
      <c r="H3545">
        <v>1.7330000000000001</v>
      </c>
    </row>
    <row r="3546" spans="1:8" x14ac:dyDescent="0.25">
      <c r="A3546" t="s">
        <v>3552</v>
      </c>
      <c r="B3546">
        <v>14727</v>
      </c>
      <c r="C3546">
        <v>7891350034868</v>
      </c>
      <c r="D3546">
        <v>17.899999999999999</v>
      </c>
      <c r="E3546">
        <v>11.99</v>
      </c>
      <c r="F3546" s="3">
        <v>0.33020000000000005</v>
      </c>
      <c r="G3546">
        <v>11.99</v>
      </c>
      <c r="H3546">
        <v>3.9</v>
      </c>
    </row>
    <row r="3547" spans="1:8" x14ac:dyDescent="0.25">
      <c r="A3547" t="s">
        <v>3553</v>
      </c>
      <c r="B3547">
        <v>14729</v>
      </c>
      <c r="C3547">
        <v>7891350034844</v>
      </c>
      <c r="D3547">
        <v>17.899999999999999</v>
      </c>
      <c r="E3547">
        <v>11.99</v>
      </c>
      <c r="F3547" s="3">
        <v>0.33020000000000005</v>
      </c>
      <c r="G3547">
        <v>11.99</v>
      </c>
      <c r="H3547">
        <v>2.633</v>
      </c>
    </row>
    <row r="3548" spans="1:8" x14ac:dyDescent="0.25">
      <c r="A3548" t="s">
        <v>3554</v>
      </c>
      <c r="B3548">
        <v>60031</v>
      </c>
      <c r="C3548">
        <v>7891150075962</v>
      </c>
      <c r="D3548">
        <v>26.9</v>
      </c>
      <c r="E3548">
        <v>17.57</v>
      </c>
      <c r="F3548" s="3">
        <v>0.34670000000000001</v>
      </c>
      <c r="G3548">
        <v>17.5733</v>
      </c>
      <c r="H3548">
        <v>6.7000000000000004E-2</v>
      </c>
    </row>
    <row r="3549" spans="1:8" x14ac:dyDescent="0.25">
      <c r="A3549" t="s">
        <v>3555</v>
      </c>
      <c r="B3549">
        <v>38682</v>
      </c>
      <c r="C3549">
        <v>7891350034950</v>
      </c>
      <c r="D3549">
        <v>12.9</v>
      </c>
      <c r="E3549">
        <v>7.92</v>
      </c>
      <c r="F3549" s="3">
        <v>0.37329999999999997</v>
      </c>
      <c r="G3549">
        <v>8.0840999999999994</v>
      </c>
      <c r="H3549">
        <v>2.9</v>
      </c>
    </row>
    <row r="3550" spans="1:8" x14ac:dyDescent="0.25">
      <c r="A3550" t="s">
        <v>3556</v>
      </c>
      <c r="B3550">
        <v>6663</v>
      </c>
      <c r="C3550">
        <v>7891048049020</v>
      </c>
      <c r="D3550">
        <v>17.899999999999999</v>
      </c>
      <c r="E3550">
        <v>13.7</v>
      </c>
      <c r="F3550" s="3">
        <v>0.17449999999999999</v>
      </c>
      <c r="G3550">
        <v>9.8980999999999995</v>
      </c>
      <c r="H3550">
        <v>1.2</v>
      </c>
    </row>
    <row r="3551" spans="1:8" x14ac:dyDescent="0.25">
      <c r="A3551" t="s">
        <v>3557</v>
      </c>
      <c r="B3551">
        <v>6606</v>
      </c>
      <c r="C3551">
        <v>7891048050606</v>
      </c>
      <c r="D3551">
        <v>2.29</v>
      </c>
      <c r="E3551">
        <v>1.3</v>
      </c>
      <c r="F3551" s="3">
        <v>0.31290000000000001</v>
      </c>
      <c r="G3551">
        <v>0.94930000000000003</v>
      </c>
      <c r="H3551">
        <v>26.966999999999999</v>
      </c>
    </row>
    <row r="3552" spans="1:8" x14ac:dyDescent="0.25">
      <c r="A3552" t="s">
        <v>3558</v>
      </c>
      <c r="B3552">
        <v>68798</v>
      </c>
      <c r="C3552">
        <v>7891048045466</v>
      </c>
      <c r="D3552">
        <v>2.29</v>
      </c>
      <c r="E3552">
        <v>1.3</v>
      </c>
      <c r="F3552" s="3">
        <v>0.31290000000000001</v>
      </c>
      <c r="G3552">
        <v>0.94940000000000002</v>
      </c>
      <c r="H3552">
        <v>1.5669999999999999</v>
      </c>
    </row>
    <row r="3553" spans="1:8" x14ac:dyDescent="0.25">
      <c r="A3553" t="s">
        <v>3559</v>
      </c>
      <c r="B3553">
        <v>6608</v>
      </c>
      <c r="C3553">
        <v>7891048050613</v>
      </c>
      <c r="D3553">
        <v>0</v>
      </c>
      <c r="E3553">
        <v>0.76</v>
      </c>
      <c r="F3553" s="3">
        <v>0</v>
      </c>
      <c r="G3553">
        <v>0.55489999999999995</v>
      </c>
      <c r="H3553">
        <v>3.133</v>
      </c>
    </row>
    <row r="3554" spans="1:8" x14ac:dyDescent="0.25">
      <c r="A3554" t="s">
        <v>3560</v>
      </c>
      <c r="B3554">
        <v>6616</v>
      </c>
      <c r="C3554">
        <v>7891048050620</v>
      </c>
      <c r="D3554">
        <v>2.29</v>
      </c>
      <c r="E3554">
        <v>1.31</v>
      </c>
      <c r="F3554" s="3">
        <v>0.31290000000000001</v>
      </c>
      <c r="G3554">
        <v>0.94950000000000001</v>
      </c>
      <c r="H3554">
        <v>15.233000000000001</v>
      </c>
    </row>
    <row r="3555" spans="1:8" x14ac:dyDescent="0.25">
      <c r="A3555" t="s">
        <v>3561</v>
      </c>
      <c r="B3555">
        <v>6621</v>
      </c>
      <c r="C3555">
        <v>7891048050637</v>
      </c>
      <c r="D3555">
        <v>2.29</v>
      </c>
      <c r="E3555">
        <v>1.31</v>
      </c>
      <c r="F3555" s="3">
        <v>0.31280000000000002</v>
      </c>
      <c r="G3555">
        <v>0.94969999999999999</v>
      </c>
      <c r="H3555">
        <v>13.4</v>
      </c>
    </row>
    <row r="3556" spans="1:8" x14ac:dyDescent="0.25">
      <c r="A3556" t="s">
        <v>3562</v>
      </c>
      <c r="B3556">
        <v>6623</v>
      </c>
      <c r="C3556">
        <v>7891048050644</v>
      </c>
      <c r="D3556">
        <v>2.29</v>
      </c>
      <c r="E3556">
        <v>1.31</v>
      </c>
      <c r="F3556" s="3">
        <v>0.31280000000000002</v>
      </c>
      <c r="G3556">
        <v>0.9496</v>
      </c>
      <c r="H3556">
        <v>24.167000000000002</v>
      </c>
    </row>
    <row r="3557" spans="1:8" x14ac:dyDescent="0.25">
      <c r="A3557" t="s">
        <v>3563</v>
      </c>
      <c r="B3557">
        <v>6625</v>
      </c>
      <c r="C3557">
        <v>7891048050651</v>
      </c>
      <c r="D3557">
        <v>2.29</v>
      </c>
      <c r="E3557">
        <v>1.31</v>
      </c>
      <c r="F3557" s="3">
        <v>0.31290000000000001</v>
      </c>
      <c r="G3557">
        <v>0.94950000000000001</v>
      </c>
      <c r="H3557">
        <v>22.667000000000002</v>
      </c>
    </row>
    <row r="3558" spans="1:8" x14ac:dyDescent="0.25">
      <c r="A3558" t="s">
        <v>3564</v>
      </c>
      <c r="B3558">
        <v>6627</v>
      </c>
      <c r="C3558">
        <v>7891048050668</v>
      </c>
      <c r="D3558">
        <v>2.29</v>
      </c>
      <c r="E3558">
        <v>1.31</v>
      </c>
      <c r="F3558" s="3">
        <v>0.31280000000000002</v>
      </c>
      <c r="G3558">
        <v>0.9496</v>
      </c>
      <c r="H3558">
        <v>39.466999999999999</v>
      </c>
    </row>
    <row r="3559" spans="1:8" x14ac:dyDescent="0.25">
      <c r="A3559" t="s">
        <v>3565</v>
      </c>
      <c r="B3559">
        <v>6631</v>
      </c>
      <c r="C3559">
        <v>7891048050675</v>
      </c>
      <c r="D3559">
        <v>2.29</v>
      </c>
      <c r="E3559">
        <v>1.3</v>
      </c>
      <c r="F3559" s="3">
        <v>0.31309999999999999</v>
      </c>
      <c r="G3559">
        <v>0.94910000000000005</v>
      </c>
      <c r="H3559">
        <v>12</v>
      </c>
    </row>
    <row r="3560" spans="1:8" x14ac:dyDescent="0.25">
      <c r="A3560" t="s">
        <v>3566</v>
      </c>
      <c r="B3560">
        <v>6633</v>
      </c>
      <c r="C3560">
        <v>7891048050682</v>
      </c>
      <c r="D3560">
        <v>2.29</v>
      </c>
      <c r="E3560">
        <v>1.31</v>
      </c>
      <c r="F3560" s="3">
        <v>0.31290000000000001</v>
      </c>
      <c r="G3560">
        <v>0.94950000000000001</v>
      </c>
      <c r="H3560">
        <v>32.633000000000003</v>
      </c>
    </row>
    <row r="3561" spans="1:8" x14ac:dyDescent="0.25">
      <c r="A3561" t="s">
        <v>3567</v>
      </c>
      <c r="B3561">
        <v>6677</v>
      </c>
      <c r="C3561">
        <v>7891048050057</v>
      </c>
      <c r="D3561">
        <v>8.99</v>
      </c>
      <c r="E3561">
        <v>5.92</v>
      </c>
      <c r="F3561" s="3">
        <v>0.24859999999999999</v>
      </c>
      <c r="G3561">
        <v>4.3056999999999999</v>
      </c>
      <c r="H3561">
        <v>21.233000000000001</v>
      </c>
    </row>
    <row r="3562" spans="1:8" x14ac:dyDescent="0.25">
      <c r="A3562" t="s">
        <v>3568</v>
      </c>
      <c r="B3562">
        <v>60455</v>
      </c>
      <c r="C3562">
        <v>7891048046616</v>
      </c>
      <c r="D3562">
        <v>5.9</v>
      </c>
      <c r="E3562">
        <v>2.97</v>
      </c>
      <c r="F3562" s="3">
        <v>0.36070000000000002</v>
      </c>
      <c r="G3562">
        <v>2.1640999999999999</v>
      </c>
      <c r="H3562">
        <v>6.7670000000000003</v>
      </c>
    </row>
    <row r="3563" spans="1:8" x14ac:dyDescent="0.25">
      <c r="A3563" t="s">
        <v>3569</v>
      </c>
      <c r="B3563">
        <v>60456</v>
      </c>
      <c r="C3563">
        <v>7891048046654</v>
      </c>
      <c r="D3563">
        <v>5.9</v>
      </c>
      <c r="E3563">
        <v>2.98</v>
      </c>
      <c r="F3563" s="3">
        <v>0.36060000000000003</v>
      </c>
      <c r="G3563">
        <v>2.1646999999999998</v>
      </c>
      <c r="H3563">
        <v>11.9</v>
      </c>
    </row>
    <row r="3564" spans="1:8" x14ac:dyDescent="0.25">
      <c r="A3564" t="s">
        <v>3570</v>
      </c>
      <c r="B3564">
        <v>60458</v>
      </c>
      <c r="C3564">
        <v>7891048046661</v>
      </c>
      <c r="D3564">
        <v>5.9</v>
      </c>
      <c r="E3564">
        <v>2.97</v>
      </c>
      <c r="F3564" s="3">
        <v>0.36070000000000002</v>
      </c>
      <c r="G3564">
        <v>2.1642999999999999</v>
      </c>
      <c r="H3564">
        <v>6.9329999999999998</v>
      </c>
    </row>
    <row r="3565" spans="1:8" x14ac:dyDescent="0.25">
      <c r="A3565" t="s">
        <v>3571</v>
      </c>
      <c r="B3565">
        <v>68801</v>
      </c>
      <c r="C3565">
        <v>7891048084540</v>
      </c>
      <c r="D3565">
        <v>2.29</v>
      </c>
      <c r="E3565">
        <v>1.37</v>
      </c>
      <c r="F3565" s="3">
        <v>0.29120000000000001</v>
      </c>
      <c r="G3565">
        <v>0.99919999999999998</v>
      </c>
      <c r="H3565">
        <v>9.2829999999999995</v>
      </c>
    </row>
    <row r="3566" spans="1:8" x14ac:dyDescent="0.25">
      <c r="A3566" t="s">
        <v>3572</v>
      </c>
      <c r="B3566">
        <v>68799</v>
      </c>
      <c r="C3566">
        <v>7891048084526</v>
      </c>
      <c r="D3566">
        <v>2.29</v>
      </c>
      <c r="E3566">
        <v>1.37</v>
      </c>
      <c r="F3566" s="3">
        <v>0.29220000000000002</v>
      </c>
      <c r="G3566">
        <v>0.99690000000000001</v>
      </c>
      <c r="H3566">
        <v>9.8650000000000002</v>
      </c>
    </row>
    <row r="3567" spans="1:8" x14ac:dyDescent="0.25">
      <c r="A3567" t="s">
        <v>3573</v>
      </c>
      <c r="B3567">
        <v>68800</v>
      </c>
      <c r="C3567">
        <v>7891048084533</v>
      </c>
      <c r="D3567">
        <v>2.29</v>
      </c>
      <c r="E3567">
        <v>1.37</v>
      </c>
      <c r="F3567" s="3">
        <v>0.29220000000000002</v>
      </c>
      <c r="G3567">
        <v>0.99680000000000002</v>
      </c>
      <c r="H3567">
        <v>6.5670000000000002</v>
      </c>
    </row>
    <row r="3568" spans="1:8" x14ac:dyDescent="0.25">
      <c r="A3568" t="s">
        <v>3574</v>
      </c>
      <c r="B3568">
        <v>68804</v>
      </c>
      <c r="C3568">
        <v>7891048092439</v>
      </c>
      <c r="D3568">
        <v>3.99</v>
      </c>
      <c r="E3568">
        <v>2.33</v>
      </c>
      <c r="F3568" s="3">
        <v>0.30299999999999999</v>
      </c>
      <c r="G3568">
        <v>1.6936</v>
      </c>
      <c r="H3568">
        <v>1.133</v>
      </c>
    </row>
    <row r="3569" spans="1:8" x14ac:dyDescent="0.25">
      <c r="A3569" t="s">
        <v>3575</v>
      </c>
      <c r="B3569">
        <v>68805</v>
      </c>
      <c r="C3569">
        <v>7891048092446</v>
      </c>
      <c r="D3569">
        <v>3.99</v>
      </c>
      <c r="E3569">
        <v>2.33</v>
      </c>
      <c r="F3569" s="3">
        <v>0.30299999999999999</v>
      </c>
      <c r="G3569">
        <v>1.6936</v>
      </c>
      <c r="H3569">
        <v>2.1669999999999998</v>
      </c>
    </row>
    <row r="3570" spans="1:8" x14ac:dyDescent="0.25">
      <c r="A3570" t="s">
        <v>3576</v>
      </c>
      <c r="B3570">
        <v>68806</v>
      </c>
      <c r="C3570">
        <v>7891048092453</v>
      </c>
      <c r="D3570">
        <v>3.99</v>
      </c>
      <c r="E3570">
        <v>2.33</v>
      </c>
      <c r="F3570" s="3">
        <v>0.30299999999999999</v>
      </c>
      <c r="G3570">
        <v>1.6936</v>
      </c>
      <c r="H3570">
        <v>0.86699999999999999</v>
      </c>
    </row>
    <row r="3571" spans="1:8" x14ac:dyDescent="0.25">
      <c r="A3571" t="s">
        <v>3577</v>
      </c>
      <c r="B3571">
        <v>6602</v>
      </c>
      <c r="C3571">
        <v>7891048048979</v>
      </c>
      <c r="D3571">
        <v>4.99</v>
      </c>
      <c r="E3571">
        <v>2.33</v>
      </c>
      <c r="F3571" s="3">
        <v>0.3881</v>
      </c>
      <c r="G3571">
        <v>1.6936</v>
      </c>
      <c r="H3571">
        <v>11.567</v>
      </c>
    </row>
    <row r="3572" spans="1:8" x14ac:dyDescent="0.25">
      <c r="A3572" t="s">
        <v>3578</v>
      </c>
      <c r="B3572">
        <v>6636</v>
      </c>
      <c r="C3572">
        <v>7891048048986</v>
      </c>
      <c r="D3572">
        <v>4.99</v>
      </c>
      <c r="E3572">
        <v>2.33</v>
      </c>
      <c r="F3572" s="3">
        <v>0.3881</v>
      </c>
      <c r="G3572">
        <v>1.6934</v>
      </c>
      <c r="H3572">
        <v>16.766999999999999</v>
      </c>
    </row>
    <row r="3573" spans="1:8" x14ac:dyDescent="0.25">
      <c r="A3573" t="s">
        <v>3579</v>
      </c>
      <c r="B3573">
        <v>6638</v>
      </c>
      <c r="C3573">
        <v>7891048049013</v>
      </c>
      <c r="D3573">
        <v>4.99</v>
      </c>
      <c r="E3573">
        <v>2.33</v>
      </c>
      <c r="F3573" s="3">
        <v>0.3881</v>
      </c>
      <c r="G3573">
        <v>1.6935</v>
      </c>
      <c r="H3573">
        <v>17.266999999999999</v>
      </c>
    </row>
    <row r="3574" spans="1:8" x14ac:dyDescent="0.25">
      <c r="A3574" t="s">
        <v>3580</v>
      </c>
      <c r="B3574">
        <v>58054</v>
      </c>
      <c r="C3574">
        <v>7891048049792</v>
      </c>
      <c r="D3574">
        <v>4.99</v>
      </c>
      <c r="E3574">
        <v>2.33</v>
      </c>
      <c r="F3574" s="3">
        <v>0.3881</v>
      </c>
      <c r="G3574">
        <v>1.6935</v>
      </c>
      <c r="H3574">
        <v>10.733000000000001</v>
      </c>
    </row>
    <row r="3575" spans="1:8" x14ac:dyDescent="0.25">
      <c r="A3575" t="s">
        <v>3581</v>
      </c>
      <c r="B3575">
        <v>6640</v>
      </c>
      <c r="C3575">
        <v>7891048049006</v>
      </c>
      <c r="D3575">
        <v>4.99</v>
      </c>
      <c r="E3575">
        <v>2.33</v>
      </c>
      <c r="F3575" s="3">
        <v>0.3881</v>
      </c>
      <c r="G3575">
        <v>1.6936</v>
      </c>
      <c r="H3575">
        <v>12</v>
      </c>
    </row>
    <row r="3576" spans="1:8" x14ac:dyDescent="0.25">
      <c r="A3576" t="s">
        <v>3582</v>
      </c>
      <c r="B3576">
        <v>6643</v>
      </c>
      <c r="C3576">
        <v>7891048048993</v>
      </c>
      <c r="D3576">
        <v>4.99</v>
      </c>
      <c r="E3576">
        <v>2.3199999999999998</v>
      </c>
      <c r="F3576" s="3">
        <v>0.38819999999999999</v>
      </c>
      <c r="G3576">
        <v>1.6929000000000001</v>
      </c>
      <c r="H3576">
        <v>11.7</v>
      </c>
    </row>
    <row r="3577" spans="1:8" x14ac:dyDescent="0.25">
      <c r="A3577" t="s">
        <v>3583</v>
      </c>
      <c r="B3577">
        <v>43461</v>
      </c>
      <c r="C3577">
        <v>7898409952173</v>
      </c>
      <c r="D3577">
        <v>9.9</v>
      </c>
      <c r="E3577">
        <v>6.02</v>
      </c>
      <c r="F3577" s="3">
        <v>0.29059999999999997</v>
      </c>
      <c r="G3577">
        <v>4.3253000000000004</v>
      </c>
      <c r="H3577">
        <v>6.3</v>
      </c>
    </row>
    <row r="3578" spans="1:8" x14ac:dyDescent="0.25">
      <c r="A3578" t="s">
        <v>3584</v>
      </c>
      <c r="B3578">
        <v>23276</v>
      </c>
      <c r="C3578">
        <v>7896001260634</v>
      </c>
      <c r="D3578">
        <v>0</v>
      </c>
      <c r="E3578">
        <v>2.7</v>
      </c>
      <c r="F3578" s="3">
        <v>0</v>
      </c>
      <c r="G3578">
        <v>1.9612000000000001</v>
      </c>
      <c r="H3578">
        <v>0.3</v>
      </c>
    </row>
    <row r="3579" spans="1:8" x14ac:dyDescent="0.25">
      <c r="A3579" t="s">
        <v>3585</v>
      </c>
      <c r="B3579">
        <v>67371</v>
      </c>
      <c r="C3579">
        <v>7896292006461</v>
      </c>
      <c r="D3579">
        <v>4.29</v>
      </c>
      <c r="E3579">
        <v>2.4</v>
      </c>
      <c r="F3579" s="3">
        <v>0.31980000000000003</v>
      </c>
      <c r="G3579">
        <v>1.7488999999999999</v>
      </c>
      <c r="H3579">
        <v>6.2329999999999997</v>
      </c>
    </row>
    <row r="3580" spans="1:8" x14ac:dyDescent="0.25">
      <c r="A3580" t="s">
        <v>3586</v>
      </c>
      <c r="B3580">
        <v>67370</v>
      </c>
      <c r="C3580">
        <v>7896292006867</v>
      </c>
      <c r="D3580">
        <v>4.29</v>
      </c>
      <c r="E3580">
        <v>2.4</v>
      </c>
      <c r="F3580" s="3">
        <v>0.32030000000000003</v>
      </c>
      <c r="G3580">
        <v>1.7470000000000001</v>
      </c>
      <c r="H3580">
        <v>7.7329999999999997</v>
      </c>
    </row>
    <row r="3581" spans="1:8" x14ac:dyDescent="0.25">
      <c r="A3581" t="s">
        <v>3587</v>
      </c>
      <c r="B3581">
        <v>67374</v>
      </c>
      <c r="C3581">
        <v>7896292006874</v>
      </c>
      <c r="D3581">
        <v>4.29</v>
      </c>
      <c r="E3581">
        <v>2.4</v>
      </c>
      <c r="F3581" s="3">
        <v>0.31989999999999996</v>
      </c>
      <c r="G3581">
        <v>1.7486999999999999</v>
      </c>
      <c r="H3581">
        <v>7.7670000000000003</v>
      </c>
    </row>
    <row r="3582" spans="1:8" x14ac:dyDescent="0.25">
      <c r="A3582" t="s">
        <v>3588</v>
      </c>
      <c r="B3582">
        <v>67372</v>
      </c>
      <c r="C3582">
        <v>7896292006454</v>
      </c>
      <c r="D3582">
        <v>4.29</v>
      </c>
      <c r="E3582">
        <v>2.4</v>
      </c>
      <c r="F3582" s="3">
        <v>0.31980000000000003</v>
      </c>
      <c r="G3582">
        <v>1.7488999999999999</v>
      </c>
      <c r="H3582">
        <v>11.532999999999999</v>
      </c>
    </row>
    <row r="3583" spans="1:8" x14ac:dyDescent="0.25">
      <c r="A3583" t="s">
        <v>3589</v>
      </c>
      <c r="B3583">
        <v>67373</v>
      </c>
      <c r="C3583">
        <v>7896292006478</v>
      </c>
      <c r="D3583">
        <v>4.29</v>
      </c>
      <c r="E3583">
        <v>2.4</v>
      </c>
      <c r="F3583" s="3">
        <v>0.32</v>
      </c>
      <c r="G3583">
        <v>1.7482</v>
      </c>
      <c r="H3583">
        <v>7.2</v>
      </c>
    </row>
    <row r="3584" spans="1:8" x14ac:dyDescent="0.25">
      <c r="A3584" t="s">
        <v>3590</v>
      </c>
      <c r="B3584">
        <v>22075</v>
      </c>
      <c r="C3584">
        <v>7893333229001</v>
      </c>
      <c r="D3584">
        <v>11.9</v>
      </c>
      <c r="E3584">
        <v>7.83</v>
      </c>
      <c r="F3584" s="3">
        <v>0.2429</v>
      </c>
      <c r="G3584">
        <v>5.7664999999999997</v>
      </c>
      <c r="H3584">
        <v>8.1329999999999991</v>
      </c>
    </row>
    <row r="3585" spans="1:8" x14ac:dyDescent="0.25">
      <c r="A3585" t="s">
        <v>3591</v>
      </c>
      <c r="B3585">
        <v>22068</v>
      </c>
      <c r="C3585">
        <v>7622300860059</v>
      </c>
      <c r="D3585">
        <v>2.9</v>
      </c>
      <c r="E3585">
        <v>1.56</v>
      </c>
      <c r="F3585" s="3">
        <v>0.33329999999999999</v>
      </c>
      <c r="G3585">
        <v>1.1431</v>
      </c>
      <c r="H3585">
        <v>12.567</v>
      </c>
    </row>
    <row r="3586" spans="1:8" x14ac:dyDescent="0.25">
      <c r="A3586" t="s">
        <v>3592</v>
      </c>
      <c r="B3586">
        <v>22069</v>
      </c>
      <c r="C3586">
        <v>7622300859978</v>
      </c>
      <c r="D3586">
        <v>2.9</v>
      </c>
      <c r="E3586">
        <v>1.54</v>
      </c>
      <c r="F3586" s="3">
        <v>0.34039999999999998</v>
      </c>
      <c r="G3586">
        <v>1.1227</v>
      </c>
      <c r="H3586">
        <v>9.2669999999999995</v>
      </c>
    </row>
    <row r="3587" spans="1:8" x14ac:dyDescent="0.25">
      <c r="A3587" t="s">
        <v>3593</v>
      </c>
      <c r="B3587">
        <v>22070</v>
      </c>
      <c r="C3587">
        <v>7622300859930</v>
      </c>
      <c r="D3587">
        <v>2.9</v>
      </c>
      <c r="E3587">
        <v>1.63</v>
      </c>
      <c r="F3587" s="3">
        <v>0.32130000000000003</v>
      </c>
      <c r="G3587">
        <v>1.1778999999999999</v>
      </c>
      <c r="H3587">
        <v>8.3000000000000007</v>
      </c>
    </row>
    <row r="3588" spans="1:8" x14ac:dyDescent="0.25">
      <c r="A3588" t="s">
        <v>3594</v>
      </c>
      <c r="B3588">
        <v>22071</v>
      </c>
      <c r="C3588">
        <v>7622300859893</v>
      </c>
      <c r="D3588">
        <v>2.9</v>
      </c>
      <c r="E3588">
        <v>1.63</v>
      </c>
      <c r="F3588" s="3">
        <v>0.31920000000000004</v>
      </c>
      <c r="G3588">
        <v>1.1839</v>
      </c>
      <c r="H3588">
        <v>7.9329999999999998</v>
      </c>
    </row>
    <row r="3589" spans="1:8" x14ac:dyDescent="0.25">
      <c r="A3589" t="s">
        <v>3595</v>
      </c>
      <c r="B3589">
        <v>22072</v>
      </c>
      <c r="C3589">
        <v>7622300859855</v>
      </c>
      <c r="D3589">
        <v>2.9</v>
      </c>
      <c r="E3589">
        <v>1.57</v>
      </c>
      <c r="F3589" s="3">
        <v>0.3367</v>
      </c>
      <c r="G3589">
        <v>1.1334</v>
      </c>
      <c r="H3589">
        <v>6</v>
      </c>
    </row>
    <row r="3590" spans="1:8" x14ac:dyDescent="0.25">
      <c r="A3590" t="s">
        <v>3596</v>
      </c>
      <c r="B3590">
        <v>22073</v>
      </c>
      <c r="C3590">
        <v>7622300859817</v>
      </c>
      <c r="D3590">
        <v>2.4900000000000002</v>
      </c>
      <c r="E3590">
        <v>1.65</v>
      </c>
      <c r="F3590" s="3">
        <v>0.2404</v>
      </c>
      <c r="G3590">
        <v>1.2129000000000001</v>
      </c>
      <c r="H3590">
        <v>15.667</v>
      </c>
    </row>
    <row r="3591" spans="1:8" x14ac:dyDescent="0.25">
      <c r="A3591" t="s">
        <v>3597</v>
      </c>
      <c r="B3591">
        <v>22074</v>
      </c>
      <c r="C3591">
        <v>7622300859770</v>
      </c>
      <c r="D3591">
        <v>2.9</v>
      </c>
      <c r="E3591">
        <v>1.59</v>
      </c>
      <c r="F3591" s="3">
        <v>0.33539999999999998</v>
      </c>
      <c r="G3591">
        <v>1.1371</v>
      </c>
      <c r="H3591">
        <v>10.433</v>
      </c>
    </row>
    <row r="3592" spans="1:8" x14ac:dyDescent="0.25">
      <c r="A3592" t="s">
        <v>3598</v>
      </c>
      <c r="B3592">
        <v>51836</v>
      </c>
      <c r="C3592">
        <v>7898070111763</v>
      </c>
      <c r="D3592">
        <v>25.9</v>
      </c>
      <c r="E3592">
        <v>15.45</v>
      </c>
      <c r="F3592" s="3">
        <v>0.37439999999999996</v>
      </c>
      <c r="G3592">
        <v>13.806900000000001</v>
      </c>
      <c r="H3592">
        <v>1.1000000000000001</v>
      </c>
    </row>
    <row r="3593" spans="1:8" x14ac:dyDescent="0.25">
      <c r="A3593" t="s">
        <v>3599</v>
      </c>
      <c r="B3593">
        <v>51837</v>
      </c>
      <c r="C3593">
        <v>7898070111510</v>
      </c>
      <c r="D3593">
        <v>25.9</v>
      </c>
      <c r="E3593">
        <v>13.87</v>
      </c>
      <c r="F3593" s="3">
        <v>0.42149999999999999</v>
      </c>
      <c r="G3593">
        <v>12.588699999999999</v>
      </c>
      <c r="H3593">
        <v>3.3000000000000002E-2</v>
      </c>
    </row>
    <row r="3594" spans="1:8" x14ac:dyDescent="0.25">
      <c r="A3594" t="s">
        <v>3600</v>
      </c>
      <c r="B3594">
        <v>55683</v>
      </c>
      <c r="C3594">
        <v>7898070111138</v>
      </c>
      <c r="D3594">
        <v>28.9</v>
      </c>
      <c r="E3594">
        <v>18.53</v>
      </c>
      <c r="F3594" s="3">
        <v>0.32549999999999996</v>
      </c>
      <c r="G3594">
        <v>16.819800000000001</v>
      </c>
      <c r="H3594">
        <v>0.6</v>
      </c>
    </row>
    <row r="3595" spans="1:8" x14ac:dyDescent="0.25">
      <c r="A3595" t="s">
        <v>3601</v>
      </c>
      <c r="B3595">
        <v>67079</v>
      </c>
      <c r="C3595">
        <v>7898464250054</v>
      </c>
      <c r="D3595">
        <v>28.9</v>
      </c>
      <c r="E3595">
        <v>17.84</v>
      </c>
      <c r="F3595" s="3">
        <v>0.34729999999999994</v>
      </c>
      <c r="G3595">
        <v>16.190799999999999</v>
      </c>
      <c r="H3595">
        <v>1.0329999999999999</v>
      </c>
    </row>
    <row r="3596" spans="1:8" x14ac:dyDescent="0.25">
      <c r="A3596" t="s">
        <v>3602</v>
      </c>
      <c r="B3596">
        <v>67819</v>
      </c>
      <c r="C3596">
        <v>7898464250061</v>
      </c>
      <c r="D3596">
        <v>28.9</v>
      </c>
      <c r="E3596">
        <v>17.54</v>
      </c>
      <c r="F3596" s="3">
        <v>0.35719999999999996</v>
      </c>
      <c r="G3596">
        <v>15.9024</v>
      </c>
      <c r="H3596">
        <v>0.83299999999999996</v>
      </c>
    </row>
    <row r="3597" spans="1:8" x14ac:dyDescent="0.25">
      <c r="A3597" t="s">
        <v>3603</v>
      </c>
      <c r="B3597">
        <v>55684</v>
      </c>
      <c r="C3597">
        <v>7898070111305</v>
      </c>
      <c r="D3597">
        <v>28.9</v>
      </c>
      <c r="E3597">
        <v>16.920000000000002</v>
      </c>
      <c r="F3597" s="3">
        <v>0.375</v>
      </c>
      <c r="G3597">
        <v>15.388500000000001</v>
      </c>
      <c r="H3597">
        <v>0.93300000000000005</v>
      </c>
    </row>
    <row r="3598" spans="1:8" x14ac:dyDescent="0.25">
      <c r="A3598" t="s">
        <v>3604</v>
      </c>
      <c r="B3598">
        <v>55682</v>
      </c>
      <c r="C3598">
        <v>7898070111114</v>
      </c>
      <c r="D3598">
        <v>28.9</v>
      </c>
      <c r="E3598">
        <v>16.95</v>
      </c>
      <c r="F3598" s="3">
        <v>0.3664</v>
      </c>
      <c r="G3598">
        <v>15.6378</v>
      </c>
      <c r="H3598">
        <v>1.167</v>
      </c>
    </row>
    <row r="3599" spans="1:8" x14ac:dyDescent="0.25">
      <c r="A3599" t="s">
        <v>3605</v>
      </c>
      <c r="B3599">
        <v>60545</v>
      </c>
      <c r="C3599">
        <v>5707446850095</v>
      </c>
      <c r="D3599">
        <v>9.99</v>
      </c>
      <c r="E3599">
        <v>9.74</v>
      </c>
      <c r="F3599" s="3">
        <v>2.7099999999999999E-2</v>
      </c>
      <c r="G3599">
        <v>8.7950999999999997</v>
      </c>
      <c r="H3599">
        <v>38.567</v>
      </c>
    </row>
    <row r="3600" spans="1:8" x14ac:dyDescent="0.25">
      <c r="A3600" t="s">
        <v>3606</v>
      </c>
      <c r="B3600">
        <v>60544</v>
      </c>
      <c r="C3600">
        <v>5707446850002</v>
      </c>
      <c r="D3600">
        <v>9.98</v>
      </c>
      <c r="E3600">
        <v>9.2200000000000006</v>
      </c>
      <c r="F3600" s="3">
        <v>7.2000000000000008E-2</v>
      </c>
      <c r="G3600">
        <v>8.3384999999999998</v>
      </c>
      <c r="H3600">
        <v>52.332999999999998</v>
      </c>
    </row>
    <row r="3601" spans="1:8" x14ac:dyDescent="0.25">
      <c r="A3601" t="s">
        <v>3607</v>
      </c>
      <c r="B3601">
        <v>62074</v>
      </c>
      <c r="C3601">
        <v>5707446618060</v>
      </c>
      <c r="D3601">
        <v>19.899999999999999</v>
      </c>
      <c r="E3601">
        <v>9.1199999999999992</v>
      </c>
      <c r="F3601" s="3">
        <v>0.50970000000000004</v>
      </c>
      <c r="G3601">
        <v>7.9154999999999998</v>
      </c>
      <c r="H3601">
        <v>4.7329999999999997</v>
      </c>
    </row>
    <row r="3602" spans="1:8" x14ac:dyDescent="0.25">
      <c r="A3602" t="s">
        <v>3608</v>
      </c>
      <c r="B3602">
        <v>56302</v>
      </c>
      <c r="C3602">
        <v>5707446618077</v>
      </c>
      <c r="D3602">
        <v>19.899999999999999</v>
      </c>
      <c r="E3602">
        <v>9.33</v>
      </c>
      <c r="F3602" s="3">
        <v>0.48359999999999997</v>
      </c>
      <c r="G3602">
        <v>8.4359000000000002</v>
      </c>
      <c r="H3602">
        <v>4.0330000000000004</v>
      </c>
    </row>
    <row r="3603" spans="1:8" x14ac:dyDescent="0.25">
      <c r="A3603" t="s">
        <v>3609</v>
      </c>
      <c r="B3603">
        <v>56301</v>
      </c>
      <c r="C3603">
        <v>5707446618046</v>
      </c>
      <c r="D3603">
        <v>19.899999999999999</v>
      </c>
      <c r="E3603">
        <v>8.5500000000000007</v>
      </c>
      <c r="F3603" s="3">
        <v>0.51829999999999998</v>
      </c>
      <c r="G3603">
        <v>7.7447999999999997</v>
      </c>
      <c r="H3603">
        <v>2.8330000000000002</v>
      </c>
    </row>
    <row r="3604" spans="1:8" x14ac:dyDescent="0.25">
      <c r="A3604" t="s">
        <v>3610</v>
      </c>
      <c r="B3604">
        <v>56298</v>
      </c>
      <c r="C3604">
        <v>5707446618015</v>
      </c>
      <c r="D3604">
        <v>19.899999999999999</v>
      </c>
      <c r="E3604">
        <v>8.8800000000000008</v>
      </c>
      <c r="F3604" s="3">
        <v>0.54079999999999995</v>
      </c>
      <c r="G3604">
        <v>7.2968999999999999</v>
      </c>
      <c r="H3604">
        <v>2.2000000000000002</v>
      </c>
    </row>
    <row r="3605" spans="1:8" x14ac:dyDescent="0.25">
      <c r="A3605" t="s">
        <v>3611</v>
      </c>
      <c r="B3605">
        <v>56303</v>
      </c>
      <c r="C3605">
        <v>5707446618091</v>
      </c>
      <c r="D3605">
        <v>19.899999999999999</v>
      </c>
      <c r="E3605">
        <v>9.1</v>
      </c>
      <c r="F3605" s="3">
        <v>0.45479999999999998</v>
      </c>
      <c r="G3605">
        <v>9.0093999999999994</v>
      </c>
      <c r="H3605">
        <v>1.667</v>
      </c>
    </row>
    <row r="3606" spans="1:8" x14ac:dyDescent="0.25">
      <c r="A3606" t="s">
        <v>3612</v>
      </c>
      <c r="B3606">
        <v>60548</v>
      </c>
      <c r="C3606">
        <v>5707446618756</v>
      </c>
      <c r="D3606">
        <v>19.899999999999999</v>
      </c>
      <c r="E3606">
        <v>9.9600000000000009</v>
      </c>
      <c r="F3606" s="3">
        <v>0.45270000000000005</v>
      </c>
      <c r="G3606">
        <v>9.0500000000000007</v>
      </c>
      <c r="H3606">
        <v>0.6</v>
      </c>
    </row>
    <row r="3607" spans="1:8" x14ac:dyDescent="0.25">
      <c r="A3607" t="s">
        <v>3613</v>
      </c>
      <c r="B3607">
        <v>56299</v>
      </c>
      <c r="C3607">
        <v>5707446618022</v>
      </c>
      <c r="D3607">
        <v>19.899999999999999</v>
      </c>
      <c r="E3607">
        <v>9.9</v>
      </c>
      <c r="F3607" s="3">
        <v>0.45630000000000004</v>
      </c>
      <c r="G3607">
        <v>8.9795999999999996</v>
      </c>
      <c r="H3607">
        <v>2.2999999999999998</v>
      </c>
    </row>
    <row r="3608" spans="1:8" x14ac:dyDescent="0.25">
      <c r="A3608" t="s">
        <v>3614</v>
      </c>
      <c r="B3608">
        <v>56305</v>
      </c>
      <c r="C3608">
        <v>5707446618152</v>
      </c>
      <c r="D3608">
        <v>19.899999999999999</v>
      </c>
      <c r="E3608">
        <v>9.48</v>
      </c>
      <c r="F3608" s="3">
        <v>0.47600000000000003</v>
      </c>
      <c r="G3608">
        <v>8.5863999999999994</v>
      </c>
      <c r="H3608">
        <v>7.0330000000000004</v>
      </c>
    </row>
    <row r="3609" spans="1:8" x14ac:dyDescent="0.25">
      <c r="A3609" t="s">
        <v>3615</v>
      </c>
      <c r="B3609">
        <v>56297</v>
      </c>
      <c r="C3609">
        <v>5707446618008</v>
      </c>
      <c r="D3609">
        <v>19.899999999999999</v>
      </c>
      <c r="E3609">
        <v>8.6300000000000008</v>
      </c>
      <c r="F3609" s="3">
        <v>0.52329999999999999</v>
      </c>
      <c r="G3609">
        <v>7.6454000000000004</v>
      </c>
      <c r="H3609">
        <v>7.0670000000000002</v>
      </c>
    </row>
    <row r="3610" spans="1:8" x14ac:dyDescent="0.25">
      <c r="A3610" t="s">
        <v>3616</v>
      </c>
      <c r="B3610">
        <v>58661</v>
      </c>
      <c r="C3610">
        <v>5707446618206</v>
      </c>
      <c r="D3610">
        <v>19.899999999999999</v>
      </c>
      <c r="E3610">
        <v>9.14</v>
      </c>
      <c r="F3610" s="3">
        <v>0.49090000000000006</v>
      </c>
      <c r="G3610">
        <v>8.2910000000000004</v>
      </c>
      <c r="H3610">
        <v>0.56699999999999995</v>
      </c>
    </row>
    <row r="3611" spans="1:8" x14ac:dyDescent="0.25">
      <c r="A3611" t="s">
        <v>3617</v>
      </c>
      <c r="B3611">
        <v>58660</v>
      </c>
      <c r="C3611">
        <v>5707446618442</v>
      </c>
      <c r="D3611">
        <v>19.899999999999999</v>
      </c>
      <c r="E3611">
        <v>9.6</v>
      </c>
      <c r="F3611" s="3">
        <v>0.46990000000000004</v>
      </c>
      <c r="G3611">
        <v>8.7080000000000002</v>
      </c>
      <c r="H3611">
        <v>52.067</v>
      </c>
    </row>
    <row r="3612" spans="1:8" x14ac:dyDescent="0.25">
      <c r="A3612" t="s">
        <v>3618</v>
      </c>
      <c r="B3612">
        <v>50549</v>
      </c>
      <c r="C3612">
        <v>7898070111077</v>
      </c>
      <c r="D3612">
        <v>24.9</v>
      </c>
      <c r="E3612">
        <v>12.27</v>
      </c>
      <c r="F3612" s="3">
        <v>0.46009999999999995</v>
      </c>
      <c r="G3612">
        <v>11.139099999999999</v>
      </c>
      <c r="H3612">
        <v>0.2</v>
      </c>
    </row>
    <row r="3613" spans="1:8" x14ac:dyDescent="0.25">
      <c r="A3613" t="s">
        <v>3619</v>
      </c>
      <c r="B3613">
        <v>50550</v>
      </c>
      <c r="C3613">
        <v>7898070111268</v>
      </c>
      <c r="D3613">
        <v>24.9</v>
      </c>
      <c r="E3613">
        <v>13.31</v>
      </c>
      <c r="F3613" s="3">
        <v>0.42020000000000002</v>
      </c>
      <c r="G3613">
        <v>12.1335</v>
      </c>
      <c r="H3613">
        <v>0.56699999999999995</v>
      </c>
    </row>
    <row r="3614" spans="1:8" x14ac:dyDescent="0.25">
      <c r="A3614" t="s">
        <v>3620</v>
      </c>
      <c r="B3614">
        <v>51839</v>
      </c>
      <c r="C3614">
        <v>7898070111930</v>
      </c>
      <c r="D3614">
        <v>24.9</v>
      </c>
      <c r="E3614">
        <v>13.06</v>
      </c>
      <c r="F3614" s="3">
        <v>0.43799999999999994</v>
      </c>
      <c r="G3614">
        <v>11.6896</v>
      </c>
      <c r="H3614">
        <v>0.56699999999999995</v>
      </c>
    </row>
    <row r="3615" spans="1:8" x14ac:dyDescent="0.25">
      <c r="A3615" t="s">
        <v>3621</v>
      </c>
      <c r="B3615">
        <v>50554</v>
      </c>
      <c r="C3615">
        <v>7898070110919</v>
      </c>
      <c r="D3615">
        <v>24.9</v>
      </c>
      <c r="E3615">
        <v>12.72</v>
      </c>
      <c r="F3615" s="3">
        <v>0.44650000000000001</v>
      </c>
      <c r="G3615">
        <v>11.479799999999999</v>
      </c>
      <c r="H3615">
        <v>0.13300000000000001</v>
      </c>
    </row>
    <row r="3616" spans="1:8" x14ac:dyDescent="0.25">
      <c r="A3616" t="s">
        <v>3622</v>
      </c>
      <c r="B3616">
        <v>50551</v>
      </c>
      <c r="C3616">
        <v>7898070110827</v>
      </c>
      <c r="D3616">
        <v>24.9</v>
      </c>
      <c r="E3616">
        <v>12.1</v>
      </c>
      <c r="F3616" s="3">
        <v>0.46630000000000005</v>
      </c>
      <c r="G3616">
        <v>10.9849</v>
      </c>
      <c r="H3616">
        <v>0.66700000000000004</v>
      </c>
    </row>
    <row r="3617" spans="1:8" x14ac:dyDescent="0.25">
      <c r="A3617" t="s">
        <v>3623</v>
      </c>
      <c r="B3617">
        <v>61210</v>
      </c>
      <c r="C3617">
        <v>7896001282476</v>
      </c>
      <c r="D3617">
        <v>0</v>
      </c>
      <c r="E3617">
        <v>16.940000000000001</v>
      </c>
      <c r="F3617" s="3">
        <v>0</v>
      </c>
      <c r="G3617">
        <v>15.3698</v>
      </c>
      <c r="H3617">
        <v>0.36699999999999999</v>
      </c>
    </row>
    <row r="3618" spans="1:8" x14ac:dyDescent="0.25">
      <c r="A3618" t="s">
        <v>3624</v>
      </c>
      <c r="B3618">
        <v>23308</v>
      </c>
      <c r="C3618">
        <v>7896001210141</v>
      </c>
      <c r="D3618">
        <v>0</v>
      </c>
      <c r="E3618">
        <v>15.18</v>
      </c>
      <c r="F3618" s="3">
        <v>0</v>
      </c>
      <c r="G3618">
        <v>13.780099999999999</v>
      </c>
      <c r="H3618">
        <v>0</v>
      </c>
    </row>
    <row r="3619" spans="1:8" x14ac:dyDescent="0.25">
      <c r="A3619" t="s">
        <v>3625</v>
      </c>
      <c r="B3619">
        <v>23309</v>
      </c>
      <c r="C3619">
        <v>7896001210196</v>
      </c>
      <c r="D3619">
        <v>0</v>
      </c>
      <c r="E3619">
        <v>15.87</v>
      </c>
      <c r="F3619" s="3">
        <v>0</v>
      </c>
      <c r="G3619">
        <v>14.4033</v>
      </c>
      <c r="H3619">
        <v>0.3</v>
      </c>
    </row>
    <row r="3620" spans="1:8" x14ac:dyDescent="0.25">
      <c r="A3620" t="s">
        <v>3626</v>
      </c>
      <c r="B3620">
        <v>23265</v>
      </c>
      <c r="C3620">
        <v>7896001215245</v>
      </c>
      <c r="D3620">
        <v>0</v>
      </c>
      <c r="E3620">
        <v>15.47</v>
      </c>
      <c r="F3620" s="3">
        <v>0</v>
      </c>
      <c r="G3620">
        <v>14.0426</v>
      </c>
      <c r="H3620">
        <v>0.26700000000000002</v>
      </c>
    </row>
    <row r="3621" spans="1:8" x14ac:dyDescent="0.25">
      <c r="A3621" t="s">
        <v>3627</v>
      </c>
      <c r="B3621">
        <v>23268</v>
      </c>
      <c r="C3621">
        <v>7896001215160</v>
      </c>
      <c r="D3621">
        <v>0</v>
      </c>
      <c r="E3621">
        <v>15.45</v>
      </c>
      <c r="F3621" s="3">
        <v>0</v>
      </c>
      <c r="G3621">
        <v>14.0252</v>
      </c>
      <c r="H3621">
        <v>0.16700000000000001</v>
      </c>
    </row>
    <row r="3622" spans="1:8" x14ac:dyDescent="0.25">
      <c r="A3622" t="s">
        <v>3628</v>
      </c>
      <c r="B3622">
        <v>62551</v>
      </c>
      <c r="C3622">
        <v>7896001200258</v>
      </c>
      <c r="D3622">
        <v>8.76</v>
      </c>
      <c r="E3622">
        <v>15.13</v>
      </c>
      <c r="F3622" s="3">
        <v>-0.65959999999999996</v>
      </c>
      <c r="G3622">
        <v>13.7278</v>
      </c>
      <c r="H3622">
        <v>0.2</v>
      </c>
    </row>
    <row r="3623" spans="1:8" x14ac:dyDescent="0.25">
      <c r="A3623" t="s">
        <v>3629</v>
      </c>
      <c r="B3623">
        <v>57247</v>
      </c>
      <c r="C3623">
        <v>7896001200043</v>
      </c>
      <c r="D3623">
        <v>0</v>
      </c>
      <c r="E3623">
        <v>16.66</v>
      </c>
      <c r="F3623" s="3">
        <v>0</v>
      </c>
      <c r="G3623">
        <v>14.8339</v>
      </c>
      <c r="H3623">
        <v>0.1</v>
      </c>
    </row>
    <row r="3624" spans="1:8" x14ac:dyDescent="0.25">
      <c r="A3624" t="s">
        <v>3630</v>
      </c>
      <c r="B3624">
        <v>6319</v>
      </c>
      <c r="C3624">
        <v>7891032019831</v>
      </c>
      <c r="D3624">
        <v>8.99</v>
      </c>
      <c r="E3624">
        <v>5.35</v>
      </c>
      <c r="F3624" s="3">
        <v>0.29499999999999998</v>
      </c>
      <c r="G3624">
        <v>3.8881999999999999</v>
      </c>
      <c r="H3624">
        <v>6.7000000000000004E-2</v>
      </c>
    </row>
    <row r="3625" spans="1:8" x14ac:dyDescent="0.25">
      <c r="A3625" t="s">
        <v>3631</v>
      </c>
      <c r="B3625">
        <v>6337</v>
      </c>
      <c r="C3625">
        <v>7896214532603</v>
      </c>
      <c r="D3625">
        <v>29.9</v>
      </c>
      <c r="E3625">
        <v>20.190000000000001</v>
      </c>
      <c r="F3625" s="3">
        <v>0.29149999999999998</v>
      </c>
      <c r="G3625">
        <v>18.4193</v>
      </c>
      <c r="H3625">
        <v>1.167</v>
      </c>
    </row>
    <row r="3626" spans="1:8" x14ac:dyDescent="0.25">
      <c r="A3626" t="s">
        <v>3632</v>
      </c>
      <c r="B3626">
        <v>6336</v>
      </c>
      <c r="C3626">
        <v>7896214532207</v>
      </c>
      <c r="D3626">
        <v>29.9</v>
      </c>
      <c r="E3626">
        <v>18.78</v>
      </c>
      <c r="F3626" s="3">
        <v>0.30879999999999996</v>
      </c>
      <c r="G3626">
        <v>17.899899999999999</v>
      </c>
      <c r="H3626">
        <v>1.0669999999999999</v>
      </c>
    </row>
    <row r="3627" spans="1:8" x14ac:dyDescent="0.25">
      <c r="A3627" t="s">
        <v>3633</v>
      </c>
      <c r="B3627">
        <v>6334</v>
      </c>
      <c r="C3627">
        <v>7896214532405</v>
      </c>
      <c r="D3627">
        <v>29.9</v>
      </c>
      <c r="E3627">
        <v>18.71</v>
      </c>
      <c r="F3627" s="3">
        <v>0.30210000000000004</v>
      </c>
      <c r="G3627">
        <v>18.1004</v>
      </c>
      <c r="H3627">
        <v>1.133</v>
      </c>
    </row>
    <row r="3628" spans="1:8" x14ac:dyDescent="0.25">
      <c r="A3628" t="s">
        <v>3634</v>
      </c>
      <c r="B3628">
        <v>6333</v>
      </c>
      <c r="C3628">
        <v>7896214532702</v>
      </c>
      <c r="D3628">
        <v>29.9</v>
      </c>
      <c r="E3628">
        <v>19.510000000000002</v>
      </c>
      <c r="F3628" s="3">
        <v>0.27510000000000001</v>
      </c>
      <c r="G3628">
        <v>18.907399999999999</v>
      </c>
      <c r="H3628">
        <v>2.6669999999999998</v>
      </c>
    </row>
    <row r="3629" spans="1:8" x14ac:dyDescent="0.25">
      <c r="A3629" t="s">
        <v>3635</v>
      </c>
      <c r="B3629">
        <v>6332</v>
      </c>
      <c r="C3629">
        <v>7896214532023</v>
      </c>
      <c r="D3629">
        <v>29.9</v>
      </c>
      <c r="E3629">
        <v>19.420000000000002</v>
      </c>
      <c r="F3629" s="3">
        <v>0.29809999999999998</v>
      </c>
      <c r="G3629">
        <v>18.219799999999999</v>
      </c>
      <c r="H3629">
        <v>0.53300000000000003</v>
      </c>
    </row>
    <row r="3630" spans="1:8" x14ac:dyDescent="0.25">
      <c r="A3630" t="s">
        <v>3636</v>
      </c>
      <c r="B3630">
        <v>14269</v>
      </c>
      <c r="C3630">
        <v>7896214532108</v>
      </c>
      <c r="D3630">
        <v>29.9</v>
      </c>
      <c r="E3630">
        <v>19.23</v>
      </c>
      <c r="F3630" s="3">
        <v>0.28960000000000002</v>
      </c>
      <c r="G3630">
        <v>18.4739</v>
      </c>
      <c r="H3630">
        <v>1.167</v>
      </c>
    </row>
    <row r="3631" spans="1:8" x14ac:dyDescent="0.25">
      <c r="A3631" t="s">
        <v>3637</v>
      </c>
      <c r="B3631">
        <v>17846</v>
      </c>
      <c r="C3631">
        <v>7896214534089</v>
      </c>
      <c r="D3631">
        <v>29.9</v>
      </c>
      <c r="E3631">
        <v>19.43</v>
      </c>
      <c r="F3631" s="3">
        <v>0.29380000000000001</v>
      </c>
      <c r="G3631">
        <v>18.3491</v>
      </c>
      <c r="H3631">
        <v>0.93300000000000005</v>
      </c>
    </row>
    <row r="3632" spans="1:8" x14ac:dyDescent="0.25">
      <c r="A3632" t="s">
        <v>3638</v>
      </c>
      <c r="B3632">
        <v>6327</v>
      </c>
      <c r="C3632">
        <v>7896214532504</v>
      </c>
      <c r="D3632">
        <v>29.9</v>
      </c>
      <c r="E3632">
        <v>18.8</v>
      </c>
      <c r="F3632" s="3">
        <v>0.31530000000000002</v>
      </c>
      <c r="G3632">
        <v>17.707899999999999</v>
      </c>
      <c r="H3632">
        <v>3.2330000000000001</v>
      </c>
    </row>
    <row r="3633" spans="1:8" x14ac:dyDescent="0.25">
      <c r="A3633" t="s">
        <v>3639</v>
      </c>
      <c r="B3633">
        <v>6358</v>
      </c>
      <c r="C3633">
        <v>7896214533037</v>
      </c>
      <c r="D3633">
        <v>32.9</v>
      </c>
      <c r="E3633">
        <v>20.399999999999999</v>
      </c>
      <c r="F3633" s="3">
        <v>0.3357</v>
      </c>
      <c r="G3633">
        <v>18.812799999999999</v>
      </c>
      <c r="H3633">
        <v>1.8</v>
      </c>
    </row>
    <row r="3634" spans="1:8" x14ac:dyDescent="0.25">
      <c r="A3634" t="s">
        <v>3640</v>
      </c>
      <c r="B3634">
        <v>6354</v>
      </c>
      <c r="C3634">
        <v>7896214533051</v>
      </c>
      <c r="D3634">
        <v>32.9</v>
      </c>
      <c r="E3634">
        <v>19.68</v>
      </c>
      <c r="F3634" s="3">
        <v>0.35049999999999998</v>
      </c>
      <c r="G3634">
        <v>18.325099999999999</v>
      </c>
      <c r="H3634">
        <v>1</v>
      </c>
    </row>
    <row r="3635" spans="1:8" x14ac:dyDescent="0.25">
      <c r="A3635" t="s">
        <v>3641</v>
      </c>
      <c r="B3635">
        <v>6353</v>
      </c>
      <c r="C3635">
        <v>7896214533013</v>
      </c>
      <c r="D3635">
        <v>32.9</v>
      </c>
      <c r="E3635">
        <v>19.41</v>
      </c>
      <c r="F3635" s="3">
        <v>0.37369999999999998</v>
      </c>
      <c r="G3635">
        <v>17.560600000000001</v>
      </c>
      <c r="H3635">
        <v>0.73299999999999998</v>
      </c>
    </row>
    <row r="3636" spans="1:8" x14ac:dyDescent="0.25">
      <c r="A3636" t="s">
        <v>3642</v>
      </c>
      <c r="B3636">
        <v>6352</v>
      </c>
      <c r="C3636">
        <v>7896214533075</v>
      </c>
      <c r="D3636">
        <v>32.9</v>
      </c>
      <c r="E3636">
        <v>20.36</v>
      </c>
      <c r="F3636" s="3">
        <v>0.34179999999999999</v>
      </c>
      <c r="G3636">
        <v>18.6127</v>
      </c>
      <c r="H3636">
        <v>1.833</v>
      </c>
    </row>
    <row r="3637" spans="1:8" x14ac:dyDescent="0.25">
      <c r="A3637" t="s">
        <v>3643</v>
      </c>
      <c r="B3637">
        <v>6351</v>
      </c>
      <c r="C3637">
        <v>7896214533020</v>
      </c>
      <c r="D3637">
        <v>32.9</v>
      </c>
      <c r="E3637">
        <v>19.18</v>
      </c>
      <c r="F3637" s="3">
        <v>0.37520000000000003</v>
      </c>
      <c r="G3637">
        <v>17.511399999999998</v>
      </c>
      <c r="H3637">
        <v>0.66700000000000004</v>
      </c>
    </row>
    <row r="3638" spans="1:8" x14ac:dyDescent="0.25">
      <c r="A3638" t="s">
        <v>3644</v>
      </c>
      <c r="B3638">
        <v>6348</v>
      </c>
      <c r="C3638">
        <v>7896214533006</v>
      </c>
      <c r="D3638">
        <v>32.9</v>
      </c>
      <c r="E3638">
        <v>19.66</v>
      </c>
      <c r="F3638" s="3">
        <v>0.35240000000000005</v>
      </c>
      <c r="G3638">
        <v>18.2621</v>
      </c>
      <c r="H3638">
        <v>1.9670000000000001</v>
      </c>
    </row>
    <row r="3639" spans="1:8" x14ac:dyDescent="0.25">
      <c r="A3639" t="s">
        <v>3645</v>
      </c>
      <c r="B3639">
        <v>6328</v>
      </c>
      <c r="C3639">
        <v>7896214532948</v>
      </c>
      <c r="D3639">
        <v>22.9</v>
      </c>
      <c r="E3639">
        <v>14.27</v>
      </c>
      <c r="F3639" s="3">
        <v>0.28789999999999999</v>
      </c>
      <c r="G3639">
        <v>14.187900000000001</v>
      </c>
      <c r="H3639">
        <v>0.26700000000000002</v>
      </c>
    </row>
    <row r="3640" spans="1:8" x14ac:dyDescent="0.25">
      <c r="A3640" t="s">
        <v>3646</v>
      </c>
      <c r="B3640">
        <v>13447</v>
      </c>
      <c r="C3640">
        <v>7896214532955</v>
      </c>
      <c r="D3640">
        <v>22.9</v>
      </c>
      <c r="E3640">
        <v>14.8</v>
      </c>
      <c r="F3640" s="3">
        <v>0.30760000000000004</v>
      </c>
      <c r="G3640">
        <v>13.7379</v>
      </c>
      <c r="H3640">
        <v>0.8</v>
      </c>
    </row>
    <row r="3641" spans="1:8" x14ac:dyDescent="0.25">
      <c r="A3641" t="s">
        <v>3647</v>
      </c>
      <c r="B3641">
        <v>6326</v>
      </c>
      <c r="C3641">
        <v>7896214532924</v>
      </c>
      <c r="D3641">
        <v>22.9</v>
      </c>
      <c r="E3641">
        <v>16.32</v>
      </c>
      <c r="F3641" s="3">
        <v>0.25989999999999996</v>
      </c>
      <c r="G3641">
        <v>14.829499999999999</v>
      </c>
      <c r="H3641">
        <v>3.6</v>
      </c>
    </row>
    <row r="3642" spans="1:8" x14ac:dyDescent="0.25">
      <c r="A3642" t="s">
        <v>3648</v>
      </c>
      <c r="B3642">
        <v>23907</v>
      </c>
      <c r="C3642">
        <v>84380957840</v>
      </c>
      <c r="D3642">
        <v>42.9</v>
      </c>
      <c r="E3642">
        <v>30.95</v>
      </c>
      <c r="F3642" s="3">
        <v>0.251</v>
      </c>
      <c r="G3642">
        <v>28.162700000000001</v>
      </c>
      <c r="H3642">
        <v>1.4330000000000001</v>
      </c>
    </row>
    <row r="3643" spans="1:8" x14ac:dyDescent="0.25">
      <c r="A3643" t="s">
        <v>3649</v>
      </c>
      <c r="B3643">
        <v>23902</v>
      </c>
      <c r="C3643">
        <v>84380957147</v>
      </c>
      <c r="D3643">
        <v>42.9</v>
      </c>
      <c r="E3643">
        <v>27.71</v>
      </c>
      <c r="F3643" s="3">
        <v>0.31670000000000004</v>
      </c>
      <c r="G3643">
        <v>25.344999999999999</v>
      </c>
      <c r="H3643">
        <v>0.16700000000000001</v>
      </c>
    </row>
    <row r="3644" spans="1:8" x14ac:dyDescent="0.25">
      <c r="A3644" t="s">
        <v>3650</v>
      </c>
      <c r="B3644">
        <v>23903</v>
      </c>
      <c r="C3644">
        <v>84380958045</v>
      </c>
      <c r="D3644">
        <v>42.9</v>
      </c>
      <c r="E3644">
        <v>24.64</v>
      </c>
      <c r="F3644" s="3">
        <v>0.29339999999999999</v>
      </c>
      <c r="G3644">
        <v>26.344100000000001</v>
      </c>
      <c r="H3644">
        <v>0.16700000000000001</v>
      </c>
    </row>
    <row r="3645" spans="1:8" x14ac:dyDescent="0.25">
      <c r="A3645" t="s">
        <v>3651</v>
      </c>
      <c r="B3645">
        <v>23909</v>
      </c>
      <c r="C3645">
        <v>84380957048</v>
      </c>
      <c r="D3645">
        <v>42.9</v>
      </c>
      <c r="E3645">
        <v>28.3</v>
      </c>
      <c r="F3645" s="3">
        <v>0.31010000000000004</v>
      </c>
      <c r="G3645">
        <v>25.629799999999999</v>
      </c>
      <c r="H3645">
        <v>0.433</v>
      </c>
    </row>
    <row r="3646" spans="1:8" x14ac:dyDescent="0.25">
      <c r="A3646" t="s">
        <v>3652</v>
      </c>
      <c r="B3646">
        <v>23915</v>
      </c>
      <c r="C3646">
        <v>84380982224</v>
      </c>
      <c r="D3646">
        <v>42.9</v>
      </c>
      <c r="E3646">
        <v>30.2</v>
      </c>
      <c r="F3646" s="3">
        <v>0.26729999999999998</v>
      </c>
      <c r="G3646">
        <v>27.4648</v>
      </c>
      <c r="H3646">
        <v>1.2330000000000001</v>
      </c>
    </row>
    <row r="3647" spans="1:8" x14ac:dyDescent="0.25">
      <c r="A3647" t="s">
        <v>3653</v>
      </c>
      <c r="B3647">
        <v>23906</v>
      </c>
      <c r="C3647">
        <v>84380957543</v>
      </c>
      <c r="D3647">
        <v>42.9</v>
      </c>
      <c r="E3647">
        <v>27.49</v>
      </c>
      <c r="F3647" s="3">
        <v>0.33140000000000003</v>
      </c>
      <c r="G3647">
        <v>24.714500000000001</v>
      </c>
      <c r="H3647">
        <v>0.53300000000000003</v>
      </c>
    </row>
    <row r="3648" spans="1:8" x14ac:dyDescent="0.25">
      <c r="A3648" t="s">
        <v>3654</v>
      </c>
      <c r="B3648">
        <v>23913</v>
      </c>
      <c r="C3648">
        <v>84380959042</v>
      </c>
      <c r="D3648">
        <v>42.9</v>
      </c>
      <c r="E3648">
        <v>30.51</v>
      </c>
      <c r="F3648" s="3">
        <v>0.26129999999999998</v>
      </c>
      <c r="G3648">
        <v>27.7225</v>
      </c>
      <c r="H3648">
        <v>0.433</v>
      </c>
    </row>
    <row r="3649" spans="1:8" x14ac:dyDescent="0.25">
      <c r="A3649" t="s">
        <v>3655</v>
      </c>
      <c r="B3649">
        <v>23908</v>
      </c>
      <c r="C3649">
        <v>84380957741</v>
      </c>
      <c r="D3649">
        <v>42.9</v>
      </c>
      <c r="E3649">
        <v>27.83</v>
      </c>
      <c r="F3649" s="3">
        <v>0.26039999999999996</v>
      </c>
      <c r="G3649">
        <v>27.760100000000001</v>
      </c>
      <c r="H3649">
        <v>0.8</v>
      </c>
    </row>
    <row r="3650" spans="1:8" x14ac:dyDescent="0.25">
      <c r="A3650" t="s">
        <v>3656</v>
      </c>
      <c r="B3650">
        <v>23912</v>
      </c>
      <c r="C3650">
        <v>84380957949</v>
      </c>
      <c r="D3650">
        <v>42.9</v>
      </c>
      <c r="E3650">
        <v>28.11</v>
      </c>
      <c r="F3650" s="3">
        <v>0.30030000000000001</v>
      </c>
      <c r="G3650">
        <v>26.050599999999999</v>
      </c>
      <c r="H3650">
        <v>0.46700000000000003</v>
      </c>
    </row>
    <row r="3651" spans="1:8" x14ac:dyDescent="0.25">
      <c r="A3651" t="s">
        <v>3657</v>
      </c>
      <c r="B3651">
        <v>23905</v>
      </c>
      <c r="C3651">
        <v>84380957246</v>
      </c>
      <c r="D3651">
        <v>42.9</v>
      </c>
      <c r="E3651">
        <v>29.07</v>
      </c>
      <c r="F3651" s="3">
        <v>0.27289999999999998</v>
      </c>
      <c r="G3651">
        <v>27.225200000000001</v>
      </c>
      <c r="H3651">
        <v>0.63300000000000001</v>
      </c>
    </row>
    <row r="3652" spans="1:8" x14ac:dyDescent="0.25">
      <c r="A3652" t="s">
        <v>3658</v>
      </c>
      <c r="B3652">
        <v>23901</v>
      </c>
      <c r="C3652">
        <v>84380957444</v>
      </c>
      <c r="D3652">
        <v>42.9</v>
      </c>
      <c r="E3652">
        <v>28.59</v>
      </c>
      <c r="F3652" s="3">
        <v>0.27350000000000002</v>
      </c>
      <c r="G3652">
        <v>27.197099999999999</v>
      </c>
      <c r="H3652">
        <v>1.4</v>
      </c>
    </row>
    <row r="3653" spans="1:8" x14ac:dyDescent="0.25">
      <c r="A3653" t="s">
        <v>3659</v>
      </c>
      <c r="B3653">
        <v>66947</v>
      </c>
      <c r="C3653">
        <v>7891150096233</v>
      </c>
      <c r="D3653">
        <v>19.899999999999999</v>
      </c>
      <c r="E3653">
        <v>19.13</v>
      </c>
      <c r="F3653" s="3">
        <v>3.9E-2</v>
      </c>
      <c r="G3653">
        <v>19.123799999999999</v>
      </c>
      <c r="H3653">
        <v>6.7000000000000004E-2</v>
      </c>
    </row>
    <row r="3654" spans="1:8" x14ac:dyDescent="0.25">
      <c r="A3654" t="s">
        <v>3660</v>
      </c>
      <c r="B3654">
        <v>66948</v>
      </c>
      <c r="C3654">
        <v>7891150096226</v>
      </c>
      <c r="D3654">
        <v>19.899999999999999</v>
      </c>
      <c r="E3654">
        <v>19.7</v>
      </c>
      <c r="F3654" s="3">
        <v>8.8000000000000005E-3</v>
      </c>
      <c r="G3654">
        <v>19.7257</v>
      </c>
      <c r="H3654">
        <v>0.13300000000000001</v>
      </c>
    </row>
    <row r="3655" spans="1:8" x14ac:dyDescent="0.25">
      <c r="A3655" t="s">
        <v>3661</v>
      </c>
      <c r="B3655">
        <v>50558</v>
      </c>
      <c r="C3655">
        <v>7898070110810</v>
      </c>
      <c r="D3655">
        <v>22.9</v>
      </c>
      <c r="E3655">
        <v>11.96</v>
      </c>
      <c r="F3655" s="3">
        <v>0.43340000000000001</v>
      </c>
      <c r="G3655">
        <v>10.856</v>
      </c>
      <c r="H3655">
        <v>0.7</v>
      </c>
    </row>
    <row r="3656" spans="1:8" x14ac:dyDescent="0.25">
      <c r="A3656" t="s">
        <v>3662</v>
      </c>
      <c r="B3656">
        <v>50555</v>
      </c>
      <c r="C3656">
        <v>7898070110940</v>
      </c>
      <c r="D3656">
        <v>22.9</v>
      </c>
      <c r="E3656">
        <v>13.14</v>
      </c>
      <c r="F3656" s="3">
        <v>0.38569999999999999</v>
      </c>
      <c r="G3656">
        <v>11.9496</v>
      </c>
      <c r="H3656">
        <v>0.36699999999999999</v>
      </c>
    </row>
    <row r="3657" spans="1:8" x14ac:dyDescent="0.25">
      <c r="A3657" t="s">
        <v>3663</v>
      </c>
      <c r="B3657">
        <v>50564</v>
      </c>
      <c r="C3657">
        <v>7898070111299</v>
      </c>
      <c r="D3657">
        <v>22.9</v>
      </c>
      <c r="E3657">
        <v>13.18</v>
      </c>
      <c r="F3657" s="3">
        <v>0.3775</v>
      </c>
      <c r="G3657">
        <v>12.137600000000001</v>
      </c>
      <c r="H3657">
        <v>0.26700000000000002</v>
      </c>
    </row>
    <row r="3658" spans="1:8" x14ac:dyDescent="0.25">
      <c r="A3658" t="s">
        <v>3664</v>
      </c>
      <c r="B3658">
        <v>50559</v>
      </c>
      <c r="C3658">
        <v>7898070110834</v>
      </c>
      <c r="D3658">
        <v>22.9</v>
      </c>
      <c r="E3658">
        <v>13.37</v>
      </c>
      <c r="F3658" s="3">
        <v>0.37770000000000004</v>
      </c>
      <c r="G3658">
        <v>12.1333</v>
      </c>
      <c r="H3658">
        <v>0.433</v>
      </c>
    </row>
    <row r="3659" spans="1:8" x14ac:dyDescent="0.25">
      <c r="A3659" t="s">
        <v>3665</v>
      </c>
      <c r="B3659">
        <v>50557</v>
      </c>
      <c r="C3659">
        <v>7898070110803</v>
      </c>
      <c r="D3659">
        <v>22.9</v>
      </c>
      <c r="E3659">
        <v>13</v>
      </c>
      <c r="F3659" s="3">
        <v>0.38789999999999997</v>
      </c>
      <c r="G3659">
        <v>11.899800000000001</v>
      </c>
      <c r="H3659">
        <v>1.2</v>
      </c>
    </row>
    <row r="3660" spans="1:8" x14ac:dyDescent="0.25">
      <c r="A3660" t="s">
        <v>3666</v>
      </c>
      <c r="B3660">
        <v>68254</v>
      </c>
      <c r="C3660">
        <v>7898361662264</v>
      </c>
      <c r="D3660">
        <v>29.9</v>
      </c>
      <c r="E3660">
        <v>20.98</v>
      </c>
      <c r="F3660" s="3">
        <v>0.26919999999999999</v>
      </c>
      <c r="G3660">
        <v>19.0839</v>
      </c>
      <c r="H3660">
        <v>0.23300000000000001</v>
      </c>
    </row>
    <row r="3661" spans="1:8" x14ac:dyDescent="0.25">
      <c r="A3661" t="s">
        <v>3667</v>
      </c>
      <c r="B3661">
        <v>68255</v>
      </c>
      <c r="C3661">
        <v>7898361662356</v>
      </c>
      <c r="D3661">
        <v>29.9</v>
      </c>
      <c r="E3661">
        <v>20.89</v>
      </c>
      <c r="F3661" s="3">
        <v>0.2697</v>
      </c>
      <c r="G3661">
        <v>19.07</v>
      </c>
      <c r="H3661">
        <v>6.7000000000000004E-2</v>
      </c>
    </row>
    <row r="3662" spans="1:8" x14ac:dyDescent="0.25">
      <c r="A3662" t="s">
        <v>3668</v>
      </c>
      <c r="B3662">
        <v>68260</v>
      </c>
      <c r="C3662">
        <v>7898361662547</v>
      </c>
      <c r="D3662">
        <v>29.9</v>
      </c>
      <c r="E3662">
        <v>20.72</v>
      </c>
      <c r="F3662" s="3">
        <v>0.2787</v>
      </c>
      <c r="G3662">
        <v>18.8</v>
      </c>
      <c r="H3662">
        <v>3.3000000000000002E-2</v>
      </c>
    </row>
    <row r="3663" spans="1:8" x14ac:dyDescent="0.25">
      <c r="A3663" t="s">
        <v>3669</v>
      </c>
      <c r="B3663">
        <v>68256</v>
      </c>
      <c r="C3663">
        <v>7898361662554</v>
      </c>
      <c r="D3663">
        <v>29.9</v>
      </c>
      <c r="E3663">
        <v>20.92</v>
      </c>
      <c r="F3663" s="3">
        <v>0.26819999999999999</v>
      </c>
      <c r="G3663">
        <v>19.114999999999998</v>
      </c>
      <c r="H3663">
        <v>3.3000000000000002E-2</v>
      </c>
    </row>
    <row r="3664" spans="1:8" x14ac:dyDescent="0.25">
      <c r="A3664" t="s">
        <v>3670</v>
      </c>
      <c r="B3664">
        <v>31803</v>
      </c>
      <c r="C3664">
        <v>7896007872381</v>
      </c>
      <c r="D3664">
        <v>26.9</v>
      </c>
      <c r="E3664">
        <v>15.99</v>
      </c>
      <c r="F3664" s="3">
        <v>0.38109999999999999</v>
      </c>
      <c r="G3664">
        <v>14.158799999999999</v>
      </c>
      <c r="H3664">
        <v>0.46700000000000003</v>
      </c>
    </row>
    <row r="3665" spans="1:8" x14ac:dyDescent="0.25">
      <c r="A3665" t="s">
        <v>3671</v>
      </c>
      <c r="B3665">
        <v>26294</v>
      </c>
      <c r="C3665">
        <v>7898629610761</v>
      </c>
      <c r="D3665">
        <v>5.49</v>
      </c>
      <c r="E3665">
        <v>1.92</v>
      </c>
      <c r="F3665" s="3">
        <v>0.59009999999999996</v>
      </c>
      <c r="G3665">
        <v>1.7423999999999999</v>
      </c>
      <c r="H3665">
        <v>3.867</v>
      </c>
    </row>
    <row r="3666" spans="1:8" x14ac:dyDescent="0.25">
      <c r="A3666" t="s">
        <v>3672</v>
      </c>
      <c r="B3666">
        <v>7611</v>
      </c>
      <c r="C3666">
        <v>7897303500084</v>
      </c>
      <c r="D3666">
        <v>6.99</v>
      </c>
      <c r="E3666">
        <v>3.33</v>
      </c>
      <c r="F3666" s="3">
        <v>0.38219999999999998</v>
      </c>
      <c r="G3666">
        <v>2.4138999999999999</v>
      </c>
      <c r="H3666">
        <v>2.2999999999999998</v>
      </c>
    </row>
    <row r="3667" spans="1:8" x14ac:dyDescent="0.25">
      <c r="A3667" t="s">
        <v>3673</v>
      </c>
      <c r="B3667">
        <v>7622</v>
      </c>
      <c r="C3667">
        <v>7897303500091</v>
      </c>
      <c r="D3667">
        <v>7.99</v>
      </c>
      <c r="E3667">
        <v>4.37</v>
      </c>
      <c r="F3667" s="3">
        <v>0.32909999999999995</v>
      </c>
      <c r="G3667">
        <v>3.1829999999999998</v>
      </c>
      <c r="H3667">
        <v>2.5</v>
      </c>
    </row>
    <row r="3668" spans="1:8" x14ac:dyDescent="0.25">
      <c r="A3668" t="s">
        <v>3674</v>
      </c>
      <c r="B3668">
        <v>7620</v>
      </c>
      <c r="C3668">
        <v>7897303500152</v>
      </c>
      <c r="D3668">
        <v>8.99</v>
      </c>
      <c r="E3668">
        <v>4.5</v>
      </c>
      <c r="F3668" s="3">
        <v>0.36329999999999996</v>
      </c>
      <c r="G3668">
        <v>3.2744</v>
      </c>
      <c r="H3668">
        <v>2.0329999999999999</v>
      </c>
    </row>
    <row r="3669" spans="1:8" x14ac:dyDescent="0.25">
      <c r="A3669" t="s">
        <v>3675</v>
      </c>
      <c r="B3669">
        <v>63551</v>
      </c>
      <c r="C3669">
        <v>7894900184174</v>
      </c>
      <c r="D3669">
        <v>4.99</v>
      </c>
      <c r="E3669">
        <v>4.38</v>
      </c>
      <c r="F3669" s="3">
        <v>0.13159999999999999</v>
      </c>
      <c r="G3669">
        <v>3.8717000000000001</v>
      </c>
      <c r="H3669">
        <v>15.5</v>
      </c>
    </row>
    <row r="3670" spans="1:8" x14ac:dyDescent="0.25">
      <c r="A3670" t="s">
        <v>3676</v>
      </c>
      <c r="B3670">
        <v>60853</v>
      </c>
      <c r="C3670">
        <v>7894900184075</v>
      </c>
      <c r="D3670">
        <v>4.99</v>
      </c>
      <c r="E3670">
        <v>3.48</v>
      </c>
      <c r="F3670" s="3">
        <v>0.2772</v>
      </c>
      <c r="G3670">
        <v>3.1453000000000002</v>
      </c>
      <c r="H3670">
        <v>9.6669999999999998</v>
      </c>
    </row>
    <row r="3671" spans="1:8" x14ac:dyDescent="0.25">
      <c r="A3671" t="s">
        <v>3677</v>
      </c>
      <c r="B3671">
        <v>6021</v>
      </c>
      <c r="C3671">
        <v>7891095002498</v>
      </c>
      <c r="D3671">
        <v>28.9</v>
      </c>
      <c r="E3671">
        <v>15.57</v>
      </c>
      <c r="F3671" s="3">
        <v>0.33600000000000002</v>
      </c>
      <c r="G3671">
        <v>11.313599999999999</v>
      </c>
      <c r="H3671">
        <v>0.23300000000000001</v>
      </c>
    </row>
    <row r="3672" spans="1:8" x14ac:dyDescent="0.25">
      <c r="A3672" t="s">
        <v>3678</v>
      </c>
      <c r="B3672">
        <v>65539</v>
      </c>
      <c r="C3672">
        <v>8001876002169</v>
      </c>
      <c r="D3672">
        <v>13.9</v>
      </c>
      <c r="E3672">
        <v>10.18</v>
      </c>
      <c r="F3672" s="3">
        <v>0.24780000000000002</v>
      </c>
      <c r="G3672">
        <v>9.4827999999999992</v>
      </c>
      <c r="H3672">
        <v>1.1000000000000001</v>
      </c>
    </row>
    <row r="3673" spans="1:8" x14ac:dyDescent="0.25">
      <c r="A3673" t="s">
        <v>3679</v>
      </c>
      <c r="B3673">
        <v>65736</v>
      </c>
      <c r="C3673">
        <v>7898662050357</v>
      </c>
      <c r="D3673">
        <v>6.9</v>
      </c>
      <c r="E3673">
        <v>4.42</v>
      </c>
      <c r="F3673" s="3">
        <v>0.32619999999999999</v>
      </c>
      <c r="G3673">
        <v>4.0107999999999997</v>
      </c>
      <c r="H3673">
        <v>2.2000000000000002</v>
      </c>
    </row>
    <row r="3674" spans="1:8" x14ac:dyDescent="0.25">
      <c r="A3674" t="s">
        <v>3680</v>
      </c>
      <c r="B3674">
        <v>65738</v>
      </c>
      <c r="C3674">
        <v>7898904189036</v>
      </c>
      <c r="D3674">
        <v>9.9</v>
      </c>
      <c r="E3674">
        <v>7.05</v>
      </c>
      <c r="F3674" s="3">
        <v>0.26140000000000002</v>
      </c>
      <c r="G3674">
        <v>6.3967000000000001</v>
      </c>
      <c r="H3674">
        <v>1.667</v>
      </c>
    </row>
    <row r="3675" spans="1:8" x14ac:dyDescent="0.25">
      <c r="A3675" t="s">
        <v>3681</v>
      </c>
      <c r="B3675">
        <v>67234</v>
      </c>
      <c r="C3675">
        <v>7898970476092</v>
      </c>
      <c r="D3675">
        <v>12.9</v>
      </c>
      <c r="E3675">
        <v>12.11</v>
      </c>
      <c r="F3675" s="3">
        <v>5.57E-2</v>
      </c>
      <c r="G3675">
        <v>10.9879</v>
      </c>
      <c r="H3675">
        <v>0.83299999999999996</v>
      </c>
    </row>
    <row r="3676" spans="1:8" x14ac:dyDescent="0.25">
      <c r="A3676" t="s">
        <v>3682</v>
      </c>
      <c r="B3676">
        <v>67997</v>
      </c>
      <c r="C3676">
        <v>7898994905233</v>
      </c>
      <c r="D3676">
        <v>29.9</v>
      </c>
      <c r="E3676">
        <v>19.739999999999998</v>
      </c>
      <c r="F3676" s="3">
        <v>0.3085</v>
      </c>
      <c r="G3676">
        <v>17.910900000000002</v>
      </c>
      <c r="H3676">
        <v>0.8</v>
      </c>
    </row>
    <row r="3677" spans="1:8" x14ac:dyDescent="0.25">
      <c r="A3677" t="s">
        <v>3683</v>
      </c>
      <c r="B3677">
        <v>58171</v>
      </c>
      <c r="C3677">
        <v>7898267580143</v>
      </c>
      <c r="D3677">
        <v>11.9</v>
      </c>
      <c r="E3677">
        <v>7.58</v>
      </c>
      <c r="F3677" s="3">
        <v>0.32929999999999998</v>
      </c>
      <c r="G3677">
        <v>6.8807999999999998</v>
      </c>
      <c r="H3677">
        <v>4.5330000000000004</v>
      </c>
    </row>
    <row r="3678" spans="1:8" x14ac:dyDescent="0.25">
      <c r="A3678" t="s">
        <v>3684</v>
      </c>
      <c r="B3678">
        <v>58170</v>
      </c>
      <c r="C3678">
        <v>7898267580259</v>
      </c>
      <c r="D3678">
        <v>18.899999999999999</v>
      </c>
      <c r="E3678">
        <v>12.16</v>
      </c>
      <c r="F3678" s="3">
        <v>0.29770000000000002</v>
      </c>
      <c r="G3678">
        <v>11.5244</v>
      </c>
      <c r="H3678">
        <v>5</v>
      </c>
    </row>
    <row r="3679" spans="1:8" x14ac:dyDescent="0.25">
      <c r="A3679" t="s">
        <v>3685</v>
      </c>
      <c r="B3679">
        <v>58169</v>
      </c>
      <c r="C3679">
        <v>7898267580181</v>
      </c>
      <c r="D3679">
        <v>22.9</v>
      </c>
      <c r="E3679">
        <v>13.82</v>
      </c>
      <c r="F3679" s="3">
        <v>0.35979999999999995</v>
      </c>
      <c r="G3679">
        <v>12.541499999999999</v>
      </c>
      <c r="H3679">
        <v>1.9670000000000001</v>
      </c>
    </row>
    <row r="3680" spans="1:8" x14ac:dyDescent="0.25">
      <c r="A3680" t="s">
        <v>3686</v>
      </c>
      <c r="B3680">
        <v>60307</v>
      </c>
      <c r="C3680">
        <v>7898267580235</v>
      </c>
      <c r="D3680">
        <v>28.77</v>
      </c>
      <c r="E3680">
        <v>19.75</v>
      </c>
      <c r="F3680" s="3">
        <v>0.28460000000000002</v>
      </c>
      <c r="G3680">
        <v>17.924499999999998</v>
      </c>
      <c r="H3680">
        <v>2.4</v>
      </c>
    </row>
    <row r="3681" spans="1:8" x14ac:dyDescent="0.25">
      <c r="A3681" t="s">
        <v>3687</v>
      </c>
      <c r="B3681">
        <v>65486</v>
      </c>
      <c r="C3681">
        <v>7898904189210</v>
      </c>
      <c r="D3681">
        <v>13.9</v>
      </c>
      <c r="E3681">
        <v>8.61</v>
      </c>
      <c r="F3681" s="3">
        <v>0.3407</v>
      </c>
      <c r="G3681">
        <v>7.8787000000000003</v>
      </c>
      <c r="H3681">
        <v>2.0670000000000002</v>
      </c>
    </row>
    <row r="3682" spans="1:8" x14ac:dyDescent="0.25">
      <c r="A3682" t="s">
        <v>3688</v>
      </c>
      <c r="B3682">
        <v>65489</v>
      </c>
      <c r="C3682">
        <v>7898904189746</v>
      </c>
      <c r="D3682">
        <v>24.9</v>
      </c>
      <c r="E3682">
        <v>16.2</v>
      </c>
      <c r="F3682" s="3">
        <v>0.31690000000000002</v>
      </c>
      <c r="G3682">
        <v>14.706</v>
      </c>
      <c r="H3682">
        <v>1.0329999999999999</v>
      </c>
    </row>
    <row r="3683" spans="1:8" x14ac:dyDescent="0.25">
      <c r="A3683" t="s">
        <v>3689</v>
      </c>
      <c r="B3683">
        <v>65485</v>
      </c>
      <c r="C3683">
        <v>7898904189142</v>
      </c>
      <c r="D3683">
        <v>12.9</v>
      </c>
      <c r="E3683">
        <v>8</v>
      </c>
      <c r="F3683" s="3">
        <v>0.33979999999999999</v>
      </c>
      <c r="G3683">
        <v>7.3235999999999999</v>
      </c>
      <c r="H3683">
        <v>1.3</v>
      </c>
    </row>
    <row r="3684" spans="1:8" x14ac:dyDescent="0.25">
      <c r="A3684" t="s">
        <v>3690</v>
      </c>
      <c r="B3684">
        <v>65488</v>
      </c>
      <c r="C3684">
        <v>7898904189562</v>
      </c>
      <c r="D3684">
        <v>23.9</v>
      </c>
      <c r="E3684">
        <v>14.63</v>
      </c>
      <c r="F3684" s="3">
        <v>0.35200000000000004</v>
      </c>
      <c r="G3684">
        <v>13.2774</v>
      </c>
      <c r="H3684">
        <v>0.66700000000000004</v>
      </c>
    </row>
    <row r="3685" spans="1:8" x14ac:dyDescent="0.25">
      <c r="A3685" t="s">
        <v>3691</v>
      </c>
      <c r="B3685">
        <v>67994</v>
      </c>
      <c r="C3685">
        <v>7898697310006</v>
      </c>
      <c r="D3685">
        <v>26.9</v>
      </c>
      <c r="E3685">
        <v>16.97</v>
      </c>
      <c r="F3685" s="3">
        <v>0.33500000000000002</v>
      </c>
      <c r="G3685">
        <v>15.398999999999999</v>
      </c>
      <c r="H3685">
        <v>1.0329999999999999</v>
      </c>
    </row>
    <row r="3686" spans="1:8" x14ac:dyDescent="0.25">
      <c r="A3686" t="s">
        <v>3692</v>
      </c>
      <c r="B3686">
        <v>64807</v>
      </c>
      <c r="C3686">
        <v>7896292330061</v>
      </c>
      <c r="D3686">
        <v>4.49</v>
      </c>
      <c r="E3686">
        <v>3.1</v>
      </c>
      <c r="F3686" s="3">
        <v>0.28139999999999998</v>
      </c>
      <c r="G3686">
        <v>2.8113999999999999</v>
      </c>
      <c r="H3686">
        <v>20.766999999999999</v>
      </c>
    </row>
    <row r="3687" spans="1:8" x14ac:dyDescent="0.25">
      <c r="A3687" t="s">
        <v>3693</v>
      </c>
      <c r="B3687">
        <v>65732</v>
      </c>
      <c r="C3687">
        <v>7898662050340</v>
      </c>
      <c r="D3687">
        <v>5.9</v>
      </c>
      <c r="E3687">
        <v>3.95</v>
      </c>
      <c r="F3687" s="3">
        <v>0.2994</v>
      </c>
      <c r="G3687">
        <v>3.5878999999999999</v>
      </c>
      <c r="H3687">
        <v>2.9670000000000001</v>
      </c>
    </row>
    <row r="3688" spans="1:8" x14ac:dyDescent="0.25">
      <c r="A3688" t="s">
        <v>3694</v>
      </c>
      <c r="B3688">
        <v>65737</v>
      </c>
      <c r="C3688">
        <v>7898904189012</v>
      </c>
      <c r="D3688">
        <v>8.9</v>
      </c>
      <c r="E3688">
        <v>6.34</v>
      </c>
      <c r="F3688" s="3">
        <v>0.26069999999999999</v>
      </c>
      <c r="G3688">
        <v>5.7561</v>
      </c>
      <c r="H3688">
        <v>2.0329999999999999</v>
      </c>
    </row>
    <row r="3689" spans="1:8" x14ac:dyDescent="0.25">
      <c r="A3689" t="s">
        <v>3695</v>
      </c>
      <c r="B3689">
        <v>59987</v>
      </c>
      <c r="C3689">
        <v>7891048014219</v>
      </c>
      <c r="D3689">
        <v>10.9</v>
      </c>
      <c r="E3689">
        <v>6.27</v>
      </c>
      <c r="F3689" s="3">
        <v>0.38539999999999996</v>
      </c>
      <c r="G3689">
        <v>5.6905000000000001</v>
      </c>
      <c r="H3689">
        <v>4.0999999999999996</v>
      </c>
    </row>
    <row r="3690" spans="1:8" x14ac:dyDescent="0.25">
      <c r="A3690" t="s">
        <v>3696</v>
      </c>
      <c r="B3690">
        <v>60435</v>
      </c>
      <c r="C3690">
        <v>7891048014165</v>
      </c>
      <c r="D3690">
        <v>11.9</v>
      </c>
      <c r="E3690">
        <v>6.28</v>
      </c>
      <c r="F3690" s="3">
        <v>0.42859999999999998</v>
      </c>
      <c r="G3690">
        <v>5.6990999999999996</v>
      </c>
      <c r="H3690">
        <v>0.46700000000000003</v>
      </c>
    </row>
    <row r="3691" spans="1:8" x14ac:dyDescent="0.25">
      <c r="A3691" t="s">
        <v>3697</v>
      </c>
      <c r="B3691">
        <v>60433</v>
      </c>
      <c r="C3691">
        <v>7891048014349</v>
      </c>
      <c r="D3691">
        <v>6.9</v>
      </c>
      <c r="E3691">
        <v>3.92</v>
      </c>
      <c r="F3691" s="3">
        <v>0.39189999999999997</v>
      </c>
      <c r="G3691">
        <v>3.5573000000000001</v>
      </c>
      <c r="H3691">
        <v>2.0670000000000002</v>
      </c>
    </row>
    <row r="3692" spans="1:8" x14ac:dyDescent="0.25">
      <c r="A3692" t="s">
        <v>3698</v>
      </c>
      <c r="B3692">
        <v>30135</v>
      </c>
      <c r="C3692">
        <v>7896283000409</v>
      </c>
      <c r="D3692">
        <v>35.9</v>
      </c>
      <c r="E3692">
        <v>24.59</v>
      </c>
      <c r="F3692" s="3">
        <v>0.28589999999999999</v>
      </c>
      <c r="G3692">
        <v>22.314800000000002</v>
      </c>
      <c r="H3692">
        <v>5.5</v>
      </c>
    </row>
    <row r="3693" spans="1:8" x14ac:dyDescent="0.25">
      <c r="A3693" t="s">
        <v>3699</v>
      </c>
      <c r="B3693">
        <v>30131</v>
      </c>
      <c r="C3693">
        <v>7896283000492</v>
      </c>
      <c r="D3693">
        <v>15.9</v>
      </c>
      <c r="E3693">
        <v>9.57</v>
      </c>
      <c r="F3693" s="3">
        <v>0.34990000000000004</v>
      </c>
      <c r="G3693">
        <v>8.8656000000000006</v>
      </c>
      <c r="H3693">
        <v>5.8</v>
      </c>
    </row>
    <row r="3694" spans="1:8" x14ac:dyDescent="0.25">
      <c r="A3694" t="s">
        <v>3700</v>
      </c>
      <c r="B3694">
        <v>7418</v>
      </c>
      <c r="C3694">
        <v>7896283000430</v>
      </c>
      <c r="D3694">
        <v>15.9</v>
      </c>
      <c r="E3694">
        <v>9.24</v>
      </c>
      <c r="F3694" s="3">
        <v>0.37959999999999999</v>
      </c>
      <c r="G3694">
        <v>8.3933999999999997</v>
      </c>
      <c r="H3694">
        <v>5.7</v>
      </c>
    </row>
    <row r="3695" spans="1:8" x14ac:dyDescent="0.25">
      <c r="A3695" t="s">
        <v>3701</v>
      </c>
      <c r="B3695">
        <v>7419</v>
      </c>
      <c r="C3695">
        <v>7896283000508</v>
      </c>
      <c r="D3695">
        <v>15.9</v>
      </c>
      <c r="E3695">
        <v>9.58</v>
      </c>
      <c r="F3695" s="3">
        <v>0.36070000000000002</v>
      </c>
      <c r="G3695">
        <v>8.6936999999999998</v>
      </c>
      <c r="H3695">
        <v>0.33300000000000002</v>
      </c>
    </row>
    <row r="3696" spans="1:8" x14ac:dyDescent="0.25">
      <c r="A3696" t="s">
        <v>3702</v>
      </c>
      <c r="B3696">
        <v>43631</v>
      </c>
      <c r="C3696">
        <v>7896283006234</v>
      </c>
      <c r="D3696">
        <v>15.9</v>
      </c>
      <c r="E3696">
        <v>9.36</v>
      </c>
      <c r="F3696" s="3">
        <v>0.37189999999999995</v>
      </c>
      <c r="G3696">
        <v>8.5161999999999995</v>
      </c>
      <c r="H3696">
        <v>3</v>
      </c>
    </row>
    <row r="3697" spans="1:8" x14ac:dyDescent="0.25">
      <c r="A3697" t="s">
        <v>3703</v>
      </c>
      <c r="B3697">
        <v>30132</v>
      </c>
      <c r="C3697">
        <v>7896283000157</v>
      </c>
      <c r="D3697">
        <v>15.9</v>
      </c>
      <c r="E3697">
        <v>9.35</v>
      </c>
      <c r="F3697" s="3">
        <v>0.38290000000000002</v>
      </c>
      <c r="G3697">
        <v>8.3407999999999998</v>
      </c>
      <c r="H3697">
        <v>5.7670000000000003</v>
      </c>
    </row>
    <row r="3698" spans="1:8" x14ac:dyDescent="0.25">
      <c r="A3698" t="s">
        <v>3704</v>
      </c>
      <c r="B3698">
        <v>7428</v>
      </c>
      <c r="C3698">
        <v>7896283002434</v>
      </c>
      <c r="D3698">
        <v>15.9</v>
      </c>
      <c r="E3698">
        <v>9.34</v>
      </c>
      <c r="F3698" s="3">
        <v>0.37459999999999999</v>
      </c>
      <c r="G3698">
        <v>8.4738000000000007</v>
      </c>
      <c r="H3698">
        <v>0.46700000000000003</v>
      </c>
    </row>
    <row r="3699" spans="1:8" x14ac:dyDescent="0.25">
      <c r="A3699" t="s">
        <v>3705</v>
      </c>
      <c r="B3699">
        <v>30134</v>
      </c>
      <c r="C3699">
        <v>7896283002427</v>
      </c>
      <c r="D3699">
        <v>15.9</v>
      </c>
      <c r="E3699">
        <v>9.27</v>
      </c>
      <c r="F3699" s="3">
        <v>0.37859999999999999</v>
      </c>
      <c r="G3699">
        <v>8.4088999999999992</v>
      </c>
      <c r="H3699">
        <v>3.7669999999999999</v>
      </c>
    </row>
    <row r="3700" spans="1:8" x14ac:dyDescent="0.25">
      <c r="A3700" t="s">
        <v>3706</v>
      </c>
      <c r="B3700">
        <v>7431</v>
      </c>
      <c r="C3700">
        <v>7896283007491</v>
      </c>
      <c r="D3700">
        <v>15.9</v>
      </c>
      <c r="E3700">
        <v>10.17</v>
      </c>
      <c r="F3700" s="3">
        <v>0.32679999999999998</v>
      </c>
      <c r="G3700">
        <v>9.2333999999999996</v>
      </c>
      <c r="H3700">
        <v>2.4670000000000001</v>
      </c>
    </row>
    <row r="3701" spans="1:8" x14ac:dyDescent="0.25">
      <c r="A3701" t="s">
        <v>3707</v>
      </c>
      <c r="B3701">
        <v>7424</v>
      </c>
      <c r="C3701">
        <v>7896283001093</v>
      </c>
      <c r="D3701">
        <v>35.9</v>
      </c>
      <c r="E3701">
        <v>22.93</v>
      </c>
      <c r="F3701" s="3">
        <v>0.32789999999999997</v>
      </c>
      <c r="G3701">
        <v>20.8079</v>
      </c>
      <c r="H3701">
        <v>0.433</v>
      </c>
    </row>
    <row r="3702" spans="1:8" x14ac:dyDescent="0.25">
      <c r="A3702" t="s">
        <v>3708</v>
      </c>
      <c r="B3702">
        <v>61336</v>
      </c>
      <c r="C3702">
        <v>7896283007293</v>
      </c>
      <c r="D3702">
        <v>35.9</v>
      </c>
      <c r="E3702">
        <v>20.84</v>
      </c>
      <c r="F3702" s="3">
        <v>0.38079999999999997</v>
      </c>
      <c r="G3702">
        <v>18.909400000000002</v>
      </c>
      <c r="H3702">
        <v>1.9330000000000001</v>
      </c>
    </row>
    <row r="3703" spans="1:8" x14ac:dyDescent="0.25">
      <c r="A3703" t="s">
        <v>3709</v>
      </c>
      <c r="B3703">
        <v>59683</v>
      </c>
      <c r="C3703">
        <v>7896283007279</v>
      </c>
      <c r="D3703">
        <v>35.9</v>
      </c>
      <c r="E3703">
        <v>24.5</v>
      </c>
      <c r="F3703" s="3">
        <v>0.28800000000000003</v>
      </c>
      <c r="G3703">
        <v>22.241</v>
      </c>
      <c r="H3703">
        <v>4.0999999999999996</v>
      </c>
    </row>
    <row r="3704" spans="1:8" x14ac:dyDescent="0.25">
      <c r="A3704" t="s">
        <v>3710</v>
      </c>
      <c r="B3704">
        <v>61338</v>
      </c>
      <c r="C3704">
        <v>7896283007286</v>
      </c>
      <c r="D3704">
        <v>35.9</v>
      </c>
      <c r="E3704">
        <v>24.64</v>
      </c>
      <c r="F3704" s="3">
        <v>0.28460000000000002</v>
      </c>
      <c r="G3704">
        <v>22.360700000000001</v>
      </c>
      <c r="H3704">
        <v>1.4670000000000001</v>
      </c>
    </row>
    <row r="3705" spans="1:8" x14ac:dyDescent="0.25">
      <c r="A3705" t="s">
        <v>3711</v>
      </c>
      <c r="B3705">
        <v>59684</v>
      </c>
      <c r="C3705">
        <v>7896283007262</v>
      </c>
      <c r="D3705">
        <v>15.9</v>
      </c>
      <c r="E3705">
        <v>9.42</v>
      </c>
      <c r="F3705" s="3">
        <v>0.37270000000000003</v>
      </c>
      <c r="G3705">
        <v>8.5029000000000003</v>
      </c>
      <c r="H3705">
        <v>7.3330000000000002</v>
      </c>
    </row>
    <row r="3706" spans="1:8" x14ac:dyDescent="0.25">
      <c r="A3706" t="s">
        <v>3712</v>
      </c>
      <c r="B3706">
        <v>7399</v>
      </c>
      <c r="C3706">
        <v>7896496972203</v>
      </c>
      <c r="D3706">
        <v>12.9</v>
      </c>
      <c r="E3706">
        <v>10.7</v>
      </c>
      <c r="F3706" s="3">
        <v>0.12330000000000001</v>
      </c>
      <c r="G3706">
        <v>7.7941000000000003</v>
      </c>
      <c r="H3706">
        <v>3.2</v>
      </c>
    </row>
    <row r="3707" spans="1:8" x14ac:dyDescent="0.25">
      <c r="A3707" t="s">
        <v>3713</v>
      </c>
      <c r="B3707">
        <v>7403</v>
      </c>
      <c r="C3707">
        <v>7896496972005</v>
      </c>
      <c r="D3707">
        <v>12.9</v>
      </c>
      <c r="E3707">
        <v>10.68</v>
      </c>
      <c r="F3707" s="3">
        <v>0.12609999999999999</v>
      </c>
      <c r="G3707">
        <v>7.7584999999999997</v>
      </c>
      <c r="H3707">
        <v>3.4329999999999998</v>
      </c>
    </row>
    <row r="3708" spans="1:8" x14ac:dyDescent="0.25">
      <c r="A3708" t="s">
        <v>3714</v>
      </c>
      <c r="B3708">
        <v>62200</v>
      </c>
      <c r="C3708">
        <v>7891150087613</v>
      </c>
      <c r="D3708">
        <v>12.9</v>
      </c>
      <c r="E3708">
        <v>10.73</v>
      </c>
      <c r="F3708" s="3">
        <v>0.1217</v>
      </c>
      <c r="G3708">
        <v>7.8144999999999998</v>
      </c>
      <c r="H3708">
        <v>5.3330000000000002</v>
      </c>
    </row>
    <row r="3709" spans="1:8" x14ac:dyDescent="0.25">
      <c r="A3709" t="s">
        <v>3715</v>
      </c>
      <c r="B3709">
        <v>63934</v>
      </c>
      <c r="C3709">
        <v>7891150090798</v>
      </c>
      <c r="D3709">
        <v>25.9</v>
      </c>
      <c r="E3709">
        <v>14.79</v>
      </c>
      <c r="F3709" s="3">
        <v>0.31120000000000003</v>
      </c>
      <c r="G3709">
        <v>10.7821</v>
      </c>
      <c r="H3709">
        <v>0.36699999999999999</v>
      </c>
    </row>
    <row r="3710" spans="1:8" x14ac:dyDescent="0.25">
      <c r="A3710" t="s">
        <v>3716</v>
      </c>
      <c r="B3710">
        <v>7400</v>
      </c>
      <c r="C3710">
        <v>7891150075450</v>
      </c>
      <c r="D3710">
        <v>34.9</v>
      </c>
      <c r="E3710">
        <v>25.03</v>
      </c>
      <c r="F3710" s="3">
        <v>0.20569999999999999</v>
      </c>
      <c r="G3710">
        <v>18.209900000000001</v>
      </c>
      <c r="H3710">
        <v>5.133</v>
      </c>
    </row>
    <row r="3711" spans="1:8" x14ac:dyDescent="0.25">
      <c r="A3711" t="s">
        <v>3717</v>
      </c>
      <c r="B3711">
        <v>7405</v>
      </c>
      <c r="C3711">
        <v>7891150075443</v>
      </c>
      <c r="D3711">
        <v>34.9</v>
      </c>
      <c r="E3711">
        <v>25.04</v>
      </c>
      <c r="F3711" s="3">
        <v>0.20559999999999998</v>
      </c>
      <c r="G3711">
        <v>18.2148</v>
      </c>
      <c r="H3711">
        <v>14</v>
      </c>
    </row>
    <row r="3712" spans="1:8" x14ac:dyDescent="0.25">
      <c r="A3712" t="s">
        <v>3718</v>
      </c>
      <c r="B3712">
        <v>59521</v>
      </c>
      <c r="C3712">
        <v>7896496995219</v>
      </c>
      <c r="D3712">
        <v>34.9</v>
      </c>
      <c r="E3712">
        <v>25.04</v>
      </c>
      <c r="F3712" s="3">
        <v>0.20559999999999998</v>
      </c>
      <c r="G3712">
        <v>18.214099999999998</v>
      </c>
      <c r="H3712">
        <v>8</v>
      </c>
    </row>
    <row r="3713" spans="1:8" x14ac:dyDescent="0.25">
      <c r="A3713" t="s">
        <v>3719</v>
      </c>
      <c r="B3713">
        <v>62202</v>
      </c>
      <c r="C3713">
        <v>7891150087606</v>
      </c>
      <c r="D3713">
        <v>34.9</v>
      </c>
      <c r="E3713">
        <v>25.04</v>
      </c>
      <c r="F3713" s="3">
        <v>0.20559999999999998</v>
      </c>
      <c r="G3713">
        <v>18.2149</v>
      </c>
      <c r="H3713">
        <v>24.332999999999998</v>
      </c>
    </row>
    <row r="3714" spans="1:8" x14ac:dyDescent="0.25">
      <c r="A3714" t="s">
        <v>3720</v>
      </c>
      <c r="B3714">
        <v>62206</v>
      </c>
      <c r="C3714">
        <v>7891150087637</v>
      </c>
      <c r="D3714">
        <v>19.899999999999999</v>
      </c>
      <c r="E3714">
        <v>12.81</v>
      </c>
      <c r="F3714" s="3">
        <v>0.25920000000000004</v>
      </c>
      <c r="G3714">
        <v>9.3199000000000005</v>
      </c>
      <c r="H3714">
        <v>2.2330000000000001</v>
      </c>
    </row>
    <row r="3715" spans="1:8" x14ac:dyDescent="0.25">
      <c r="A3715" t="s">
        <v>3721</v>
      </c>
      <c r="B3715">
        <v>62204</v>
      </c>
      <c r="C3715">
        <v>7891150087651</v>
      </c>
      <c r="D3715">
        <v>19.899999999999999</v>
      </c>
      <c r="E3715">
        <v>12.81</v>
      </c>
      <c r="F3715" s="3">
        <v>0.25929999999999997</v>
      </c>
      <c r="G3715">
        <v>9.3167000000000009</v>
      </c>
      <c r="H3715">
        <v>0.6</v>
      </c>
    </row>
    <row r="3716" spans="1:8" x14ac:dyDescent="0.25">
      <c r="A3716" t="s">
        <v>3722</v>
      </c>
      <c r="B3716">
        <v>62203</v>
      </c>
      <c r="C3716">
        <v>7891150087644</v>
      </c>
      <c r="D3716">
        <v>19.899999999999999</v>
      </c>
      <c r="E3716">
        <v>12.81</v>
      </c>
      <c r="F3716" s="3">
        <v>0.25929999999999997</v>
      </c>
      <c r="G3716">
        <v>9.3180999999999994</v>
      </c>
      <c r="H3716">
        <v>0.73299999999999998</v>
      </c>
    </row>
    <row r="3717" spans="1:8" x14ac:dyDescent="0.25">
      <c r="A3717" t="s">
        <v>3723</v>
      </c>
      <c r="B3717">
        <v>62205</v>
      </c>
      <c r="C3717">
        <v>7891150087620</v>
      </c>
      <c r="D3717">
        <v>19.899999999999999</v>
      </c>
      <c r="E3717">
        <v>12.78</v>
      </c>
      <c r="F3717" s="3">
        <v>0.25929999999999997</v>
      </c>
      <c r="G3717">
        <v>9.3173999999999992</v>
      </c>
      <c r="H3717">
        <v>1.367</v>
      </c>
    </row>
    <row r="3718" spans="1:8" x14ac:dyDescent="0.25">
      <c r="A3718" t="s">
        <v>3724</v>
      </c>
      <c r="B3718">
        <v>7402</v>
      </c>
      <c r="C3718">
        <v>7896496972104</v>
      </c>
      <c r="D3718">
        <v>12.9</v>
      </c>
      <c r="E3718">
        <v>10.57</v>
      </c>
      <c r="F3718" s="3">
        <v>0.12990000000000002</v>
      </c>
      <c r="G3718">
        <v>7.7088999999999999</v>
      </c>
      <c r="H3718">
        <v>1.5329999999999999</v>
      </c>
    </row>
    <row r="3719" spans="1:8" x14ac:dyDescent="0.25">
      <c r="A3719" t="s">
        <v>3725</v>
      </c>
      <c r="B3719">
        <v>7398</v>
      </c>
      <c r="C3719">
        <v>7896496972111</v>
      </c>
      <c r="D3719">
        <v>34.9</v>
      </c>
      <c r="E3719">
        <v>25.03</v>
      </c>
      <c r="F3719" s="3">
        <v>0.20559999999999998</v>
      </c>
      <c r="G3719">
        <v>18.213100000000001</v>
      </c>
      <c r="H3719">
        <v>5.0670000000000002</v>
      </c>
    </row>
    <row r="3720" spans="1:8" x14ac:dyDescent="0.25">
      <c r="A3720" t="s">
        <v>3726</v>
      </c>
      <c r="B3720">
        <v>67897</v>
      </c>
      <c r="C3720">
        <v>618341767102</v>
      </c>
      <c r="D3720">
        <v>54.9</v>
      </c>
      <c r="E3720">
        <v>46.24</v>
      </c>
      <c r="F3720" s="3">
        <v>0.14319999999999999</v>
      </c>
      <c r="G3720">
        <v>41.959299999999999</v>
      </c>
      <c r="H3720">
        <v>0.13300000000000001</v>
      </c>
    </row>
    <row r="3721" spans="1:8" x14ac:dyDescent="0.25">
      <c r="A3721" t="s">
        <v>3727</v>
      </c>
      <c r="B3721">
        <v>67899</v>
      </c>
      <c r="C3721">
        <v>618341767096</v>
      </c>
      <c r="D3721">
        <v>54.9</v>
      </c>
      <c r="E3721">
        <v>42.48</v>
      </c>
      <c r="F3721" s="3">
        <v>0.20530000000000001</v>
      </c>
      <c r="G3721">
        <v>38.548699999999997</v>
      </c>
      <c r="H3721">
        <v>0.13300000000000001</v>
      </c>
    </row>
    <row r="3722" spans="1:8" x14ac:dyDescent="0.25">
      <c r="A3722" t="s">
        <v>3728</v>
      </c>
      <c r="B3722">
        <v>67896</v>
      </c>
      <c r="C3722">
        <v>736532406866</v>
      </c>
      <c r="D3722">
        <v>59.9</v>
      </c>
      <c r="E3722">
        <v>46.53</v>
      </c>
      <c r="F3722" s="3">
        <v>0.2026</v>
      </c>
      <c r="G3722">
        <v>42.223300000000002</v>
      </c>
      <c r="H3722">
        <v>0</v>
      </c>
    </row>
    <row r="3723" spans="1:8" x14ac:dyDescent="0.25">
      <c r="A3723" t="s">
        <v>3729</v>
      </c>
      <c r="B3723">
        <v>67901</v>
      </c>
      <c r="C3723">
        <v>736532406811</v>
      </c>
      <c r="D3723">
        <v>48.9</v>
      </c>
      <c r="E3723">
        <v>34.42</v>
      </c>
      <c r="F3723" s="3">
        <v>0.26869999999999999</v>
      </c>
      <c r="G3723">
        <v>31.2362</v>
      </c>
      <c r="H3723">
        <v>6.7000000000000004E-2</v>
      </c>
    </row>
    <row r="3724" spans="1:8" x14ac:dyDescent="0.25">
      <c r="A3724" t="s">
        <v>3730</v>
      </c>
      <c r="B3724">
        <v>67900</v>
      </c>
      <c r="C3724">
        <v>736532406828</v>
      </c>
      <c r="D3724">
        <v>48.9</v>
      </c>
      <c r="E3724">
        <v>39.200000000000003</v>
      </c>
      <c r="F3724" s="3">
        <v>0.18010000000000001</v>
      </c>
      <c r="G3724">
        <v>35.570599999999999</v>
      </c>
      <c r="H3724">
        <v>6.7000000000000004E-2</v>
      </c>
    </row>
    <row r="3725" spans="1:8" x14ac:dyDescent="0.25">
      <c r="A3725" t="s">
        <v>3731</v>
      </c>
      <c r="B3725">
        <v>7678</v>
      </c>
      <c r="C3725">
        <v>7896063240124</v>
      </c>
      <c r="D3725">
        <v>19.899999999999999</v>
      </c>
      <c r="E3725">
        <v>12.02</v>
      </c>
      <c r="F3725" s="3">
        <v>0.28670000000000001</v>
      </c>
      <c r="G3725">
        <v>8.7721</v>
      </c>
      <c r="H3725">
        <v>1.1000000000000001</v>
      </c>
    </row>
    <row r="3726" spans="1:8" x14ac:dyDescent="0.25">
      <c r="A3726" t="s">
        <v>3732</v>
      </c>
      <c r="B3726">
        <v>7680</v>
      </c>
      <c r="C3726">
        <v>7896063230057</v>
      </c>
      <c r="D3726">
        <v>19.899999999999999</v>
      </c>
      <c r="E3726">
        <v>13.03</v>
      </c>
      <c r="F3726" s="3">
        <v>0.25140000000000001</v>
      </c>
      <c r="G3726">
        <v>9.4743999999999993</v>
      </c>
      <c r="H3726">
        <v>1.3</v>
      </c>
    </row>
    <row r="3727" spans="1:8" x14ac:dyDescent="0.25">
      <c r="A3727" t="s">
        <v>3733</v>
      </c>
      <c r="B3727">
        <v>9187</v>
      </c>
      <c r="C3727">
        <v>7896058599473</v>
      </c>
      <c r="D3727">
        <v>4.99</v>
      </c>
      <c r="E3727">
        <v>3.01</v>
      </c>
      <c r="F3727" s="3">
        <v>0.35969999999999996</v>
      </c>
      <c r="G3727">
        <v>2.7336</v>
      </c>
      <c r="H3727">
        <v>9.8000000000000007</v>
      </c>
    </row>
    <row r="3728" spans="1:8" x14ac:dyDescent="0.25">
      <c r="A3728" t="s">
        <v>3734</v>
      </c>
      <c r="B3728">
        <v>3946</v>
      </c>
      <c r="C3728">
        <v>7891048014004</v>
      </c>
      <c r="D3728">
        <v>6.9</v>
      </c>
      <c r="E3728">
        <v>3.92</v>
      </c>
      <c r="F3728" s="3">
        <v>0.39189999999999997</v>
      </c>
      <c r="G3728">
        <v>3.5575999999999999</v>
      </c>
      <c r="H3728">
        <v>6.133</v>
      </c>
    </row>
    <row r="3729" spans="1:8" x14ac:dyDescent="0.25">
      <c r="A3729" t="s">
        <v>3735</v>
      </c>
      <c r="B3729">
        <v>3934</v>
      </c>
      <c r="C3729">
        <v>7891048014035</v>
      </c>
      <c r="D3729">
        <v>6.9</v>
      </c>
      <c r="E3729">
        <v>3.92</v>
      </c>
      <c r="F3729" s="3">
        <v>0.39179999999999998</v>
      </c>
      <c r="G3729">
        <v>3.5583999999999998</v>
      </c>
      <c r="H3729">
        <v>2.2000000000000002</v>
      </c>
    </row>
    <row r="3730" spans="1:8" x14ac:dyDescent="0.25">
      <c r="A3730" t="s">
        <v>3736</v>
      </c>
      <c r="B3730">
        <v>19423</v>
      </c>
      <c r="C3730">
        <v>3083680003629</v>
      </c>
      <c r="D3730">
        <v>22.9</v>
      </c>
      <c r="E3730">
        <v>16.73</v>
      </c>
      <c r="F3730" s="3">
        <v>0.28170000000000001</v>
      </c>
      <c r="G3730">
        <v>14.330500000000001</v>
      </c>
      <c r="H3730">
        <v>0.2</v>
      </c>
    </row>
    <row r="3731" spans="1:8" x14ac:dyDescent="0.25">
      <c r="A3731" t="s">
        <v>3737</v>
      </c>
      <c r="B3731">
        <v>19681</v>
      </c>
      <c r="C3731">
        <v>3083681038057</v>
      </c>
      <c r="D3731">
        <v>6.99</v>
      </c>
      <c r="E3731">
        <v>4.95</v>
      </c>
      <c r="F3731" s="3">
        <v>0.26500000000000001</v>
      </c>
      <c r="G3731">
        <v>4.4912000000000001</v>
      </c>
      <c r="H3731">
        <v>8.1</v>
      </c>
    </row>
    <row r="3732" spans="1:8" x14ac:dyDescent="0.25">
      <c r="A3732" t="s">
        <v>3738</v>
      </c>
      <c r="B3732">
        <v>3694</v>
      </c>
      <c r="C3732">
        <v>7896006750734</v>
      </c>
      <c r="D3732">
        <v>10.99</v>
      </c>
      <c r="E3732">
        <v>8.1</v>
      </c>
      <c r="F3732" s="3">
        <v>0.21530000000000002</v>
      </c>
      <c r="G3732">
        <v>6.6460999999999997</v>
      </c>
      <c r="H3732">
        <v>10.967000000000001</v>
      </c>
    </row>
    <row r="3733" spans="1:8" x14ac:dyDescent="0.25">
      <c r="A3733" t="s">
        <v>3739</v>
      </c>
      <c r="B3733">
        <v>9267</v>
      </c>
      <c r="C3733">
        <v>7896006715207</v>
      </c>
      <c r="D3733">
        <v>9.9</v>
      </c>
      <c r="E3733">
        <v>5.91</v>
      </c>
      <c r="F3733" s="3">
        <v>0.36479999999999996</v>
      </c>
      <c r="G3733">
        <v>5.3722000000000003</v>
      </c>
      <c r="H3733">
        <v>10.6</v>
      </c>
    </row>
    <row r="3734" spans="1:8" x14ac:dyDescent="0.25">
      <c r="A3734" t="s">
        <v>3740</v>
      </c>
      <c r="B3734">
        <v>48243</v>
      </c>
      <c r="C3734">
        <v>7891150058880</v>
      </c>
      <c r="D3734">
        <v>6.99</v>
      </c>
      <c r="E3734">
        <v>4.8</v>
      </c>
      <c r="F3734" s="3">
        <v>0.28339999999999999</v>
      </c>
      <c r="G3734">
        <v>4.3621999999999996</v>
      </c>
      <c r="H3734">
        <v>3.2</v>
      </c>
    </row>
    <row r="3735" spans="1:8" x14ac:dyDescent="0.25">
      <c r="A3735" t="s">
        <v>3741</v>
      </c>
      <c r="B3735">
        <v>6707</v>
      </c>
      <c r="C3735">
        <v>7896102501452</v>
      </c>
      <c r="D3735">
        <v>5.99</v>
      </c>
      <c r="E3735">
        <v>4.21</v>
      </c>
      <c r="F3735" s="3">
        <v>0.26910000000000001</v>
      </c>
      <c r="G3735">
        <v>3.8241000000000001</v>
      </c>
      <c r="H3735">
        <v>5.867</v>
      </c>
    </row>
    <row r="3736" spans="1:8" x14ac:dyDescent="0.25">
      <c r="A3736" t="s">
        <v>3742</v>
      </c>
      <c r="B3736">
        <v>3696</v>
      </c>
      <c r="C3736">
        <v>7897122600286</v>
      </c>
      <c r="D3736">
        <v>15.9</v>
      </c>
      <c r="E3736">
        <v>11.01</v>
      </c>
      <c r="F3736" s="3">
        <v>0.2351</v>
      </c>
      <c r="G3736">
        <v>9.2993000000000006</v>
      </c>
      <c r="H3736">
        <v>1.9330000000000001</v>
      </c>
    </row>
    <row r="3737" spans="1:8" x14ac:dyDescent="0.25">
      <c r="A3737" t="s">
        <v>3743</v>
      </c>
      <c r="B3737">
        <v>3697</v>
      </c>
      <c r="C3737">
        <v>7891095911295</v>
      </c>
      <c r="D3737">
        <v>15.99</v>
      </c>
      <c r="E3737">
        <v>8.99</v>
      </c>
      <c r="F3737" s="3">
        <v>0.35850000000000004</v>
      </c>
      <c r="G3737">
        <v>7.38</v>
      </c>
      <c r="H3737">
        <v>11.2</v>
      </c>
    </row>
    <row r="3738" spans="1:8" x14ac:dyDescent="0.25">
      <c r="A3738" t="s">
        <v>3744</v>
      </c>
      <c r="B3738">
        <v>29694</v>
      </c>
      <c r="C3738">
        <v>7896859800563</v>
      </c>
      <c r="D3738">
        <v>7.99</v>
      </c>
      <c r="E3738">
        <v>4.26</v>
      </c>
      <c r="F3738" s="3">
        <v>0.42349999999999999</v>
      </c>
      <c r="G3738">
        <v>3.8673999999999999</v>
      </c>
      <c r="H3738">
        <v>0.2</v>
      </c>
    </row>
    <row r="3739" spans="1:8" x14ac:dyDescent="0.25">
      <c r="A3739" t="s">
        <v>3745</v>
      </c>
      <c r="B3739">
        <v>9464</v>
      </c>
      <c r="C3739">
        <v>7891046021820</v>
      </c>
      <c r="D3739">
        <v>17.899999999999999</v>
      </c>
      <c r="E3739">
        <v>11.3</v>
      </c>
      <c r="F3739" s="3">
        <v>0.26819999999999999</v>
      </c>
      <c r="G3739">
        <v>8.2218999999999998</v>
      </c>
      <c r="H3739">
        <v>11.833</v>
      </c>
    </row>
    <row r="3740" spans="1:8" x14ac:dyDescent="0.25">
      <c r="A3740" t="s">
        <v>3746</v>
      </c>
      <c r="B3740">
        <v>58084</v>
      </c>
      <c r="C3740">
        <v>7891098041814</v>
      </c>
      <c r="D3740">
        <v>3.49</v>
      </c>
      <c r="E3740">
        <v>2.2200000000000002</v>
      </c>
      <c r="F3740" s="3">
        <v>0.37020000000000003</v>
      </c>
      <c r="G3740">
        <v>2.1981000000000002</v>
      </c>
      <c r="H3740">
        <v>21</v>
      </c>
    </row>
    <row r="3741" spans="1:8" x14ac:dyDescent="0.25">
      <c r="A3741" t="s">
        <v>3747</v>
      </c>
      <c r="B3741">
        <v>3891</v>
      </c>
      <c r="C3741">
        <v>7896075300380</v>
      </c>
      <c r="D3741">
        <v>5.9</v>
      </c>
      <c r="E3741">
        <v>2.85</v>
      </c>
      <c r="F3741" s="3">
        <v>0.4698</v>
      </c>
      <c r="G3741">
        <v>2.5823</v>
      </c>
      <c r="H3741">
        <v>12.6</v>
      </c>
    </row>
    <row r="3742" spans="1:8" x14ac:dyDescent="0.25">
      <c r="A3742" t="s">
        <v>3748</v>
      </c>
      <c r="B3742">
        <v>3892</v>
      </c>
      <c r="C3742">
        <v>7896075300359</v>
      </c>
      <c r="D3742">
        <v>4.9000000000000004</v>
      </c>
      <c r="E3742">
        <v>1.52</v>
      </c>
      <c r="F3742" s="3">
        <v>0.62549999999999994</v>
      </c>
      <c r="G3742">
        <v>1.3818999999999999</v>
      </c>
      <c r="H3742">
        <v>19.233000000000001</v>
      </c>
    </row>
    <row r="3743" spans="1:8" x14ac:dyDescent="0.25">
      <c r="A3743" t="s">
        <v>3749</v>
      </c>
      <c r="B3743">
        <v>3893</v>
      </c>
      <c r="C3743">
        <v>7891172145124</v>
      </c>
      <c r="D3743">
        <v>4.5</v>
      </c>
      <c r="E3743">
        <v>1.93</v>
      </c>
      <c r="F3743" s="3">
        <v>0.52410000000000001</v>
      </c>
      <c r="G3743">
        <v>1.7255</v>
      </c>
      <c r="H3743">
        <v>57.433</v>
      </c>
    </row>
    <row r="3744" spans="1:8" x14ac:dyDescent="0.25">
      <c r="A3744" t="s">
        <v>3750</v>
      </c>
      <c r="B3744">
        <v>3887</v>
      </c>
      <c r="C3744">
        <v>7891172145322</v>
      </c>
      <c r="D3744">
        <v>7.45</v>
      </c>
      <c r="E3744">
        <v>3.88</v>
      </c>
      <c r="F3744" s="3">
        <v>0.44439999999999996</v>
      </c>
      <c r="G3744">
        <v>3.4499</v>
      </c>
      <c r="H3744">
        <v>5.6669999999999998</v>
      </c>
    </row>
    <row r="3745" spans="1:8" x14ac:dyDescent="0.25">
      <c r="A3745" t="s">
        <v>3751</v>
      </c>
      <c r="B3745">
        <v>9442</v>
      </c>
      <c r="C3745">
        <v>7891172151125</v>
      </c>
      <c r="D3745">
        <v>7.45</v>
      </c>
      <c r="E3745">
        <v>4.12</v>
      </c>
      <c r="F3745" s="3">
        <v>0.40600000000000003</v>
      </c>
      <c r="G3745">
        <v>3.7361</v>
      </c>
      <c r="H3745">
        <v>11.833</v>
      </c>
    </row>
    <row r="3746" spans="1:8" x14ac:dyDescent="0.25">
      <c r="A3746" t="s">
        <v>3752</v>
      </c>
      <c r="B3746">
        <v>62983</v>
      </c>
      <c r="C3746">
        <v>7896110001524</v>
      </c>
      <c r="D3746">
        <v>6.9</v>
      </c>
      <c r="E3746">
        <v>4.2</v>
      </c>
      <c r="F3746" s="3">
        <v>0.35549999999999998</v>
      </c>
      <c r="G3746">
        <v>3.8088000000000002</v>
      </c>
      <c r="H3746">
        <v>26.132999999999999</v>
      </c>
    </row>
    <row r="3747" spans="1:8" x14ac:dyDescent="0.25">
      <c r="A3747" t="s">
        <v>3753</v>
      </c>
      <c r="B3747">
        <v>62987</v>
      </c>
      <c r="C3747">
        <v>7896110001531</v>
      </c>
      <c r="D3747">
        <v>13.9</v>
      </c>
      <c r="E3747">
        <v>8.18</v>
      </c>
      <c r="F3747" s="3">
        <v>0.37329999999999997</v>
      </c>
      <c r="G3747">
        <v>7.4256000000000002</v>
      </c>
      <c r="H3747">
        <v>13.632999999999999</v>
      </c>
    </row>
    <row r="3748" spans="1:8" x14ac:dyDescent="0.25">
      <c r="A3748" t="s">
        <v>3754</v>
      </c>
      <c r="B3748">
        <v>62988</v>
      </c>
      <c r="C3748">
        <v>7896110081250</v>
      </c>
      <c r="D3748">
        <v>4.9000000000000004</v>
      </c>
      <c r="E3748">
        <v>1.85</v>
      </c>
      <c r="F3748" s="3">
        <v>0.56409999999999993</v>
      </c>
      <c r="G3748">
        <v>1.6823999999999999</v>
      </c>
      <c r="H3748">
        <v>41.9</v>
      </c>
    </row>
    <row r="3749" spans="1:8" x14ac:dyDescent="0.25">
      <c r="A3749" t="s">
        <v>3755</v>
      </c>
      <c r="B3749">
        <v>62989</v>
      </c>
      <c r="C3749">
        <v>7896110081359</v>
      </c>
      <c r="D3749">
        <v>6.9</v>
      </c>
      <c r="E3749">
        <v>3.63</v>
      </c>
      <c r="F3749" s="3">
        <v>0.43060000000000004</v>
      </c>
      <c r="G3749">
        <v>3.2907999999999999</v>
      </c>
      <c r="H3749">
        <v>14.733000000000001</v>
      </c>
    </row>
    <row r="3750" spans="1:8" x14ac:dyDescent="0.25">
      <c r="A3750" t="s">
        <v>3756</v>
      </c>
      <c r="B3750">
        <v>17481</v>
      </c>
      <c r="C3750">
        <v>7898932170044</v>
      </c>
      <c r="D3750">
        <v>13.8</v>
      </c>
      <c r="E3750">
        <v>7.91</v>
      </c>
      <c r="F3750" s="3">
        <v>0.4269</v>
      </c>
      <c r="G3750">
        <v>7.9082999999999997</v>
      </c>
      <c r="H3750">
        <v>0</v>
      </c>
    </row>
    <row r="3751" spans="1:8" x14ac:dyDescent="0.25">
      <c r="A3751" t="s">
        <v>3757</v>
      </c>
      <c r="B3751">
        <v>69221</v>
      </c>
      <c r="C3751">
        <v>7898015781044</v>
      </c>
      <c r="D3751">
        <v>21.9</v>
      </c>
      <c r="E3751">
        <v>7.14</v>
      </c>
      <c r="F3751" s="3">
        <v>0.30940000000000001</v>
      </c>
      <c r="G3751">
        <v>15.1244</v>
      </c>
      <c r="H3751">
        <v>1.5669999999999999</v>
      </c>
    </row>
    <row r="3752" spans="1:8" x14ac:dyDescent="0.25">
      <c r="A3752" t="s">
        <v>3758</v>
      </c>
      <c r="B3752">
        <v>69223</v>
      </c>
      <c r="C3752">
        <v>7898015781129</v>
      </c>
      <c r="D3752">
        <v>21.9</v>
      </c>
      <c r="E3752">
        <v>6.51</v>
      </c>
      <c r="F3752" s="3">
        <v>0.38700000000000001</v>
      </c>
      <c r="G3752">
        <v>13.423999999999999</v>
      </c>
      <c r="H3752">
        <v>1.3</v>
      </c>
    </row>
    <row r="3753" spans="1:8" x14ac:dyDescent="0.25">
      <c r="A3753" t="s">
        <v>3759</v>
      </c>
      <c r="B3753">
        <v>69222</v>
      </c>
      <c r="C3753">
        <v>7898015781006</v>
      </c>
      <c r="D3753">
        <v>21.9</v>
      </c>
      <c r="E3753">
        <v>14.28</v>
      </c>
      <c r="F3753" s="3">
        <v>0.3478</v>
      </c>
      <c r="G3753">
        <v>14.2842</v>
      </c>
      <c r="H3753">
        <v>0.3</v>
      </c>
    </row>
    <row r="3754" spans="1:8" x14ac:dyDescent="0.25">
      <c r="A3754" t="s">
        <v>3760</v>
      </c>
      <c r="B3754">
        <v>59689</v>
      </c>
      <c r="C3754">
        <v>644824387314</v>
      </c>
      <c r="D3754">
        <v>12.99</v>
      </c>
      <c r="E3754">
        <v>8.4700000000000006</v>
      </c>
      <c r="F3754" s="3">
        <v>0.34460000000000002</v>
      </c>
      <c r="G3754">
        <v>8.5135000000000005</v>
      </c>
      <c r="H3754">
        <v>37.267000000000003</v>
      </c>
    </row>
    <row r="3755" spans="1:8" x14ac:dyDescent="0.25">
      <c r="A3755" t="s">
        <v>3761</v>
      </c>
      <c r="B3755">
        <v>59690</v>
      </c>
      <c r="C3755">
        <v>644824387345</v>
      </c>
      <c r="D3755">
        <v>12.99</v>
      </c>
      <c r="E3755">
        <v>8.52</v>
      </c>
      <c r="F3755" s="3">
        <v>0.34659999999999996</v>
      </c>
      <c r="G3755">
        <v>8.4872999999999994</v>
      </c>
      <c r="H3755">
        <v>11.867000000000001</v>
      </c>
    </row>
    <row r="3756" spans="1:8" x14ac:dyDescent="0.25">
      <c r="A3756" t="s">
        <v>3762</v>
      </c>
      <c r="B3756">
        <v>59691</v>
      </c>
      <c r="C3756">
        <v>644824387338</v>
      </c>
      <c r="D3756">
        <v>12.99</v>
      </c>
      <c r="E3756">
        <v>8.43</v>
      </c>
      <c r="F3756" s="3">
        <v>0.35580000000000001</v>
      </c>
      <c r="G3756">
        <v>8.3680000000000003</v>
      </c>
      <c r="H3756">
        <v>27.332999999999998</v>
      </c>
    </row>
    <row r="3757" spans="1:8" x14ac:dyDescent="0.25">
      <c r="A3757" t="s">
        <v>3763</v>
      </c>
      <c r="B3757">
        <v>59687</v>
      </c>
      <c r="C3757">
        <v>644824387376</v>
      </c>
      <c r="D3757">
        <v>12.99</v>
      </c>
      <c r="E3757">
        <v>8.42</v>
      </c>
      <c r="F3757" s="3">
        <v>0.35570000000000002</v>
      </c>
      <c r="G3757">
        <v>8.3699999999999992</v>
      </c>
      <c r="H3757">
        <v>13.4</v>
      </c>
    </row>
    <row r="3758" spans="1:8" x14ac:dyDescent="0.25">
      <c r="A3758" t="s">
        <v>3764</v>
      </c>
      <c r="B3758">
        <v>59688</v>
      </c>
      <c r="C3758">
        <v>644824387369</v>
      </c>
      <c r="D3758">
        <v>12.99</v>
      </c>
      <c r="E3758">
        <v>8.52</v>
      </c>
      <c r="F3758" s="3">
        <v>0.34499999999999997</v>
      </c>
      <c r="G3758">
        <v>8.5081000000000007</v>
      </c>
      <c r="H3758">
        <v>15.833</v>
      </c>
    </row>
    <row r="3759" spans="1:8" x14ac:dyDescent="0.25">
      <c r="A3759" t="s">
        <v>3765</v>
      </c>
      <c r="B3759">
        <v>61323</v>
      </c>
      <c r="C3759">
        <v>644824387321</v>
      </c>
      <c r="D3759">
        <v>12.99</v>
      </c>
      <c r="E3759">
        <v>8.57</v>
      </c>
      <c r="F3759" s="3">
        <v>0.33990000000000004</v>
      </c>
      <c r="G3759">
        <v>8.5752000000000006</v>
      </c>
      <c r="H3759">
        <v>43.1</v>
      </c>
    </row>
    <row r="3760" spans="1:8" x14ac:dyDescent="0.25">
      <c r="A3760" t="s">
        <v>3766</v>
      </c>
      <c r="B3760">
        <v>5692</v>
      </c>
      <c r="C3760">
        <v>7892840812751</v>
      </c>
      <c r="D3760">
        <v>8.49</v>
      </c>
      <c r="E3760">
        <v>5.64</v>
      </c>
      <c r="F3760" s="3">
        <v>0.3357</v>
      </c>
      <c r="G3760">
        <v>5.6398000000000001</v>
      </c>
      <c r="H3760">
        <v>21.867000000000001</v>
      </c>
    </row>
    <row r="3761" spans="1:8" x14ac:dyDescent="0.25">
      <c r="A3761" t="s">
        <v>3767</v>
      </c>
      <c r="B3761">
        <v>5694</v>
      </c>
      <c r="C3761">
        <v>7892840812416</v>
      </c>
      <c r="D3761">
        <v>8.49</v>
      </c>
      <c r="E3761">
        <v>6.83</v>
      </c>
      <c r="F3761" s="3">
        <v>0.1956</v>
      </c>
      <c r="G3761">
        <v>6.8295000000000003</v>
      </c>
      <c r="H3761">
        <v>48.4</v>
      </c>
    </row>
    <row r="3762" spans="1:8" x14ac:dyDescent="0.25">
      <c r="A3762" t="s">
        <v>3768</v>
      </c>
      <c r="B3762">
        <v>1229</v>
      </c>
      <c r="C3762">
        <v>7892840812881</v>
      </c>
      <c r="D3762">
        <v>8.9</v>
      </c>
      <c r="E3762">
        <v>6.83</v>
      </c>
      <c r="F3762" s="3">
        <v>0.23260000000000003</v>
      </c>
      <c r="G3762">
        <v>6.8299000000000003</v>
      </c>
      <c r="H3762">
        <v>85.132999999999996</v>
      </c>
    </row>
    <row r="3763" spans="1:8" x14ac:dyDescent="0.25">
      <c r="A3763" t="s">
        <v>3769</v>
      </c>
      <c r="B3763">
        <v>5704</v>
      </c>
      <c r="C3763">
        <v>7892840812423</v>
      </c>
      <c r="D3763">
        <v>4.49</v>
      </c>
      <c r="E3763">
        <v>3.33</v>
      </c>
      <c r="F3763" s="3">
        <v>0.25840000000000002</v>
      </c>
      <c r="G3763">
        <v>3.3298999999999999</v>
      </c>
      <c r="H3763">
        <v>48.433</v>
      </c>
    </row>
    <row r="3764" spans="1:8" x14ac:dyDescent="0.25">
      <c r="A3764" t="s">
        <v>3770</v>
      </c>
      <c r="B3764">
        <v>5703</v>
      </c>
      <c r="C3764">
        <v>7892840812850</v>
      </c>
      <c r="D3764">
        <v>4.49</v>
      </c>
      <c r="E3764">
        <v>3.33</v>
      </c>
      <c r="F3764" s="3">
        <v>0.25840000000000002</v>
      </c>
      <c r="G3764">
        <v>3.33</v>
      </c>
      <c r="H3764">
        <v>87.733000000000004</v>
      </c>
    </row>
    <row r="3765" spans="1:8" x14ac:dyDescent="0.25">
      <c r="A3765" t="s">
        <v>3771</v>
      </c>
      <c r="B3765">
        <v>37341</v>
      </c>
      <c r="C3765">
        <v>7896028700557</v>
      </c>
      <c r="D3765">
        <v>27.9</v>
      </c>
      <c r="E3765">
        <v>18.07</v>
      </c>
      <c r="F3765" s="3">
        <v>0.31180000000000002</v>
      </c>
      <c r="G3765">
        <v>16.620999999999999</v>
      </c>
      <c r="H3765">
        <v>1.1000000000000001</v>
      </c>
    </row>
    <row r="3766" spans="1:8" x14ac:dyDescent="0.25">
      <c r="A3766" t="s">
        <v>3772</v>
      </c>
      <c r="B3766">
        <v>19547</v>
      </c>
      <c r="C3766">
        <v>7891035524455</v>
      </c>
      <c r="D3766">
        <v>14.5</v>
      </c>
      <c r="E3766">
        <v>10.32</v>
      </c>
      <c r="F3766" s="3">
        <v>0.25700000000000001</v>
      </c>
      <c r="G3766">
        <v>9.4323999999999995</v>
      </c>
      <c r="H3766">
        <v>1.5669999999999999</v>
      </c>
    </row>
    <row r="3767" spans="1:8" x14ac:dyDescent="0.25">
      <c r="A3767" t="s">
        <v>3773</v>
      </c>
      <c r="B3767">
        <v>19548</v>
      </c>
      <c r="C3767">
        <v>7891035524516</v>
      </c>
      <c r="D3767">
        <v>14.5</v>
      </c>
      <c r="E3767">
        <v>10.15</v>
      </c>
      <c r="F3767" s="3">
        <v>0.28749999999999998</v>
      </c>
      <c r="G3767">
        <v>8.9898000000000007</v>
      </c>
      <c r="H3767">
        <v>0.46700000000000003</v>
      </c>
    </row>
    <row r="3768" spans="1:8" x14ac:dyDescent="0.25">
      <c r="A3768" t="s">
        <v>3774</v>
      </c>
      <c r="B3768">
        <v>19553</v>
      </c>
      <c r="C3768">
        <v>7891035124006</v>
      </c>
      <c r="D3768">
        <v>14.9</v>
      </c>
      <c r="E3768">
        <v>9.64</v>
      </c>
      <c r="F3768" s="3">
        <v>0.32020000000000004</v>
      </c>
      <c r="G3768">
        <v>8.7507000000000001</v>
      </c>
      <c r="H3768">
        <v>4.4000000000000004</v>
      </c>
    </row>
    <row r="3769" spans="1:8" x14ac:dyDescent="0.25">
      <c r="A3769" t="s">
        <v>3775</v>
      </c>
      <c r="B3769">
        <v>19555</v>
      </c>
      <c r="C3769">
        <v>7891035128103</v>
      </c>
      <c r="D3769">
        <v>14.9</v>
      </c>
      <c r="E3769">
        <v>9.64</v>
      </c>
      <c r="F3769" s="3">
        <v>0.32020000000000004</v>
      </c>
      <c r="G3769">
        <v>8.7500999999999998</v>
      </c>
      <c r="H3769">
        <v>3.367</v>
      </c>
    </row>
    <row r="3770" spans="1:8" x14ac:dyDescent="0.25">
      <c r="A3770" t="s">
        <v>3776</v>
      </c>
      <c r="B3770">
        <v>19554</v>
      </c>
      <c r="C3770">
        <v>7891035126000</v>
      </c>
      <c r="D3770">
        <v>14.9</v>
      </c>
      <c r="E3770">
        <v>9.64</v>
      </c>
      <c r="F3770" s="3">
        <v>0.32020000000000004</v>
      </c>
      <c r="G3770">
        <v>8.7507000000000001</v>
      </c>
      <c r="H3770">
        <v>4.0999999999999996</v>
      </c>
    </row>
    <row r="3771" spans="1:8" x14ac:dyDescent="0.25">
      <c r="A3771" t="s">
        <v>3777</v>
      </c>
      <c r="B3771">
        <v>56270</v>
      </c>
      <c r="C3771">
        <v>7891035000140</v>
      </c>
      <c r="D3771">
        <v>14.5</v>
      </c>
      <c r="E3771">
        <v>9.86</v>
      </c>
      <c r="F3771" s="3">
        <v>0.28839999999999999</v>
      </c>
      <c r="G3771">
        <v>8.9770000000000003</v>
      </c>
      <c r="H3771">
        <v>1.7</v>
      </c>
    </row>
    <row r="3772" spans="1:8" x14ac:dyDescent="0.25">
      <c r="A3772" t="s">
        <v>3778</v>
      </c>
      <c r="B3772">
        <v>56269</v>
      </c>
      <c r="C3772">
        <v>7891035000157</v>
      </c>
      <c r="D3772">
        <v>14.5</v>
      </c>
      <c r="E3772">
        <v>10.02</v>
      </c>
      <c r="F3772" s="3">
        <v>0.29109999999999997</v>
      </c>
      <c r="G3772">
        <v>8.9382000000000001</v>
      </c>
      <c r="H3772">
        <v>1.9</v>
      </c>
    </row>
    <row r="3773" spans="1:8" x14ac:dyDescent="0.25">
      <c r="A3773" t="s">
        <v>3779</v>
      </c>
      <c r="B3773">
        <v>57624</v>
      </c>
      <c r="C3773">
        <v>7891035560811</v>
      </c>
      <c r="D3773">
        <v>10.9</v>
      </c>
      <c r="E3773">
        <v>7.68</v>
      </c>
      <c r="F3773" s="3">
        <v>0.26170000000000004</v>
      </c>
      <c r="G3773">
        <v>7.0395000000000003</v>
      </c>
      <c r="H3773">
        <v>0.8</v>
      </c>
    </row>
    <row r="3774" spans="1:8" x14ac:dyDescent="0.25">
      <c r="A3774" t="s">
        <v>3780</v>
      </c>
      <c r="B3774">
        <v>22581</v>
      </c>
      <c r="C3774">
        <v>7891035525223</v>
      </c>
      <c r="D3774">
        <v>10.9</v>
      </c>
      <c r="E3774">
        <v>7.77</v>
      </c>
      <c r="F3774" s="3">
        <v>0.26119999999999999</v>
      </c>
      <c r="G3774">
        <v>7.0446999999999997</v>
      </c>
      <c r="H3774">
        <v>2.5</v>
      </c>
    </row>
    <row r="3775" spans="1:8" x14ac:dyDescent="0.25">
      <c r="A3775" t="s">
        <v>3781</v>
      </c>
      <c r="B3775">
        <v>42142</v>
      </c>
      <c r="C3775">
        <v>7891035560828</v>
      </c>
      <c r="D3775">
        <v>10.9</v>
      </c>
      <c r="E3775">
        <v>7.76</v>
      </c>
      <c r="F3775" s="3">
        <v>0.26079999999999998</v>
      </c>
      <c r="G3775">
        <v>7.0492999999999997</v>
      </c>
      <c r="H3775">
        <v>1.5669999999999999</v>
      </c>
    </row>
    <row r="3776" spans="1:8" x14ac:dyDescent="0.25">
      <c r="A3776" t="s">
        <v>3782</v>
      </c>
      <c r="B3776">
        <v>22568</v>
      </c>
      <c r="C3776">
        <v>7891035525230</v>
      </c>
      <c r="D3776">
        <v>10.9</v>
      </c>
      <c r="E3776">
        <v>7.77</v>
      </c>
      <c r="F3776" s="3">
        <v>0.26100000000000001</v>
      </c>
      <c r="G3776">
        <v>7.0468000000000002</v>
      </c>
      <c r="H3776">
        <v>2.367</v>
      </c>
    </row>
    <row r="3777" spans="1:8" x14ac:dyDescent="0.25">
      <c r="A3777" t="s">
        <v>3783</v>
      </c>
      <c r="B3777">
        <v>7165</v>
      </c>
      <c r="C3777">
        <v>7891010560737</v>
      </c>
      <c r="D3777">
        <v>7.9</v>
      </c>
      <c r="E3777">
        <v>4.62</v>
      </c>
      <c r="F3777" s="3">
        <v>0.37130000000000002</v>
      </c>
      <c r="G3777">
        <v>4.2359</v>
      </c>
      <c r="H3777">
        <v>31.766999999999999</v>
      </c>
    </row>
    <row r="3778" spans="1:8" x14ac:dyDescent="0.25">
      <c r="A3778" t="s">
        <v>3784</v>
      </c>
      <c r="B3778">
        <v>66247</v>
      </c>
      <c r="C3778">
        <v>7891010047764</v>
      </c>
      <c r="D3778">
        <v>24.9</v>
      </c>
      <c r="E3778">
        <v>16.25</v>
      </c>
      <c r="F3778" s="3">
        <v>0.31219999999999998</v>
      </c>
      <c r="G3778">
        <v>14.822900000000001</v>
      </c>
      <c r="H3778">
        <v>3.4670000000000001</v>
      </c>
    </row>
    <row r="3779" spans="1:8" x14ac:dyDescent="0.25">
      <c r="A3779" t="s">
        <v>3785</v>
      </c>
      <c r="B3779">
        <v>57146</v>
      </c>
      <c r="C3779">
        <v>7891010560812</v>
      </c>
      <c r="D3779">
        <v>13.9</v>
      </c>
      <c r="E3779">
        <v>8.6199999999999992</v>
      </c>
      <c r="F3779" s="3">
        <v>0.34490000000000004</v>
      </c>
      <c r="G3779">
        <v>7.8201000000000001</v>
      </c>
      <c r="H3779">
        <v>9.1</v>
      </c>
    </row>
    <row r="3780" spans="1:8" x14ac:dyDescent="0.25">
      <c r="A3780" t="s">
        <v>3786</v>
      </c>
      <c r="B3780">
        <v>57004</v>
      </c>
      <c r="C3780">
        <v>7891010032937</v>
      </c>
      <c r="D3780">
        <v>16.899999999999999</v>
      </c>
      <c r="E3780">
        <v>10.63</v>
      </c>
      <c r="F3780" s="3">
        <v>0.32329999999999998</v>
      </c>
      <c r="G3780">
        <v>9.8737999999999992</v>
      </c>
      <c r="H3780">
        <v>4.1669999999999998</v>
      </c>
    </row>
    <row r="3781" spans="1:8" x14ac:dyDescent="0.25">
      <c r="A3781" t="s">
        <v>3787</v>
      </c>
      <c r="B3781">
        <v>66640</v>
      </c>
      <c r="C3781">
        <v>7898453460624</v>
      </c>
      <c r="D3781">
        <v>22.9</v>
      </c>
      <c r="E3781">
        <v>14.48</v>
      </c>
      <c r="F3781" s="3">
        <v>0.3337</v>
      </c>
      <c r="G3781">
        <v>13.1404</v>
      </c>
      <c r="H3781">
        <v>0.1</v>
      </c>
    </row>
    <row r="3782" spans="1:8" x14ac:dyDescent="0.25">
      <c r="A3782" t="s">
        <v>3788</v>
      </c>
      <c r="B3782">
        <v>26372</v>
      </c>
      <c r="C3782">
        <v>7898629610846</v>
      </c>
      <c r="D3782">
        <v>3.99</v>
      </c>
      <c r="E3782">
        <v>1.5</v>
      </c>
      <c r="F3782" s="3">
        <v>0.56640000000000001</v>
      </c>
      <c r="G3782">
        <v>1.3611</v>
      </c>
      <c r="H3782">
        <v>2.4329999999999998</v>
      </c>
    </row>
    <row r="3783" spans="1:8" x14ac:dyDescent="0.25">
      <c r="A3783" t="s">
        <v>3789</v>
      </c>
      <c r="B3783">
        <v>43589</v>
      </c>
      <c r="C3783">
        <v>4560205300054</v>
      </c>
      <c r="D3783">
        <v>34.9</v>
      </c>
      <c r="E3783">
        <v>22.09</v>
      </c>
      <c r="F3783" s="3">
        <v>0.26690000000000003</v>
      </c>
      <c r="G3783">
        <v>16.074000000000002</v>
      </c>
      <c r="H3783">
        <v>3.3000000000000002E-2</v>
      </c>
    </row>
    <row r="3784" spans="1:8" x14ac:dyDescent="0.25">
      <c r="A3784" t="s">
        <v>3790</v>
      </c>
      <c r="B3784">
        <v>66274</v>
      </c>
      <c r="C3784">
        <v>7891010253790</v>
      </c>
      <c r="D3784">
        <v>54.9</v>
      </c>
      <c r="E3784">
        <v>35.909999999999997</v>
      </c>
      <c r="F3784" s="3">
        <v>0.3458</v>
      </c>
      <c r="G3784">
        <v>35.913400000000003</v>
      </c>
      <c r="H3784">
        <v>0.13300000000000001</v>
      </c>
    </row>
    <row r="3785" spans="1:8" x14ac:dyDescent="0.25">
      <c r="A3785" t="s">
        <v>3791</v>
      </c>
      <c r="B3785">
        <v>66275</v>
      </c>
      <c r="C3785">
        <v>7891010253813</v>
      </c>
      <c r="D3785">
        <v>54.9</v>
      </c>
      <c r="E3785">
        <v>35.869999999999997</v>
      </c>
      <c r="F3785" s="3">
        <v>0.34649999999999997</v>
      </c>
      <c r="G3785">
        <v>35.875100000000003</v>
      </c>
      <c r="H3785">
        <v>0.16700000000000001</v>
      </c>
    </row>
    <row r="3786" spans="1:8" x14ac:dyDescent="0.25">
      <c r="A3786" t="s">
        <v>3792</v>
      </c>
      <c r="B3786">
        <v>66276</v>
      </c>
      <c r="C3786">
        <v>7891010253806</v>
      </c>
      <c r="D3786">
        <v>54.9</v>
      </c>
      <c r="E3786">
        <v>35.82</v>
      </c>
      <c r="F3786" s="3">
        <v>0.34759999999999996</v>
      </c>
      <c r="G3786">
        <v>35.816299999999998</v>
      </c>
      <c r="H3786">
        <v>0.13300000000000001</v>
      </c>
    </row>
    <row r="3787" spans="1:8" x14ac:dyDescent="0.25">
      <c r="A3787" t="s">
        <v>3793</v>
      </c>
      <c r="B3787">
        <v>55491</v>
      </c>
      <c r="C3787">
        <v>42360414</v>
      </c>
      <c r="D3787">
        <v>29.99</v>
      </c>
      <c r="E3787">
        <v>25.83</v>
      </c>
      <c r="F3787" s="3">
        <v>0.1386</v>
      </c>
      <c r="G3787">
        <v>25.8337</v>
      </c>
      <c r="H3787">
        <v>0.16700000000000001</v>
      </c>
    </row>
    <row r="3788" spans="1:8" x14ac:dyDescent="0.25">
      <c r="A3788" t="s">
        <v>3794</v>
      </c>
      <c r="B3788">
        <v>59847</v>
      </c>
      <c r="C3788">
        <v>42398004</v>
      </c>
      <c r="D3788">
        <v>29.99</v>
      </c>
      <c r="E3788">
        <v>25.83</v>
      </c>
      <c r="F3788" s="3">
        <v>0.1386</v>
      </c>
      <c r="G3788">
        <v>25.8337</v>
      </c>
      <c r="H3788">
        <v>0.4</v>
      </c>
    </row>
    <row r="3789" spans="1:8" x14ac:dyDescent="0.25">
      <c r="A3789" t="s">
        <v>3795</v>
      </c>
      <c r="B3789">
        <v>55497</v>
      </c>
      <c r="C3789">
        <v>42389248</v>
      </c>
      <c r="D3789">
        <v>29.99</v>
      </c>
      <c r="E3789">
        <v>25.83</v>
      </c>
      <c r="F3789" s="3">
        <v>0.1386</v>
      </c>
      <c r="G3789">
        <v>25.8337</v>
      </c>
      <c r="H3789">
        <v>0.1</v>
      </c>
    </row>
    <row r="3790" spans="1:8" x14ac:dyDescent="0.25">
      <c r="A3790" t="s">
        <v>3796</v>
      </c>
      <c r="B3790">
        <v>55492</v>
      </c>
      <c r="C3790">
        <v>42360407</v>
      </c>
      <c r="D3790">
        <v>29.99</v>
      </c>
      <c r="E3790">
        <v>25.83</v>
      </c>
      <c r="F3790" s="3">
        <v>0.1386</v>
      </c>
      <c r="G3790">
        <v>25.8338</v>
      </c>
      <c r="H3790">
        <v>0.1</v>
      </c>
    </row>
    <row r="3791" spans="1:8" x14ac:dyDescent="0.25">
      <c r="A3791" t="s">
        <v>3797</v>
      </c>
      <c r="B3791">
        <v>64907</v>
      </c>
      <c r="C3791">
        <v>4005900945693</v>
      </c>
      <c r="D3791">
        <v>36.9</v>
      </c>
      <c r="E3791">
        <v>35.630000000000003</v>
      </c>
      <c r="F3791" s="3">
        <v>3.44E-2</v>
      </c>
      <c r="G3791">
        <v>35.629199999999997</v>
      </c>
      <c r="H3791">
        <v>0.2</v>
      </c>
    </row>
    <row r="3792" spans="1:8" x14ac:dyDescent="0.25">
      <c r="A3792" t="s">
        <v>3798</v>
      </c>
      <c r="B3792">
        <v>63772</v>
      </c>
      <c r="C3792">
        <v>4005900950987</v>
      </c>
      <c r="D3792">
        <v>29.99</v>
      </c>
      <c r="E3792">
        <v>25.56</v>
      </c>
      <c r="F3792" s="3">
        <v>0.14510000000000001</v>
      </c>
      <c r="G3792">
        <v>25.639099999999999</v>
      </c>
      <c r="H3792">
        <v>0.1</v>
      </c>
    </row>
    <row r="3793" spans="1:8" x14ac:dyDescent="0.25">
      <c r="A3793" t="s">
        <v>3799</v>
      </c>
      <c r="B3793">
        <v>5186</v>
      </c>
      <c r="C3793">
        <v>7896076600243</v>
      </c>
      <c r="D3793">
        <v>14.99</v>
      </c>
      <c r="E3793">
        <v>9.1</v>
      </c>
      <c r="F3793" s="3">
        <v>0.2858</v>
      </c>
      <c r="G3793">
        <v>6.6204000000000001</v>
      </c>
      <c r="H3793">
        <v>24.9</v>
      </c>
    </row>
    <row r="3794" spans="1:8" x14ac:dyDescent="0.25">
      <c r="A3794" t="s">
        <v>3800</v>
      </c>
      <c r="B3794">
        <v>65974</v>
      </c>
      <c r="C3794">
        <v>5283003611380</v>
      </c>
      <c r="D3794">
        <v>23.9</v>
      </c>
      <c r="E3794">
        <v>13.11</v>
      </c>
      <c r="F3794" s="3">
        <v>0.40960000000000002</v>
      </c>
      <c r="G3794">
        <v>11.900399999999999</v>
      </c>
      <c r="H3794">
        <v>0</v>
      </c>
    </row>
    <row r="3795" spans="1:8" x14ac:dyDescent="0.25">
      <c r="A3795" t="s">
        <v>3801</v>
      </c>
      <c r="B3795">
        <v>34504</v>
      </c>
      <c r="C3795">
        <v>7891035651007</v>
      </c>
      <c r="D3795">
        <v>24.9</v>
      </c>
      <c r="E3795">
        <v>16.7</v>
      </c>
      <c r="F3795" s="3">
        <v>0.2349</v>
      </c>
      <c r="G3795">
        <v>12.266</v>
      </c>
      <c r="H3795">
        <v>0.7</v>
      </c>
    </row>
    <row r="3796" spans="1:8" x14ac:dyDescent="0.25">
      <c r="A3796" t="s">
        <v>3802</v>
      </c>
      <c r="B3796">
        <v>50618</v>
      </c>
      <c r="C3796">
        <v>7891035396267</v>
      </c>
      <c r="D3796">
        <v>20.9</v>
      </c>
      <c r="E3796">
        <v>13.03</v>
      </c>
      <c r="F3796" s="3">
        <v>0.27399999999999997</v>
      </c>
      <c r="G3796">
        <v>9.4788999999999994</v>
      </c>
      <c r="H3796">
        <v>2.5</v>
      </c>
    </row>
    <row r="3797" spans="1:8" x14ac:dyDescent="0.25">
      <c r="A3797" t="s">
        <v>3803</v>
      </c>
      <c r="B3797">
        <v>38522</v>
      </c>
      <c r="C3797">
        <v>7891035002434</v>
      </c>
      <c r="D3797">
        <v>20.9</v>
      </c>
      <c r="E3797">
        <v>13.01</v>
      </c>
      <c r="F3797" s="3">
        <v>0.2747</v>
      </c>
      <c r="G3797">
        <v>9.4644999999999992</v>
      </c>
      <c r="H3797">
        <v>2.0670000000000002</v>
      </c>
    </row>
    <row r="3798" spans="1:8" x14ac:dyDescent="0.25">
      <c r="A3798" t="s">
        <v>3804</v>
      </c>
      <c r="B3798">
        <v>38523</v>
      </c>
      <c r="C3798">
        <v>7891035618376</v>
      </c>
      <c r="D3798">
        <v>20.9</v>
      </c>
      <c r="E3798">
        <v>13.03</v>
      </c>
      <c r="F3798" s="3">
        <v>0.27399999999999997</v>
      </c>
      <c r="G3798">
        <v>9.4792000000000005</v>
      </c>
      <c r="H3798">
        <v>3.9329999999999998</v>
      </c>
    </row>
    <row r="3799" spans="1:8" x14ac:dyDescent="0.25">
      <c r="A3799" t="s">
        <v>3805</v>
      </c>
      <c r="B3799">
        <v>64532</v>
      </c>
      <c r="C3799">
        <v>7891035002670</v>
      </c>
      <c r="D3799">
        <v>22.9</v>
      </c>
      <c r="E3799">
        <v>14.46</v>
      </c>
      <c r="F3799" s="3">
        <v>0.26239999999999997</v>
      </c>
      <c r="G3799">
        <v>10.651199999999999</v>
      </c>
      <c r="H3799">
        <v>3.867</v>
      </c>
    </row>
    <row r="3800" spans="1:8" x14ac:dyDescent="0.25">
      <c r="A3800" t="s">
        <v>3806</v>
      </c>
      <c r="B3800">
        <v>62130</v>
      </c>
      <c r="C3800">
        <v>7891035002083</v>
      </c>
      <c r="D3800">
        <v>22.9</v>
      </c>
      <c r="E3800">
        <v>15.19</v>
      </c>
      <c r="F3800" s="3">
        <v>0.24480000000000002</v>
      </c>
      <c r="G3800">
        <v>11.0535</v>
      </c>
      <c r="H3800">
        <v>3.6</v>
      </c>
    </row>
    <row r="3801" spans="1:8" x14ac:dyDescent="0.25">
      <c r="A3801" t="s">
        <v>3807</v>
      </c>
      <c r="B3801">
        <v>62715</v>
      </c>
      <c r="C3801">
        <v>7891035002458</v>
      </c>
      <c r="D3801">
        <v>22.9</v>
      </c>
      <c r="E3801">
        <v>12.54</v>
      </c>
      <c r="F3801" s="3">
        <v>0.31950000000000001</v>
      </c>
      <c r="G3801">
        <v>9.3436000000000003</v>
      </c>
      <c r="H3801">
        <v>3.5670000000000002</v>
      </c>
    </row>
    <row r="3802" spans="1:8" x14ac:dyDescent="0.25">
      <c r="A3802" t="s">
        <v>3808</v>
      </c>
      <c r="B3802">
        <v>19605</v>
      </c>
      <c r="C3802">
        <v>7891035618239</v>
      </c>
      <c r="D3802">
        <v>18.899999999999999</v>
      </c>
      <c r="E3802">
        <v>12.12</v>
      </c>
      <c r="F3802" s="3">
        <v>0.26030000000000003</v>
      </c>
      <c r="G3802">
        <v>8.8300999999999998</v>
      </c>
      <c r="H3802">
        <v>3.1</v>
      </c>
    </row>
    <row r="3803" spans="1:8" x14ac:dyDescent="0.25">
      <c r="A3803" t="s">
        <v>3809</v>
      </c>
      <c r="B3803">
        <v>32009</v>
      </c>
      <c r="C3803">
        <v>7891035618277</v>
      </c>
      <c r="D3803">
        <v>25.35</v>
      </c>
      <c r="E3803">
        <v>18.89</v>
      </c>
      <c r="F3803" s="3">
        <v>0.18489999999999998</v>
      </c>
      <c r="G3803">
        <v>13.754899999999999</v>
      </c>
      <c r="H3803">
        <v>5.4669999999999996</v>
      </c>
    </row>
    <row r="3804" spans="1:8" x14ac:dyDescent="0.25">
      <c r="A3804" t="s">
        <v>3810</v>
      </c>
      <c r="B3804">
        <v>19604</v>
      </c>
      <c r="C3804">
        <v>7891035024535</v>
      </c>
      <c r="D3804">
        <v>20.9</v>
      </c>
      <c r="E3804">
        <v>13.53</v>
      </c>
      <c r="F3804" s="3">
        <v>0.25650000000000001</v>
      </c>
      <c r="G3804">
        <v>9.8445</v>
      </c>
      <c r="H3804">
        <v>2.0670000000000002</v>
      </c>
    </row>
    <row r="3805" spans="1:8" x14ac:dyDescent="0.25">
      <c r="A3805" t="s">
        <v>3811</v>
      </c>
      <c r="B3805">
        <v>55697</v>
      </c>
      <c r="C3805">
        <v>7891035990984</v>
      </c>
      <c r="D3805">
        <v>20.9</v>
      </c>
      <c r="E3805">
        <v>13.52</v>
      </c>
      <c r="F3805" s="3">
        <v>0.25670000000000004</v>
      </c>
      <c r="G3805">
        <v>9.8406000000000002</v>
      </c>
      <c r="H3805">
        <v>2.1</v>
      </c>
    </row>
    <row r="3806" spans="1:8" x14ac:dyDescent="0.25">
      <c r="A3806" t="s">
        <v>3812</v>
      </c>
      <c r="B3806">
        <v>55698</v>
      </c>
      <c r="C3806">
        <v>7891035990991</v>
      </c>
      <c r="D3806">
        <v>28.35</v>
      </c>
      <c r="E3806">
        <v>18.920000000000002</v>
      </c>
      <c r="F3806" s="3">
        <v>0.2419</v>
      </c>
      <c r="G3806">
        <v>13.767899999999999</v>
      </c>
      <c r="H3806">
        <v>2.7</v>
      </c>
    </row>
    <row r="3807" spans="1:8" x14ac:dyDescent="0.25">
      <c r="A3807" t="s">
        <v>3813</v>
      </c>
      <c r="B3807">
        <v>67906</v>
      </c>
      <c r="C3807">
        <v>7891035002816</v>
      </c>
      <c r="D3807">
        <v>32.9</v>
      </c>
      <c r="E3807">
        <v>21.07</v>
      </c>
      <c r="F3807" s="3">
        <v>0.26150000000000001</v>
      </c>
      <c r="G3807">
        <v>15.329800000000001</v>
      </c>
      <c r="H3807">
        <v>0.433</v>
      </c>
    </row>
    <row r="3808" spans="1:8" x14ac:dyDescent="0.25">
      <c r="A3808" t="s">
        <v>3814</v>
      </c>
      <c r="B3808">
        <v>57152</v>
      </c>
      <c r="C3808">
        <v>7891035991035</v>
      </c>
      <c r="D3808">
        <v>14.9</v>
      </c>
      <c r="E3808">
        <v>9.15</v>
      </c>
      <c r="F3808" s="3">
        <v>0.28050000000000003</v>
      </c>
      <c r="G3808">
        <v>6.6597999999999997</v>
      </c>
      <c r="H3808">
        <v>1</v>
      </c>
    </row>
    <row r="3809" spans="1:8" x14ac:dyDescent="0.25">
      <c r="A3809" t="s">
        <v>3815</v>
      </c>
      <c r="B3809">
        <v>19599</v>
      </c>
      <c r="C3809">
        <v>7891035612107</v>
      </c>
      <c r="D3809">
        <v>28.9</v>
      </c>
      <c r="E3809">
        <v>18.399999999999999</v>
      </c>
      <c r="F3809" s="3">
        <v>0.26600000000000001</v>
      </c>
      <c r="G3809">
        <v>13.338699999999999</v>
      </c>
      <c r="H3809">
        <v>1</v>
      </c>
    </row>
    <row r="3810" spans="1:8" x14ac:dyDescent="0.25">
      <c r="A3810" t="s">
        <v>3816</v>
      </c>
      <c r="B3810">
        <v>67827</v>
      </c>
      <c r="C3810">
        <v>7892840820701</v>
      </c>
      <c r="D3810">
        <v>4.9000000000000004</v>
      </c>
      <c r="E3810">
        <v>2.68</v>
      </c>
      <c r="F3810" s="3">
        <v>0.4113</v>
      </c>
      <c r="G3810">
        <v>2.4315000000000002</v>
      </c>
      <c r="H3810">
        <v>13.19</v>
      </c>
    </row>
    <row r="3811" spans="1:8" x14ac:dyDescent="0.25">
      <c r="A3811" t="s">
        <v>3817</v>
      </c>
      <c r="B3811">
        <v>67828</v>
      </c>
      <c r="C3811">
        <v>7892840820671</v>
      </c>
      <c r="D3811">
        <v>4.9000000000000004</v>
      </c>
      <c r="E3811">
        <v>2.77</v>
      </c>
      <c r="F3811" s="3">
        <v>0.40889999999999999</v>
      </c>
      <c r="G3811">
        <v>2.4432</v>
      </c>
      <c r="H3811">
        <v>14.311999999999999</v>
      </c>
    </row>
    <row r="3812" spans="1:8" x14ac:dyDescent="0.25">
      <c r="A3812" t="s">
        <v>3818</v>
      </c>
      <c r="B3812">
        <v>5708</v>
      </c>
      <c r="C3812">
        <v>7892840808464</v>
      </c>
      <c r="D3812">
        <v>6.81</v>
      </c>
      <c r="E3812">
        <v>4.3899999999999997</v>
      </c>
      <c r="F3812" s="3">
        <v>0.35539999999999999</v>
      </c>
      <c r="G3812">
        <v>4.3898999999999999</v>
      </c>
      <c r="H3812">
        <v>19</v>
      </c>
    </row>
    <row r="3813" spans="1:8" x14ac:dyDescent="0.25">
      <c r="A3813" t="s">
        <v>3819</v>
      </c>
      <c r="B3813">
        <v>5709</v>
      </c>
      <c r="C3813">
        <v>7892840808020</v>
      </c>
      <c r="D3813">
        <v>6.39</v>
      </c>
      <c r="E3813">
        <v>4.21</v>
      </c>
      <c r="F3813" s="3">
        <v>0.34960000000000002</v>
      </c>
      <c r="G3813">
        <v>4.1562999999999999</v>
      </c>
      <c r="H3813">
        <v>27.1</v>
      </c>
    </row>
    <row r="3814" spans="1:8" x14ac:dyDescent="0.25">
      <c r="A3814" t="s">
        <v>3820</v>
      </c>
      <c r="B3814">
        <v>5710</v>
      </c>
      <c r="C3814">
        <v>7892840808037</v>
      </c>
      <c r="D3814">
        <v>6.39</v>
      </c>
      <c r="E3814">
        <v>4.3499999999999996</v>
      </c>
      <c r="F3814" s="3">
        <v>0.31969999999999998</v>
      </c>
      <c r="G3814">
        <v>4.3468</v>
      </c>
      <c r="H3814">
        <v>46.5</v>
      </c>
    </row>
    <row r="3815" spans="1:8" x14ac:dyDescent="0.25">
      <c r="A3815" t="s">
        <v>3821</v>
      </c>
      <c r="B3815">
        <v>5711</v>
      </c>
      <c r="C3815">
        <v>7892840808068</v>
      </c>
      <c r="D3815">
        <v>6.81</v>
      </c>
      <c r="E3815">
        <v>4.3899999999999997</v>
      </c>
      <c r="F3815" s="3">
        <v>0.35549999999999998</v>
      </c>
      <c r="G3815">
        <v>4.3893000000000004</v>
      </c>
      <c r="H3815">
        <v>15.233000000000001</v>
      </c>
    </row>
    <row r="3816" spans="1:8" x14ac:dyDescent="0.25">
      <c r="A3816" t="s">
        <v>3822</v>
      </c>
      <c r="B3816">
        <v>5713</v>
      </c>
      <c r="C3816">
        <v>7892840809119</v>
      </c>
      <c r="D3816">
        <v>6.39</v>
      </c>
      <c r="E3816">
        <v>4.2699999999999996</v>
      </c>
      <c r="F3816" s="3">
        <v>0.35350000000000004</v>
      </c>
      <c r="G3816">
        <v>4.1313000000000004</v>
      </c>
      <c r="H3816">
        <v>36.232999999999997</v>
      </c>
    </row>
    <row r="3817" spans="1:8" x14ac:dyDescent="0.25">
      <c r="A3817" t="s">
        <v>3823</v>
      </c>
      <c r="B3817">
        <v>5714</v>
      </c>
      <c r="C3817">
        <v>7892840808501</v>
      </c>
      <c r="D3817">
        <v>6.39</v>
      </c>
      <c r="E3817">
        <v>4.3899999999999997</v>
      </c>
      <c r="F3817" s="3">
        <v>0.313</v>
      </c>
      <c r="G3817">
        <v>4.3898999999999999</v>
      </c>
      <c r="H3817">
        <v>29.9</v>
      </c>
    </row>
    <row r="3818" spans="1:8" x14ac:dyDescent="0.25">
      <c r="A3818" t="s">
        <v>3824</v>
      </c>
      <c r="B3818">
        <v>64391</v>
      </c>
      <c r="C3818">
        <v>7898692300866</v>
      </c>
      <c r="D3818">
        <v>8.99</v>
      </c>
      <c r="E3818">
        <v>4.33</v>
      </c>
      <c r="F3818" s="3">
        <v>0.45979999999999999</v>
      </c>
      <c r="G3818">
        <v>4.0250000000000004</v>
      </c>
      <c r="H3818">
        <v>12.233000000000001</v>
      </c>
    </row>
    <row r="3819" spans="1:8" x14ac:dyDescent="0.25">
      <c r="A3819" t="s">
        <v>3825</v>
      </c>
      <c r="B3819">
        <v>62969</v>
      </c>
      <c r="C3819">
        <v>7894900508017</v>
      </c>
      <c r="D3819">
        <v>4.49</v>
      </c>
      <c r="E3819">
        <v>2.92</v>
      </c>
      <c r="F3819" s="3">
        <v>0.33140000000000003</v>
      </c>
      <c r="G3819">
        <v>3.0017999999999998</v>
      </c>
      <c r="H3819">
        <v>26.067</v>
      </c>
    </row>
    <row r="3820" spans="1:8" x14ac:dyDescent="0.25">
      <c r="A3820" t="s">
        <v>3826</v>
      </c>
      <c r="B3820">
        <v>5715</v>
      </c>
      <c r="C3820">
        <v>7894900503029</v>
      </c>
      <c r="D3820">
        <v>4.49</v>
      </c>
      <c r="E3820">
        <v>2.94</v>
      </c>
      <c r="F3820" s="3">
        <v>0.3392</v>
      </c>
      <c r="G3820">
        <v>2.9668000000000001</v>
      </c>
      <c r="H3820">
        <v>19.733000000000001</v>
      </c>
    </row>
    <row r="3821" spans="1:8" x14ac:dyDescent="0.25">
      <c r="A3821" t="s">
        <v>3827</v>
      </c>
      <c r="B3821">
        <v>5716</v>
      </c>
      <c r="C3821">
        <v>7894900500035</v>
      </c>
      <c r="D3821">
        <v>4.49</v>
      </c>
      <c r="E3821">
        <v>2.96</v>
      </c>
      <c r="F3821" s="3">
        <v>0.3387</v>
      </c>
      <c r="G3821">
        <v>2.9691999999999998</v>
      </c>
      <c r="H3821">
        <v>19.367000000000001</v>
      </c>
    </row>
    <row r="3822" spans="1:8" x14ac:dyDescent="0.25">
      <c r="A3822" t="s">
        <v>3828</v>
      </c>
      <c r="B3822">
        <v>5718</v>
      </c>
      <c r="C3822">
        <v>7894900504002</v>
      </c>
      <c r="D3822">
        <v>4.49</v>
      </c>
      <c r="E3822">
        <v>2.76</v>
      </c>
      <c r="F3822" s="3">
        <v>0.35039999999999999</v>
      </c>
      <c r="G3822">
        <v>2.9165999999999999</v>
      </c>
      <c r="H3822">
        <v>58.667000000000002</v>
      </c>
    </row>
    <row r="3823" spans="1:8" x14ac:dyDescent="0.25">
      <c r="A3823" t="s">
        <v>3829</v>
      </c>
      <c r="B3823">
        <v>5717</v>
      </c>
      <c r="C3823">
        <v>7894900501001</v>
      </c>
      <c r="D3823">
        <v>4.49</v>
      </c>
      <c r="E3823">
        <v>3.35</v>
      </c>
      <c r="F3823" s="3">
        <v>0.2908</v>
      </c>
      <c r="G3823">
        <v>3.1842000000000001</v>
      </c>
      <c r="H3823">
        <v>21.933</v>
      </c>
    </row>
    <row r="3824" spans="1:8" x14ac:dyDescent="0.25">
      <c r="A3824" t="s">
        <v>3830</v>
      </c>
      <c r="B3824">
        <v>5719</v>
      </c>
      <c r="C3824">
        <v>7894900502046</v>
      </c>
      <c r="D3824">
        <v>4.49</v>
      </c>
      <c r="E3824">
        <v>2.7</v>
      </c>
      <c r="F3824" s="3">
        <v>0.32929999999999998</v>
      </c>
      <c r="G3824">
        <v>3.0114999999999998</v>
      </c>
      <c r="H3824">
        <v>15.833</v>
      </c>
    </row>
    <row r="3825" spans="1:8" x14ac:dyDescent="0.25">
      <c r="A3825" t="s">
        <v>3831</v>
      </c>
      <c r="B3825">
        <v>64884</v>
      </c>
      <c r="C3825">
        <v>7908049501416</v>
      </c>
      <c r="D3825">
        <v>24.9</v>
      </c>
      <c r="E3825">
        <v>18.12</v>
      </c>
      <c r="F3825" s="3">
        <v>0.24719999999999998</v>
      </c>
      <c r="G3825">
        <v>16.4407</v>
      </c>
      <c r="H3825">
        <v>0.2</v>
      </c>
    </row>
    <row r="3826" spans="1:8" x14ac:dyDescent="0.25">
      <c r="A3826" t="s">
        <v>3832</v>
      </c>
      <c r="B3826">
        <v>58303</v>
      </c>
      <c r="C3826">
        <v>7891112253469</v>
      </c>
      <c r="D3826">
        <v>109.9</v>
      </c>
      <c r="E3826">
        <v>68.38</v>
      </c>
      <c r="F3826" s="3">
        <v>0.2676</v>
      </c>
      <c r="G3826">
        <v>50.538499999999999</v>
      </c>
      <c r="H3826">
        <v>0.13300000000000001</v>
      </c>
    </row>
    <row r="3827" spans="1:8" x14ac:dyDescent="0.25">
      <c r="A3827" t="s">
        <v>3833</v>
      </c>
      <c r="B3827">
        <v>58307</v>
      </c>
      <c r="C3827">
        <v>7891112229068</v>
      </c>
      <c r="D3827">
        <v>69.900000000000006</v>
      </c>
      <c r="E3827">
        <v>43.15</v>
      </c>
      <c r="F3827" s="3">
        <v>0.28239999999999998</v>
      </c>
      <c r="G3827">
        <v>31.113900000000001</v>
      </c>
      <c r="H3827">
        <v>0</v>
      </c>
    </row>
    <row r="3828" spans="1:8" x14ac:dyDescent="0.25">
      <c r="A3828" t="s">
        <v>3834</v>
      </c>
      <c r="B3828">
        <v>63061</v>
      </c>
      <c r="C3828">
        <v>7891112284869</v>
      </c>
      <c r="D3828">
        <v>41.9</v>
      </c>
      <c r="E3828">
        <v>23.52</v>
      </c>
      <c r="F3828" s="3">
        <v>0.39610000000000001</v>
      </c>
      <c r="G3828">
        <v>21.428899999999999</v>
      </c>
      <c r="H3828">
        <v>0.13300000000000001</v>
      </c>
    </row>
    <row r="3829" spans="1:8" x14ac:dyDescent="0.25">
      <c r="A3829" t="s">
        <v>3835</v>
      </c>
      <c r="B3829">
        <v>6051</v>
      </c>
      <c r="C3829">
        <v>7894000021249</v>
      </c>
      <c r="D3829">
        <v>26.9</v>
      </c>
      <c r="E3829">
        <v>14.87</v>
      </c>
      <c r="F3829" s="3">
        <v>0.32490000000000002</v>
      </c>
      <c r="G3829">
        <v>10.830299999999999</v>
      </c>
      <c r="H3829">
        <v>0.76700000000000002</v>
      </c>
    </row>
    <row r="3830" spans="1:8" x14ac:dyDescent="0.25">
      <c r="A3830" t="s">
        <v>3836</v>
      </c>
      <c r="B3830">
        <v>6468</v>
      </c>
      <c r="C3830">
        <v>7891150079212</v>
      </c>
      <c r="D3830">
        <v>9.49</v>
      </c>
      <c r="E3830">
        <v>6.65</v>
      </c>
      <c r="F3830" s="3">
        <v>0.27149999999999996</v>
      </c>
      <c r="G3830">
        <v>6.0359999999999996</v>
      </c>
      <c r="H3830">
        <v>1.7669999999999999</v>
      </c>
    </row>
    <row r="3831" spans="1:8" x14ac:dyDescent="0.25">
      <c r="A3831" t="s">
        <v>3837</v>
      </c>
      <c r="B3831">
        <v>50479</v>
      </c>
      <c r="C3831">
        <v>7896292350113</v>
      </c>
      <c r="D3831">
        <v>15.9</v>
      </c>
      <c r="E3831">
        <v>10.16</v>
      </c>
      <c r="F3831" s="3">
        <v>0.31679999999999997</v>
      </c>
      <c r="G3831">
        <v>9.3917999999999999</v>
      </c>
      <c r="H3831">
        <v>1.0329999999999999</v>
      </c>
    </row>
    <row r="3832" spans="1:8" x14ac:dyDescent="0.25">
      <c r="A3832" t="s">
        <v>3838</v>
      </c>
      <c r="B3832">
        <v>66480</v>
      </c>
      <c r="C3832">
        <v>80160281</v>
      </c>
      <c r="D3832">
        <v>13.93</v>
      </c>
      <c r="E3832">
        <v>10.5</v>
      </c>
      <c r="F3832" s="3">
        <v>0.22339999999999999</v>
      </c>
      <c r="G3832">
        <v>9.5297999999999998</v>
      </c>
      <c r="H3832">
        <v>2</v>
      </c>
    </row>
    <row r="3833" spans="1:8" x14ac:dyDescent="0.25">
      <c r="A3833" t="s">
        <v>3839</v>
      </c>
      <c r="B3833">
        <v>52718</v>
      </c>
      <c r="C3833">
        <v>7896102000368</v>
      </c>
      <c r="D3833">
        <v>14.99</v>
      </c>
      <c r="E3833">
        <v>11.24</v>
      </c>
      <c r="F3833" s="3">
        <v>0.2273</v>
      </c>
      <c r="G3833">
        <v>10.195600000000001</v>
      </c>
      <c r="H3833">
        <v>11.8</v>
      </c>
    </row>
    <row r="3834" spans="1:8" x14ac:dyDescent="0.25">
      <c r="A3834" t="s">
        <v>3840</v>
      </c>
      <c r="B3834">
        <v>10111</v>
      </c>
      <c r="C3834">
        <v>7896102593068</v>
      </c>
      <c r="D3834">
        <v>14.99</v>
      </c>
      <c r="E3834">
        <v>11.05</v>
      </c>
      <c r="F3834" s="3">
        <v>0.23920000000000002</v>
      </c>
      <c r="G3834">
        <v>10.017899999999999</v>
      </c>
      <c r="H3834">
        <v>10.667</v>
      </c>
    </row>
    <row r="3835" spans="1:8" x14ac:dyDescent="0.25">
      <c r="A3835" t="s">
        <v>3841</v>
      </c>
      <c r="B3835">
        <v>60363</v>
      </c>
      <c r="C3835">
        <v>7896102501544</v>
      </c>
      <c r="D3835">
        <v>14.99</v>
      </c>
      <c r="E3835">
        <v>11.04</v>
      </c>
      <c r="F3835" s="3">
        <v>0.23949999999999999</v>
      </c>
      <c r="G3835">
        <v>10.0138</v>
      </c>
      <c r="H3835">
        <v>12.667</v>
      </c>
    </row>
    <row r="3836" spans="1:8" x14ac:dyDescent="0.25">
      <c r="A3836" t="s">
        <v>3842</v>
      </c>
      <c r="B3836">
        <v>6709</v>
      </c>
      <c r="C3836">
        <v>7896102503708</v>
      </c>
      <c r="D3836">
        <v>14.99</v>
      </c>
      <c r="E3836">
        <v>11</v>
      </c>
      <c r="F3836" s="3">
        <v>0.24170000000000003</v>
      </c>
      <c r="G3836">
        <v>9.9802</v>
      </c>
      <c r="H3836">
        <v>86.132999999999996</v>
      </c>
    </row>
    <row r="3837" spans="1:8" x14ac:dyDescent="0.25">
      <c r="A3837" t="s">
        <v>3843</v>
      </c>
      <c r="B3837">
        <v>34479</v>
      </c>
      <c r="C3837">
        <v>7891150027855</v>
      </c>
      <c r="D3837">
        <v>8.49</v>
      </c>
      <c r="E3837">
        <v>6.06</v>
      </c>
      <c r="F3837" s="3">
        <v>0.25969999999999999</v>
      </c>
      <c r="G3837">
        <v>5.4996</v>
      </c>
      <c r="H3837">
        <v>0.433</v>
      </c>
    </row>
    <row r="3838" spans="1:8" x14ac:dyDescent="0.25">
      <c r="A3838" t="s">
        <v>3844</v>
      </c>
      <c r="B3838">
        <v>15623</v>
      </c>
      <c r="C3838">
        <v>7891150027831</v>
      </c>
      <c r="D3838">
        <v>14.99</v>
      </c>
      <c r="E3838">
        <v>10.74</v>
      </c>
      <c r="F3838" s="3">
        <v>0.25700000000000001</v>
      </c>
      <c r="G3838">
        <v>9.7506000000000004</v>
      </c>
      <c r="H3838">
        <v>1.9</v>
      </c>
    </row>
    <row r="3839" spans="1:8" x14ac:dyDescent="0.25">
      <c r="A3839" t="s">
        <v>3845</v>
      </c>
      <c r="B3839">
        <v>14250</v>
      </c>
      <c r="C3839">
        <v>7891150027848</v>
      </c>
      <c r="D3839">
        <v>14.99</v>
      </c>
      <c r="E3839">
        <v>10.74</v>
      </c>
      <c r="F3839" s="3">
        <v>0.2571</v>
      </c>
      <c r="G3839">
        <v>9.7494999999999994</v>
      </c>
      <c r="H3839">
        <v>10.6</v>
      </c>
    </row>
    <row r="3840" spans="1:8" x14ac:dyDescent="0.25">
      <c r="A3840" t="s">
        <v>3846</v>
      </c>
      <c r="B3840">
        <v>68128</v>
      </c>
      <c r="C3840">
        <v>7891150097940</v>
      </c>
      <c r="D3840">
        <v>15.99</v>
      </c>
      <c r="E3840">
        <v>11.98</v>
      </c>
      <c r="F3840" s="3">
        <v>0.22739999999999999</v>
      </c>
      <c r="G3840">
        <v>10.8741</v>
      </c>
      <c r="H3840">
        <v>20.266999999999999</v>
      </c>
    </row>
    <row r="3841" spans="1:8" x14ac:dyDescent="0.25">
      <c r="A3841" t="s">
        <v>3847</v>
      </c>
      <c r="B3841">
        <v>6710</v>
      </c>
      <c r="C3841">
        <v>7891031409039</v>
      </c>
      <c r="D3841">
        <v>10.9</v>
      </c>
      <c r="E3841">
        <v>7.43</v>
      </c>
      <c r="F3841" s="3">
        <v>0.2883</v>
      </c>
      <c r="G3841">
        <v>6.7489999999999997</v>
      </c>
      <c r="H3841">
        <v>5.633</v>
      </c>
    </row>
    <row r="3842" spans="1:8" x14ac:dyDescent="0.25">
      <c r="A3842" t="s">
        <v>3848</v>
      </c>
      <c r="B3842">
        <v>6532</v>
      </c>
      <c r="C3842">
        <v>7891031409404</v>
      </c>
      <c r="D3842">
        <v>9.99</v>
      </c>
      <c r="E3842">
        <v>7.34</v>
      </c>
      <c r="F3842" s="3">
        <v>0.23719999999999999</v>
      </c>
      <c r="G3842">
        <v>6.6966000000000001</v>
      </c>
      <c r="H3842">
        <v>42.567</v>
      </c>
    </row>
    <row r="3843" spans="1:8" x14ac:dyDescent="0.25">
      <c r="A3843" t="s">
        <v>3849</v>
      </c>
      <c r="B3843">
        <v>63783</v>
      </c>
      <c r="C3843">
        <v>7891031409121</v>
      </c>
      <c r="D3843">
        <v>15.99</v>
      </c>
      <c r="E3843">
        <v>10.02</v>
      </c>
      <c r="F3843" s="3">
        <v>0.27179999999999999</v>
      </c>
      <c r="G3843">
        <v>7.2864000000000004</v>
      </c>
      <c r="H3843">
        <v>13.266999999999999</v>
      </c>
    </row>
    <row r="3844" spans="1:8" x14ac:dyDescent="0.25">
      <c r="A3844" t="s">
        <v>3850</v>
      </c>
      <c r="B3844">
        <v>67752</v>
      </c>
      <c r="C3844">
        <v>7898958126773</v>
      </c>
      <c r="D3844">
        <v>16.399999999999999</v>
      </c>
      <c r="E3844">
        <v>12.33</v>
      </c>
      <c r="F3844" s="3">
        <v>0.22500000000000001</v>
      </c>
      <c r="G3844">
        <v>11.192500000000001</v>
      </c>
      <c r="H3844">
        <v>1.8</v>
      </c>
    </row>
    <row r="3845" spans="1:8" x14ac:dyDescent="0.25">
      <c r="A3845" t="s">
        <v>3851</v>
      </c>
      <c r="B3845">
        <v>67750</v>
      </c>
      <c r="C3845">
        <v>7898958126766</v>
      </c>
      <c r="D3845">
        <v>16.399999999999999</v>
      </c>
      <c r="E3845">
        <v>12.33</v>
      </c>
      <c r="F3845" s="3">
        <v>0.22500000000000001</v>
      </c>
      <c r="G3845">
        <v>11.192500000000001</v>
      </c>
      <c r="H3845">
        <v>1</v>
      </c>
    </row>
    <row r="3846" spans="1:8" x14ac:dyDescent="0.25">
      <c r="A3846" t="s">
        <v>3852</v>
      </c>
      <c r="B3846">
        <v>67751</v>
      </c>
      <c r="C3846">
        <v>7898958126391</v>
      </c>
      <c r="D3846">
        <v>26</v>
      </c>
      <c r="E3846">
        <v>17.829999999999998</v>
      </c>
      <c r="F3846" s="3">
        <v>0.28499999999999998</v>
      </c>
      <c r="G3846">
        <v>16.183700000000002</v>
      </c>
      <c r="H3846">
        <v>6.7000000000000004E-2</v>
      </c>
    </row>
    <row r="3847" spans="1:8" x14ac:dyDescent="0.25">
      <c r="A3847" t="s">
        <v>3853</v>
      </c>
      <c r="B3847">
        <v>3698</v>
      </c>
      <c r="C3847">
        <v>7891095006878</v>
      </c>
      <c r="D3847">
        <v>5.99</v>
      </c>
      <c r="E3847">
        <v>4.34</v>
      </c>
      <c r="F3847" s="3">
        <v>0.22649999999999998</v>
      </c>
      <c r="G3847">
        <v>3.5552000000000001</v>
      </c>
      <c r="H3847">
        <v>83.733000000000004</v>
      </c>
    </row>
    <row r="3848" spans="1:8" x14ac:dyDescent="0.25">
      <c r="A3848" t="s">
        <v>3854</v>
      </c>
      <c r="B3848">
        <v>3699</v>
      </c>
      <c r="C3848">
        <v>7891095200870</v>
      </c>
      <c r="D3848">
        <v>5.99</v>
      </c>
      <c r="E3848">
        <v>4.17</v>
      </c>
      <c r="F3848" s="3">
        <v>0.24969999999999998</v>
      </c>
      <c r="G3848">
        <v>3.4159999999999999</v>
      </c>
      <c r="H3848">
        <v>4.8330000000000002</v>
      </c>
    </row>
    <row r="3849" spans="1:8" x14ac:dyDescent="0.25">
      <c r="A3849" t="s">
        <v>3855</v>
      </c>
      <c r="B3849">
        <v>49587</v>
      </c>
      <c r="C3849">
        <v>7898202612465</v>
      </c>
      <c r="D3849">
        <v>36.9</v>
      </c>
      <c r="E3849">
        <v>22.7</v>
      </c>
      <c r="F3849" s="3">
        <v>0.3488</v>
      </c>
      <c r="G3849">
        <v>20.615600000000001</v>
      </c>
      <c r="H3849">
        <v>2.367</v>
      </c>
    </row>
    <row r="3850" spans="1:8" x14ac:dyDescent="0.25">
      <c r="A3850" t="s">
        <v>3856</v>
      </c>
      <c r="B3850">
        <v>44882</v>
      </c>
      <c r="C3850">
        <v>7896098901229</v>
      </c>
      <c r="D3850">
        <v>17.850000000000001</v>
      </c>
      <c r="E3850">
        <v>11.03</v>
      </c>
      <c r="F3850" s="3">
        <v>0.34670000000000001</v>
      </c>
      <c r="G3850">
        <v>10.0101</v>
      </c>
      <c r="H3850">
        <v>1.133</v>
      </c>
    </row>
    <row r="3851" spans="1:8" x14ac:dyDescent="0.25">
      <c r="A3851" t="s">
        <v>3857</v>
      </c>
      <c r="B3851">
        <v>66796</v>
      </c>
      <c r="C3851">
        <v>7896098902677</v>
      </c>
      <c r="D3851">
        <v>6.99</v>
      </c>
      <c r="E3851">
        <v>4.2</v>
      </c>
      <c r="F3851" s="3">
        <v>0.36219999999999997</v>
      </c>
      <c r="G3851">
        <v>3.8117000000000001</v>
      </c>
      <c r="H3851">
        <v>9.2330000000000005</v>
      </c>
    </row>
    <row r="3852" spans="1:8" x14ac:dyDescent="0.25">
      <c r="A3852" t="s">
        <v>3858</v>
      </c>
      <c r="B3852">
        <v>66797</v>
      </c>
      <c r="C3852">
        <v>7896098909614</v>
      </c>
      <c r="D3852">
        <v>30.98</v>
      </c>
      <c r="E3852">
        <v>17.850000000000001</v>
      </c>
      <c r="F3852" s="3">
        <v>0.3846</v>
      </c>
      <c r="G3852">
        <v>16.1981</v>
      </c>
      <c r="H3852">
        <v>1.2330000000000001</v>
      </c>
    </row>
    <row r="3853" spans="1:8" x14ac:dyDescent="0.25">
      <c r="A3853" t="s">
        <v>3859</v>
      </c>
      <c r="B3853">
        <v>20535</v>
      </c>
      <c r="C3853">
        <v>7896053802332</v>
      </c>
      <c r="D3853">
        <v>40.28</v>
      </c>
      <c r="E3853">
        <v>35.83</v>
      </c>
      <c r="F3853" s="3">
        <v>0.1003</v>
      </c>
      <c r="G3853">
        <v>32.5182</v>
      </c>
      <c r="H3853">
        <v>0.1</v>
      </c>
    </row>
    <row r="3854" spans="1:8" x14ac:dyDescent="0.25">
      <c r="A3854" t="s">
        <v>3860</v>
      </c>
      <c r="B3854">
        <v>67907</v>
      </c>
      <c r="C3854">
        <v>7891035002823</v>
      </c>
      <c r="D3854">
        <v>23.9</v>
      </c>
      <c r="E3854">
        <v>14.17</v>
      </c>
      <c r="F3854" s="3">
        <v>0.28439999999999999</v>
      </c>
      <c r="G3854">
        <v>10.5909</v>
      </c>
      <c r="H3854">
        <v>2.3330000000000002</v>
      </c>
    </row>
    <row r="3855" spans="1:8" x14ac:dyDescent="0.25">
      <c r="A3855" t="s">
        <v>3861</v>
      </c>
      <c r="B3855">
        <v>66627</v>
      </c>
      <c r="C3855">
        <v>7896183307431</v>
      </c>
      <c r="D3855">
        <v>52.9</v>
      </c>
      <c r="E3855">
        <v>30.6</v>
      </c>
      <c r="F3855" s="3">
        <v>0.30099999999999999</v>
      </c>
      <c r="G3855">
        <v>22.560400000000001</v>
      </c>
      <c r="H3855">
        <v>0</v>
      </c>
    </row>
    <row r="3856" spans="1:8" x14ac:dyDescent="0.25">
      <c r="A3856" t="s">
        <v>3862</v>
      </c>
      <c r="B3856">
        <v>59328</v>
      </c>
      <c r="C3856">
        <v>7898635641865</v>
      </c>
      <c r="D3856">
        <v>59.9</v>
      </c>
      <c r="E3856">
        <v>34.75</v>
      </c>
      <c r="F3856" s="3">
        <v>0.3054</v>
      </c>
      <c r="G3856">
        <v>25.280899999999999</v>
      </c>
      <c r="H3856">
        <v>0.1</v>
      </c>
    </row>
    <row r="3857" spans="1:8" x14ac:dyDescent="0.25">
      <c r="A3857" t="s">
        <v>3863</v>
      </c>
      <c r="B3857">
        <v>59194</v>
      </c>
      <c r="C3857">
        <v>1000000003147</v>
      </c>
      <c r="D3857">
        <v>12.9</v>
      </c>
      <c r="E3857">
        <v>0</v>
      </c>
      <c r="F3857" s="3">
        <v>0.90749999999999997</v>
      </c>
      <c r="G3857">
        <v>0</v>
      </c>
      <c r="H3857">
        <v>0.53300000000000003</v>
      </c>
    </row>
    <row r="3858" spans="1:8" x14ac:dyDescent="0.25">
      <c r="A3858" t="s">
        <v>3864</v>
      </c>
      <c r="B3858">
        <v>67041</v>
      </c>
      <c r="C3858">
        <v>7891000576717</v>
      </c>
      <c r="D3858">
        <v>109.99</v>
      </c>
      <c r="E3858">
        <v>90.85</v>
      </c>
      <c r="F3858" s="3">
        <v>0.1741</v>
      </c>
      <c r="G3858">
        <v>90.844999999999999</v>
      </c>
      <c r="H3858">
        <v>0.26700000000000002</v>
      </c>
    </row>
    <row r="3859" spans="1:8" x14ac:dyDescent="0.25">
      <c r="A3859" t="s">
        <v>3865</v>
      </c>
      <c r="B3859">
        <v>59037</v>
      </c>
      <c r="C3859">
        <v>7898942815294</v>
      </c>
      <c r="D3859">
        <v>49.9</v>
      </c>
      <c r="E3859">
        <v>34.909999999999997</v>
      </c>
      <c r="F3859" s="3">
        <v>0.3004</v>
      </c>
      <c r="G3859">
        <v>34.909300000000002</v>
      </c>
      <c r="H3859">
        <v>3.2669999999999999</v>
      </c>
    </row>
    <row r="3860" spans="1:8" x14ac:dyDescent="0.25">
      <c r="A3860" t="s">
        <v>3866</v>
      </c>
      <c r="B3860">
        <v>55920</v>
      </c>
      <c r="C3860">
        <v>7898933034901</v>
      </c>
      <c r="D3860">
        <v>79.900000000000006</v>
      </c>
      <c r="E3860">
        <v>47.52</v>
      </c>
      <c r="F3860" s="3">
        <v>0.4052</v>
      </c>
      <c r="G3860">
        <v>47.5229</v>
      </c>
      <c r="H3860">
        <v>3.3000000000000002E-2</v>
      </c>
    </row>
    <row r="3861" spans="1:8" x14ac:dyDescent="0.25">
      <c r="A3861" t="s">
        <v>3867</v>
      </c>
      <c r="B3861">
        <v>8180</v>
      </c>
      <c r="C3861">
        <v>4002103090120</v>
      </c>
      <c r="D3861">
        <v>99.9</v>
      </c>
      <c r="E3861">
        <v>75.39</v>
      </c>
      <c r="F3861" s="3">
        <v>0.29980000000000001</v>
      </c>
      <c r="G3861">
        <v>69.947199999999995</v>
      </c>
      <c r="H3861">
        <v>0.5</v>
      </c>
    </row>
    <row r="3862" spans="1:8" x14ac:dyDescent="0.25">
      <c r="A3862" t="s">
        <v>3868</v>
      </c>
      <c r="B3862">
        <v>32148</v>
      </c>
      <c r="C3862">
        <v>4066600999911</v>
      </c>
      <c r="D3862">
        <v>74.900000000000006</v>
      </c>
      <c r="E3862">
        <v>52.99</v>
      </c>
      <c r="F3862" s="3">
        <v>0.29249999999999998</v>
      </c>
      <c r="G3862">
        <v>52.993600000000001</v>
      </c>
      <c r="H3862">
        <v>1.2</v>
      </c>
    </row>
    <row r="3863" spans="1:8" x14ac:dyDescent="0.25">
      <c r="A3863" t="s">
        <v>3869</v>
      </c>
      <c r="B3863">
        <v>8182</v>
      </c>
      <c r="C3863">
        <v>7898933034116</v>
      </c>
      <c r="D3863">
        <v>63.91</v>
      </c>
      <c r="E3863">
        <v>43.86</v>
      </c>
      <c r="F3863" s="3">
        <v>0.31370000000000003</v>
      </c>
      <c r="G3863">
        <v>43.863300000000002</v>
      </c>
      <c r="H3863">
        <v>0.4</v>
      </c>
    </row>
    <row r="3864" spans="1:8" x14ac:dyDescent="0.25">
      <c r="A3864" t="s">
        <v>3870</v>
      </c>
      <c r="B3864">
        <v>48917</v>
      </c>
      <c r="C3864">
        <v>7894900094664</v>
      </c>
      <c r="D3864">
        <v>12.9</v>
      </c>
      <c r="E3864">
        <v>13.4</v>
      </c>
      <c r="F3864" s="3">
        <v>-3.78E-2</v>
      </c>
      <c r="G3864">
        <v>13.387</v>
      </c>
      <c r="H3864">
        <v>309.60000000000002</v>
      </c>
    </row>
    <row r="3865" spans="1:8" x14ac:dyDescent="0.25">
      <c r="A3865" t="s">
        <v>3871</v>
      </c>
      <c r="B3865">
        <v>48916</v>
      </c>
      <c r="C3865">
        <v>7894900039061</v>
      </c>
      <c r="D3865">
        <v>17.899999999999999</v>
      </c>
      <c r="E3865">
        <v>14.17</v>
      </c>
      <c r="F3865" s="3">
        <v>0.20629999999999998</v>
      </c>
      <c r="G3865">
        <v>14.2079</v>
      </c>
      <c r="H3865">
        <v>129.267</v>
      </c>
    </row>
    <row r="3866" spans="1:8" x14ac:dyDescent="0.25">
      <c r="A3866" t="s">
        <v>3872</v>
      </c>
      <c r="B3866">
        <v>68507</v>
      </c>
      <c r="C3866">
        <v>7509546696058</v>
      </c>
      <c r="D3866">
        <v>24.9</v>
      </c>
      <c r="E3866">
        <v>17.43</v>
      </c>
      <c r="F3866" s="3">
        <v>0.30010000000000003</v>
      </c>
      <c r="G3866">
        <v>17.427700000000002</v>
      </c>
      <c r="H3866">
        <v>0.3</v>
      </c>
    </row>
    <row r="3867" spans="1:8" x14ac:dyDescent="0.25">
      <c r="A3867" t="s">
        <v>3873</v>
      </c>
      <c r="B3867">
        <v>58809</v>
      </c>
      <c r="C3867">
        <v>7896183303648</v>
      </c>
      <c r="D3867">
        <v>29.7</v>
      </c>
      <c r="E3867">
        <v>15.09</v>
      </c>
      <c r="F3867" s="3">
        <v>0.37590000000000001</v>
      </c>
      <c r="G3867">
        <v>10.443199999999999</v>
      </c>
      <c r="H3867">
        <v>1.633</v>
      </c>
    </row>
    <row r="3868" spans="1:8" x14ac:dyDescent="0.25">
      <c r="A3868" t="s">
        <v>3874</v>
      </c>
      <c r="B3868">
        <v>56832</v>
      </c>
      <c r="C3868">
        <v>7891991015868</v>
      </c>
      <c r="D3868">
        <v>7.49</v>
      </c>
      <c r="E3868">
        <v>6.23</v>
      </c>
      <c r="F3868" s="3">
        <v>0.1673</v>
      </c>
      <c r="G3868">
        <v>6.2370999999999999</v>
      </c>
      <c r="H3868">
        <v>107</v>
      </c>
    </row>
    <row r="3869" spans="1:8" x14ac:dyDescent="0.25">
      <c r="A3869" t="s">
        <v>3875</v>
      </c>
      <c r="B3869">
        <v>62231</v>
      </c>
      <c r="C3869">
        <v>7896102587074</v>
      </c>
      <c r="D3869">
        <v>27.99</v>
      </c>
      <c r="E3869">
        <v>19.96</v>
      </c>
      <c r="F3869" s="3">
        <v>0.26019999999999999</v>
      </c>
      <c r="G3869">
        <v>18.1191</v>
      </c>
      <c r="H3869">
        <v>7.5</v>
      </c>
    </row>
    <row r="3870" spans="1:8" x14ac:dyDescent="0.25">
      <c r="A3870" t="s">
        <v>3876</v>
      </c>
      <c r="B3870">
        <v>57994</v>
      </c>
      <c r="C3870">
        <v>7891150077775</v>
      </c>
      <c r="D3870">
        <v>22.9</v>
      </c>
      <c r="E3870">
        <v>16.04</v>
      </c>
      <c r="F3870" s="3">
        <v>0.27260000000000001</v>
      </c>
      <c r="G3870">
        <v>14.5398</v>
      </c>
      <c r="H3870">
        <v>10.233000000000001</v>
      </c>
    </row>
    <row r="3871" spans="1:8" x14ac:dyDescent="0.25">
      <c r="A3871" t="s">
        <v>3877</v>
      </c>
      <c r="B3871">
        <v>66803</v>
      </c>
      <c r="C3871">
        <v>7891150094444</v>
      </c>
      <c r="D3871">
        <v>39.9</v>
      </c>
      <c r="E3871">
        <v>26.41</v>
      </c>
      <c r="F3871" s="3">
        <v>0.3054</v>
      </c>
      <c r="G3871">
        <v>24.023099999999999</v>
      </c>
      <c r="H3871">
        <v>4.5670000000000002</v>
      </c>
    </row>
    <row r="3872" spans="1:8" x14ac:dyDescent="0.25">
      <c r="A3872" t="s">
        <v>3878</v>
      </c>
      <c r="B3872">
        <v>55699</v>
      </c>
      <c r="C3872">
        <v>7891035991042</v>
      </c>
      <c r="D3872">
        <v>20.2</v>
      </c>
      <c r="E3872">
        <v>13.95</v>
      </c>
      <c r="F3872" s="3">
        <v>0.27960000000000002</v>
      </c>
      <c r="G3872">
        <v>12.6831</v>
      </c>
      <c r="H3872">
        <v>0.9</v>
      </c>
    </row>
    <row r="3873" spans="1:8" x14ac:dyDescent="0.25">
      <c r="A3873" t="s">
        <v>3879</v>
      </c>
      <c r="B3873">
        <v>59996</v>
      </c>
      <c r="C3873">
        <v>7891150079526</v>
      </c>
      <c r="D3873">
        <v>18.899999999999999</v>
      </c>
      <c r="E3873">
        <v>13.28</v>
      </c>
      <c r="F3873" s="3">
        <v>0.2157</v>
      </c>
      <c r="G3873">
        <v>9.6734000000000009</v>
      </c>
      <c r="H3873">
        <v>0.63300000000000001</v>
      </c>
    </row>
    <row r="3874" spans="1:8" x14ac:dyDescent="0.25">
      <c r="A3874" t="s">
        <v>3880</v>
      </c>
      <c r="B3874">
        <v>66039</v>
      </c>
      <c r="C3874">
        <v>7891035002724</v>
      </c>
      <c r="D3874">
        <v>22.9</v>
      </c>
      <c r="E3874">
        <v>15.87</v>
      </c>
      <c r="F3874" s="3">
        <v>0.27879999999999999</v>
      </c>
      <c r="G3874">
        <v>14.398300000000001</v>
      </c>
      <c r="H3874">
        <v>0.26700000000000002</v>
      </c>
    </row>
    <row r="3875" spans="1:8" x14ac:dyDescent="0.25">
      <c r="A3875" t="s">
        <v>3881</v>
      </c>
      <c r="B3875">
        <v>56943</v>
      </c>
      <c r="C3875">
        <v>7891035000515</v>
      </c>
      <c r="D3875">
        <v>31.9</v>
      </c>
      <c r="E3875">
        <v>21.51</v>
      </c>
      <c r="F3875" s="3">
        <v>0.2954</v>
      </c>
      <c r="G3875">
        <v>19.5261</v>
      </c>
      <c r="H3875">
        <v>12.532999999999999</v>
      </c>
    </row>
    <row r="3876" spans="1:8" x14ac:dyDescent="0.25">
      <c r="A3876" t="s">
        <v>3882</v>
      </c>
      <c r="B3876">
        <v>55914</v>
      </c>
      <c r="C3876">
        <v>7891150072640</v>
      </c>
      <c r="D3876">
        <v>23.48</v>
      </c>
      <c r="E3876">
        <v>17.350000000000001</v>
      </c>
      <c r="F3876" s="3">
        <v>0.23629999999999998</v>
      </c>
      <c r="G3876">
        <v>15.758800000000001</v>
      </c>
      <c r="H3876">
        <v>49.133000000000003</v>
      </c>
    </row>
    <row r="3877" spans="1:8" x14ac:dyDescent="0.25">
      <c r="A3877" t="s">
        <v>3883</v>
      </c>
      <c r="B3877">
        <v>68374</v>
      </c>
      <c r="C3877">
        <v>7891033473151</v>
      </c>
      <c r="D3877">
        <v>99.99</v>
      </c>
      <c r="E3877">
        <v>69.92</v>
      </c>
      <c r="F3877" s="3">
        <v>0.27289999999999998</v>
      </c>
      <c r="G3877">
        <v>63.452199999999998</v>
      </c>
      <c r="H3877">
        <v>0</v>
      </c>
    </row>
    <row r="3878" spans="1:8" x14ac:dyDescent="0.25">
      <c r="A3878" t="s">
        <v>3884</v>
      </c>
      <c r="B3878">
        <v>60613</v>
      </c>
      <c r="C3878">
        <v>4005900695543</v>
      </c>
      <c r="D3878">
        <v>59.9</v>
      </c>
      <c r="E3878">
        <v>38.56</v>
      </c>
      <c r="F3878" s="3">
        <v>0.35590000000000005</v>
      </c>
      <c r="G3878">
        <v>38.580599999999997</v>
      </c>
      <c r="H3878">
        <v>0</v>
      </c>
    </row>
    <row r="3879" spans="1:8" x14ac:dyDescent="0.25">
      <c r="A3879" t="s">
        <v>3885</v>
      </c>
      <c r="B3879">
        <v>66151</v>
      </c>
      <c r="C3879">
        <v>7896001002036</v>
      </c>
      <c r="D3879">
        <v>27.9</v>
      </c>
      <c r="E3879">
        <v>17.47</v>
      </c>
      <c r="F3879" s="3">
        <v>0.26850000000000002</v>
      </c>
      <c r="G3879">
        <v>12.805</v>
      </c>
      <c r="H3879">
        <v>1.7</v>
      </c>
    </row>
    <row r="3880" spans="1:8" x14ac:dyDescent="0.25">
      <c r="A3880" t="s">
        <v>3886</v>
      </c>
      <c r="B3880">
        <v>64002</v>
      </c>
      <c r="C3880">
        <v>7509546688008</v>
      </c>
      <c r="D3880">
        <v>31.9</v>
      </c>
      <c r="E3880">
        <v>19.559999999999999</v>
      </c>
      <c r="F3880" s="3">
        <v>0.38840000000000002</v>
      </c>
      <c r="G3880">
        <v>19.508500000000002</v>
      </c>
      <c r="H3880">
        <v>0.83299999999999996</v>
      </c>
    </row>
    <row r="3881" spans="1:8" x14ac:dyDescent="0.25">
      <c r="A3881" t="s">
        <v>3887</v>
      </c>
      <c r="B3881">
        <v>63865</v>
      </c>
      <c r="C3881">
        <v>7509546688015</v>
      </c>
      <c r="D3881">
        <v>21.9</v>
      </c>
      <c r="E3881">
        <v>14.02</v>
      </c>
      <c r="F3881" s="3">
        <v>0.35979999999999995</v>
      </c>
      <c r="G3881">
        <v>14.0214</v>
      </c>
      <c r="H3881">
        <v>0.53300000000000003</v>
      </c>
    </row>
    <row r="3882" spans="1:8" x14ac:dyDescent="0.25">
      <c r="A3882" t="s">
        <v>3888</v>
      </c>
      <c r="B3882">
        <v>63586</v>
      </c>
      <c r="C3882">
        <v>7509546687476</v>
      </c>
      <c r="D3882">
        <v>21.9</v>
      </c>
      <c r="E3882">
        <v>13.88</v>
      </c>
      <c r="F3882" s="3">
        <v>0.36619999999999997</v>
      </c>
      <c r="G3882">
        <v>13.879200000000001</v>
      </c>
      <c r="H3882">
        <v>0.33300000000000002</v>
      </c>
    </row>
    <row r="3883" spans="1:8" x14ac:dyDescent="0.25">
      <c r="A3883" t="s">
        <v>3889</v>
      </c>
      <c r="B3883">
        <v>63997</v>
      </c>
      <c r="C3883">
        <v>7509546689357</v>
      </c>
      <c r="D3883">
        <v>21.9</v>
      </c>
      <c r="E3883">
        <v>13.98</v>
      </c>
      <c r="F3883" s="3">
        <v>0.36170000000000002</v>
      </c>
      <c r="G3883">
        <v>13.9795</v>
      </c>
      <c r="H3883">
        <v>0.16700000000000001</v>
      </c>
    </row>
    <row r="3884" spans="1:8" x14ac:dyDescent="0.25">
      <c r="A3884" t="s">
        <v>3890</v>
      </c>
      <c r="B3884">
        <v>64000</v>
      </c>
      <c r="C3884">
        <v>7509546689340</v>
      </c>
      <c r="D3884">
        <v>21.9</v>
      </c>
      <c r="E3884">
        <v>13.99</v>
      </c>
      <c r="F3884" s="3">
        <v>0.35880000000000001</v>
      </c>
      <c r="G3884">
        <v>14.0426</v>
      </c>
      <c r="H3884">
        <v>0.23300000000000001</v>
      </c>
    </row>
    <row r="3885" spans="1:8" x14ac:dyDescent="0.25">
      <c r="A3885" t="s">
        <v>3891</v>
      </c>
      <c r="B3885">
        <v>27981</v>
      </c>
      <c r="C3885">
        <v>7891035040580</v>
      </c>
      <c r="D3885">
        <v>59.9</v>
      </c>
      <c r="E3885">
        <v>42.06</v>
      </c>
      <c r="F3885" s="3">
        <v>0.26750000000000002</v>
      </c>
      <c r="G3885">
        <v>38.3354</v>
      </c>
      <c r="H3885">
        <v>12.367000000000001</v>
      </c>
    </row>
    <row r="3886" spans="1:8" x14ac:dyDescent="0.25">
      <c r="A3886" t="s">
        <v>3892</v>
      </c>
      <c r="B3886">
        <v>43600</v>
      </c>
      <c r="C3886">
        <v>4901497475233</v>
      </c>
      <c r="D3886">
        <v>27.9</v>
      </c>
      <c r="E3886">
        <v>12.84</v>
      </c>
      <c r="F3886" s="3">
        <v>0.3926</v>
      </c>
      <c r="G3886">
        <v>9.3439999999999994</v>
      </c>
      <c r="H3886">
        <v>0.1</v>
      </c>
    </row>
    <row r="3887" spans="1:8" x14ac:dyDescent="0.25">
      <c r="A3887" t="s">
        <v>3893</v>
      </c>
      <c r="B3887">
        <v>62031</v>
      </c>
      <c r="C3887">
        <v>7896090100101</v>
      </c>
      <c r="D3887">
        <v>3.9</v>
      </c>
      <c r="E3887">
        <v>1.37</v>
      </c>
      <c r="F3887" s="3">
        <v>0.60189999999999999</v>
      </c>
      <c r="G3887">
        <v>1.1916</v>
      </c>
      <c r="H3887">
        <v>5.7329999999999997</v>
      </c>
    </row>
    <row r="3888" spans="1:8" x14ac:dyDescent="0.25">
      <c r="A3888" t="s">
        <v>3894</v>
      </c>
      <c r="B3888">
        <v>62272</v>
      </c>
      <c r="C3888">
        <v>7896090100118</v>
      </c>
      <c r="D3888">
        <v>3.5</v>
      </c>
      <c r="E3888">
        <v>1.01</v>
      </c>
      <c r="F3888" s="3">
        <v>0.64590000000000003</v>
      </c>
      <c r="G3888">
        <v>0.91549999999999998</v>
      </c>
      <c r="H3888">
        <v>13.867000000000001</v>
      </c>
    </row>
    <row r="3889" spans="1:8" x14ac:dyDescent="0.25">
      <c r="A3889" t="s">
        <v>3895</v>
      </c>
      <c r="B3889">
        <v>5801</v>
      </c>
      <c r="C3889">
        <v>7891022161007</v>
      </c>
      <c r="D3889">
        <v>4.9000000000000004</v>
      </c>
      <c r="E3889">
        <v>2.44</v>
      </c>
      <c r="F3889" s="3">
        <v>0.44750000000000001</v>
      </c>
      <c r="G3889">
        <v>2.2538999999999998</v>
      </c>
      <c r="H3889">
        <v>52.8</v>
      </c>
    </row>
    <row r="3890" spans="1:8" x14ac:dyDescent="0.25">
      <c r="A3890" t="s">
        <v>3896</v>
      </c>
      <c r="B3890">
        <v>68652</v>
      </c>
      <c r="C3890">
        <v>7896007941308</v>
      </c>
      <c r="D3890">
        <v>14.9</v>
      </c>
      <c r="E3890">
        <v>5.27</v>
      </c>
      <c r="F3890" s="3">
        <v>0.57669999999999999</v>
      </c>
      <c r="G3890">
        <v>4.9291</v>
      </c>
      <c r="H3890">
        <v>2.2330000000000001</v>
      </c>
    </row>
    <row r="3891" spans="1:8" x14ac:dyDescent="0.25">
      <c r="A3891" t="s">
        <v>3897</v>
      </c>
      <c r="B3891">
        <v>67474</v>
      </c>
      <c r="C3891">
        <v>7898152998961</v>
      </c>
      <c r="D3891">
        <v>9.9</v>
      </c>
      <c r="E3891">
        <v>7.25</v>
      </c>
      <c r="F3891" s="3">
        <v>0.2492</v>
      </c>
      <c r="G3891">
        <v>6.7401</v>
      </c>
      <c r="H3891">
        <v>1.0669999999999999</v>
      </c>
    </row>
    <row r="3892" spans="1:8" x14ac:dyDescent="0.25">
      <c r="A3892" t="s">
        <v>3898</v>
      </c>
      <c r="B3892">
        <v>65833</v>
      </c>
      <c r="C3892">
        <v>7898957023059</v>
      </c>
      <c r="D3892">
        <v>14.9</v>
      </c>
      <c r="E3892">
        <v>8.7899999999999991</v>
      </c>
      <c r="F3892" s="3">
        <v>0.29799999999999999</v>
      </c>
      <c r="G3892">
        <v>6.4001000000000001</v>
      </c>
      <c r="H3892">
        <v>1.333</v>
      </c>
    </row>
    <row r="3893" spans="1:8" x14ac:dyDescent="0.25">
      <c r="A3893" t="s">
        <v>3899</v>
      </c>
      <c r="B3893">
        <v>65834</v>
      </c>
      <c r="C3893">
        <v>7898957023011</v>
      </c>
      <c r="D3893">
        <v>14.9</v>
      </c>
      <c r="E3893">
        <v>10.34</v>
      </c>
      <c r="F3893" s="3">
        <v>0.2228</v>
      </c>
      <c r="G3893">
        <v>7.5194000000000001</v>
      </c>
      <c r="H3893">
        <v>0.8</v>
      </c>
    </row>
    <row r="3894" spans="1:8" x14ac:dyDescent="0.25">
      <c r="A3894" t="s">
        <v>3900</v>
      </c>
      <c r="B3894">
        <v>65835</v>
      </c>
      <c r="C3894">
        <v>7898957023066</v>
      </c>
      <c r="D3894">
        <v>14.9</v>
      </c>
      <c r="E3894">
        <v>8.42</v>
      </c>
      <c r="F3894" s="3">
        <v>0.30809999999999998</v>
      </c>
      <c r="G3894">
        <v>6.2496</v>
      </c>
      <c r="H3894">
        <v>2.6669999999999998</v>
      </c>
    </row>
    <row r="3895" spans="1:8" x14ac:dyDescent="0.25">
      <c r="A3895" t="s">
        <v>3901</v>
      </c>
      <c r="B3895">
        <v>65836</v>
      </c>
      <c r="C3895">
        <v>7898957023080</v>
      </c>
      <c r="D3895">
        <v>14.9</v>
      </c>
      <c r="E3895">
        <v>8.68</v>
      </c>
      <c r="F3895" s="3">
        <v>0.29670000000000002</v>
      </c>
      <c r="G3895">
        <v>6.4188999999999998</v>
      </c>
      <c r="H3895">
        <v>2.1669999999999998</v>
      </c>
    </row>
    <row r="3896" spans="1:8" x14ac:dyDescent="0.25">
      <c r="A3896" t="s">
        <v>3902</v>
      </c>
      <c r="B3896">
        <v>65837</v>
      </c>
      <c r="C3896">
        <v>7898957023028</v>
      </c>
      <c r="D3896">
        <v>14.9</v>
      </c>
      <c r="E3896">
        <v>10.34</v>
      </c>
      <c r="F3896" s="3">
        <v>0.2228</v>
      </c>
      <c r="G3896">
        <v>7.5194000000000001</v>
      </c>
      <c r="H3896">
        <v>0.9</v>
      </c>
    </row>
    <row r="3897" spans="1:8" x14ac:dyDescent="0.25">
      <c r="A3897" t="s">
        <v>3903</v>
      </c>
      <c r="B3897">
        <v>69203</v>
      </c>
      <c r="C3897">
        <v>7896098905333</v>
      </c>
      <c r="D3897">
        <v>39.9</v>
      </c>
      <c r="E3897">
        <v>26.26</v>
      </c>
      <c r="F3897" s="3">
        <v>0.31030000000000002</v>
      </c>
      <c r="G3897">
        <v>23.827500000000001</v>
      </c>
      <c r="H3897">
        <v>0.33300000000000002</v>
      </c>
    </row>
    <row r="3898" spans="1:8" x14ac:dyDescent="0.25">
      <c r="A3898" t="s">
        <v>3904</v>
      </c>
      <c r="B3898">
        <v>62334</v>
      </c>
      <c r="C3898">
        <v>7896098902639</v>
      </c>
      <c r="D3898">
        <v>24.9</v>
      </c>
      <c r="E3898">
        <v>15.89</v>
      </c>
      <c r="F3898" s="3">
        <v>0.32890000000000003</v>
      </c>
      <c r="G3898">
        <v>14.407400000000001</v>
      </c>
      <c r="H3898">
        <v>5.867</v>
      </c>
    </row>
    <row r="3899" spans="1:8" x14ac:dyDescent="0.25">
      <c r="A3899" t="s">
        <v>3905</v>
      </c>
      <c r="B3899">
        <v>57836</v>
      </c>
      <c r="C3899">
        <v>7891150071629</v>
      </c>
      <c r="D3899">
        <v>8.49</v>
      </c>
      <c r="E3899">
        <v>5.54</v>
      </c>
      <c r="F3899" s="3">
        <v>0.31480000000000002</v>
      </c>
      <c r="G3899">
        <v>5.0316999999999998</v>
      </c>
      <c r="H3899">
        <v>0.3</v>
      </c>
    </row>
    <row r="3900" spans="1:8" x14ac:dyDescent="0.25">
      <c r="A3900" t="s">
        <v>3906</v>
      </c>
      <c r="B3900">
        <v>57838</v>
      </c>
      <c r="C3900">
        <v>7891150071605</v>
      </c>
      <c r="D3900">
        <v>8.49</v>
      </c>
      <c r="E3900">
        <v>5.55</v>
      </c>
      <c r="F3900" s="3">
        <v>0.3145</v>
      </c>
      <c r="G3900">
        <v>5.0343</v>
      </c>
      <c r="H3900">
        <v>0.93300000000000005</v>
      </c>
    </row>
    <row r="3901" spans="1:8" x14ac:dyDescent="0.25">
      <c r="A3901" t="s">
        <v>3907</v>
      </c>
      <c r="B3901">
        <v>57837</v>
      </c>
      <c r="C3901">
        <v>7891150071612</v>
      </c>
      <c r="D3901">
        <v>8.49</v>
      </c>
      <c r="E3901">
        <v>5.55</v>
      </c>
      <c r="F3901" s="3">
        <v>0.31469999999999998</v>
      </c>
      <c r="G3901">
        <v>5.0324999999999998</v>
      </c>
      <c r="H3901">
        <v>1.7669999999999999</v>
      </c>
    </row>
    <row r="3902" spans="1:8" x14ac:dyDescent="0.25">
      <c r="A3902" t="s">
        <v>3908</v>
      </c>
      <c r="B3902">
        <v>66892</v>
      </c>
      <c r="C3902">
        <v>7891022867558</v>
      </c>
      <c r="D3902">
        <v>7.9</v>
      </c>
      <c r="E3902">
        <v>4.4400000000000004</v>
      </c>
      <c r="F3902" s="3">
        <v>0.39770000000000005</v>
      </c>
      <c r="G3902">
        <v>4.0271999999999997</v>
      </c>
      <c r="H3902">
        <v>3.5329999999999999</v>
      </c>
    </row>
    <row r="3903" spans="1:8" x14ac:dyDescent="0.25">
      <c r="A3903" t="s">
        <v>3909</v>
      </c>
      <c r="B3903">
        <v>66896</v>
      </c>
      <c r="C3903">
        <v>7891022867510</v>
      </c>
      <c r="D3903">
        <v>7.9</v>
      </c>
      <c r="E3903">
        <v>4.4000000000000004</v>
      </c>
      <c r="F3903" s="3">
        <v>0.4017</v>
      </c>
      <c r="G3903">
        <v>3.9958</v>
      </c>
      <c r="H3903">
        <v>6.5670000000000002</v>
      </c>
    </row>
    <row r="3904" spans="1:8" x14ac:dyDescent="0.25">
      <c r="A3904" t="s">
        <v>3910</v>
      </c>
      <c r="B3904">
        <v>66895</v>
      </c>
      <c r="C3904">
        <v>7891022867534</v>
      </c>
      <c r="D3904">
        <v>7.9</v>
      </c>
      <c r="E3904">
        <v>4.5</v>
      </c>
      <c r="F3904" s="3">
        <v>0.39490000000000003</v>
      </c>
      <c r="G3904">
        <v>4.0496999999999996</v>
      </c>
      <c r="H3904">
        <v>6.4669999999999996</v>
      </c>
    </row>
    <row r="3905" spans="1:8" x14ac:dyDescent="0.25">
      <c r="A3905" t="s">
        <v>3911</v>
      </c>
      <c r="B3905">
        <v>66894</v>
      </c>
      <c r="C3905">
        <v>7891022867527</v>
      </c>
      <c r="D3905">
        <v>7.9</v>
      </c>
      <c r="E3905">
        <v>4.4000000000000004</v>
      </c>
      <c r="F3905" s="3">
        <v>0.4022</v>
      </c>
      <c r="G3905">
        <v>3.9918999999999998</v>
      </c>
      <c r="H3905">
        <v>4.7</v>
      </c>
    </row>
    <row r="3906" spans="1:8" x14ac:dyDescent="0.25">
      <c r="A3906" t="s">
        <v>3912</v>
      </c>
      <c r="B3906">
        <v>66893</v>
      </c>
      <c r="C3906">
        <v>7891022867541</v>
      </c>
      <c r="D3906">
        <v>7.9</v>
      </c>
      <c r="E3906">
        <v>4.38</v>
      </c>
      <c r="F3906" s="3">
        <v>0.40490000000000004</v>
      </c>
      <c r="G3906">
        <v>3.9706000000000001</v>
      </c>
      <c r="H3906">
        <v>4.6669999999999998</v>
      </c>
    </row>
    <row r="3907" spans="1:8" x14ac:dyDescent="0.25">
      <c r="A3907" t="s">
        <v>3913</v>
      </c>
      <c r="B3907">
        <v>62710</v>
      </c>
      <c r="C3907">
        <v>7896098902073</v>
      </c>
      <c r="D3907">
        <v>8.9</v>
      </c>
      <c r="E3907">
        <v>5.77</v>
      </c>
      <c r="F3907" s="3">
        <v>0.31430000000000002</v>
      </c>
      <c r="G3907">
        <v>5.2793999999999999</v>
      </c>
      <c r="H3907">
        <v>3.5670000000000002</v>
      </c>
    </row>
    <row r="3908" spans="1:8" x14ac:dyDescent="0.25">
      <c r="A3908" t="s">
        <v>3914</v>
      </c>
      <c r="B3908">
        <v>37844</v>
      </c>
      <c r="C3908">
        <v>7896098902035</v>
      </c>
      <c r="D3908">
        <v>8.9</v>
      </c>
      <c r="E3908">
        <v>4.8499999999999996</v>
      </c>
      <c r="F3908" s="3">
        <v>0.41490000000000005</v>
      </c>
      <c r="G3908">
        <v>4.3844000000000003</v>
      </c>
      <c r="H3908">
        <v>3.4</v>
      </c>
    </row>
    <row r="3909" spans="1:8" x14ac:dyDescent="0.25">
      <c r="A3909" t="s">
        <v>3915</v>
      </c>
      <c r="B3909">
        <v>37845</v>
      </c>
      <c r="C3909">
        <v>7896098902028</v>
      </c>
      <c r="D3909">
        <v>8.9</v>
      </c>
      <c r="E3909">
        <v>5.07</v>
      </c>
      <c r="F3909" s="3">
        <v>0.40639999999999998</v>
      </c>
      <c r="G3909">
        <v>4.4600999999999997</v>
      </c>
      <c r="H3909">
        <v>2.9</v>
      </c>
    </row>
    <row r="3910" spans="1:8" x14ac:dyDescent="0.25">
      <c r="A3910" t="s">
        <v>3916</v>
      </c>
      <c r="B3910">
        <v>66897</v>
      </c>
      <c r="C3910">
        <v>7891022867398</v>
      </c>
      <c r="D3910">
        <v>55.9</v>
      </c>
      <c r="E3910">
        <v>36.24</v>
      </c>
      <c r="F3910" s="3">
        <v>0.3165</v>
      </c>
      <c r="G3910">
        <v>33.036799999999999</v>
      </c>
      <c r="H3910">
        <v>0.4</v>
      </c>
    </row>
    <row r="3911" spans="1:8" x14ac:dyDescent="0.25">
      <c r="A3911" t="s">
        <v>3917</v>
      </c>
      <c r="B3911">
        <v>7944</v>
      </c>
      <c r="C3911">
        <v>7891022856729</v>
      </c>
      <c r="D3911">
        <v>55.9</v>
      </c>
      <c r="E3911">
        <v>38.340000000000003</v>
      </c>
      <c r="F3911" s="3">
        <v>0.28870000000000001</v>
      </c>
      <c r="G3911">
        <v>34.590299999999999</v>
      </c>
      <c r="H3911">
        <v>1.0329999999999999</v>
      </c>
    </row>
    <row r="3912" spans="1:8" x14ac:dyDescent="0.25">
      <c r="A3912" t="s">
        <v>3918</v>
      </c>
      <c r="B3912">
        <v>57080</v>
      </c>
      <c r="C3912">
        <v>7891150071193</v>
      </c>
      <c r="D3912">
        <v>29.9</v>
      </c>
      <c r="E3912">
        <v>28.56</v>
      </c>
      <c r="F3912" s="3">
        <v>4.0099999999999997E-2</v>
      </c>
      <c r="G3912">
        <v>25.936299999999999</v>
      </c>
      <c r="H3912">
        <v>4.867</v>
      </c>
    </row>
    <row r="3913" spans="1:8" x14ac:dyDescent="0.25">
      <c r="A3913" t="s">
        <v>3919</v>
      </c>
      <c r="B3913">
        <v>56065</v>
      </c>
      <c r="C3913">
        <v>7891150064713</v>
      </c>
      <c r="D3913">
        <v>29.9</v>
      </c>
      <c r="E3913">
        <v>28.25</v>
      </c>
      <c r="F3913" s="3">
        <v>4.6300000000000001E-2</v>
      </c>
      <c r="G3913">
        <v>25.749400000000001</v>
      </c>
      <c r="H3913">
        <v>7.8330000000000002</v>
      </c>
    </row>
    <row r="3914" spans="1:8" x14ac:dyDescent="0.25">
      <c r="A3914" t="s">
        <v>3920</v>
      </c>
      <c r="B3914">
        <v>5817</v>
      </c>
      <c r="C3914">
        <v>7891150020672</v>
      </c>
      <c r="D3914">
        <v>29.9</v>
      </c>
      <c r="E3914">
        <v>27.84</v>
      </c>
      <c r="F3914" s="3">
        <v>6.4299999999999996E-2</v>
      </c>
      <c r="G3914">
        <v>25.2102</v>
      </c>
      <c r="H3914">
        <v>6.6</v>
      </c>
    </row>
    <row r="3915" spans="1:8" x14ac:dyDescent="0.25">
      <c r="A3915" t="s">
        <v>3921</v>
      </c>
      <c r="B3915">
        <v>58039</v>
      </c>
      <c r="C3915">
        <v>7891150077294</v>
      </c>
      <c r="D3915">
        <v>35.9</v>
      </c>
      <c r="E3915">
        <v>25.59</v>
      </c>
      <c r="F3915" s="3">
        <v>0.26069999999999999</v>
      </c>
      <c r="G3915">
        <v>23.220400000000001</v>
      </c>
      <c r="H3915">
        <v>0.433</v>
      </c>
    </row>
    <row r="3916" spans="1:8" x14ac:dyDescent="0.25">
      <c r="A3916" t="s">
        <v>3922</v>
      </c>
      <c r="B3916">
        <v>59786</v>
      </c>
      <c r="C3916">
        <v>7891150066526</v>
      </c>
      <c r="D3916">
        <v>10.9</v>
      </c>
      <c r="E3916">
        <v>10.61</v>
      </c>
      <c r="F3916" s="3">
        <v>2.12E-2</v>
      </c>
      <c r="G3916">
        <v>9.6607000000000003</v>
      </c>
      <c r="H3916">
        <v>32.1</v>
      </c>
    </row>
    <row r="3917" spans="1:8" x14ac:dyDescent="0.25">
      <c r="A3917" t="s">
        <v>3923</v>
      </c>
      <c r="B3917">
        <v>59787</v>
      </c>
      <c r="C3917">
        <v>7891150066519</v>
      </c>
      <c r="D3917">
        <v>10.9</v>
      </c>
      <c r="E3917">
        <v>10.65</v>
      </c>
      <c r="F3917" s="3">
        <v>1.9099999999999999E-2</v>
      </c>
      <c r="G3917">
        <v>9.6830999999999996</v>
      </c>
      <c r="H3917">
        <v>33.433</v>
      </c>
    </row>
    <row r="3918" spans="1:8" x14ac:dyDescent="0.25">
      <c r="A3918" t="s">
        <v>3924</v>
      </c>
      <c r="B3918">
        <v>5819</v>
      </c>
      <c r="C3918">
        <v>7891022851526</v>
      </c>
      <c r="D3918">
        <v>15.9</v>
      </c>
      <c r="E3918">
        <v>10.84</v>
      </c>
      <c r="F3918" s="3">
        <v>0.28739999999999999</v>
      </c>
      <c r="G3918">
        <v>9.8602000000000007</v>
      </c>
      <c r="H3918">
        <v>0.56699999999999995</v>
      </c>
    </row>
    <row r="3919" spans="1:8" x14ac:dyDescent="0.25">
      <c r="A3919" t="s">
        <v>3925</v>
      </c>
      <c r="B3919">
        <v>61012</v>
      </c>
      <c r="C3919">
        <v>7509546667850</v>
      </c>
      <c r="D3919">
        <v>32.99</v>
      </c>
      <c r="E3919">
        <v>26.94</v>
      </c>
      <c r="F3919" s="3">
        <v>0.16339999999999999</v>
      </c>
      <c r="G3919">
        <v>24.547599999999999</v>
      </c>
      <c r="H3919">
        <v>0.86699999999999999</v>
      </c>
    </row>
    <row r="3920" spans="1:8" x14ac:dyDescent="0.25">
      <c r="A3920" t="s">
        <v>3926</v>
      </c>
      <c r="B3920">
        <v>68505</v>
      </c>
      <c r="C3920">
        <v>7509546695723</v>
      </c>
      <c r="D3920">
        <v>20.7</v>
      </c>
      <c r="E3920">
        <v>14.54</v>
      </c>
      <c r="F3920" s="3">
        <v>0.27010000000000001</v>
      </c>
      <c r="G3920">
        <v>13.1952</v>
      </c>
      <c r="H3920">
        <v>1.2669999999999999</v>
      </c>
    </row>
    <row r="3921" spans="1:8" x14ac:dyDescent="0.25">
      <c r="A3921" t="s">
        <v>3927</v>
      </c>
      <c r="B3921">
        <v>68504</v>
      </c>
      <c r="C3921">
        <v>7509546695716</v>
      </c>
      <c r="D3921">
        <v>20.7</v>
      </c>
      <c r="E3921">
        <v>14.2</v>
      </c>
      <c r="F3921" s="3">
        <v>0.27649999999999997</v>
      </c>
      <c r="G3921">
        <v>13.062099999999999</v>
      </c>
      <c r="H3921">
        <v>1.4</v>
      </c>
    </row>
    <row r="3922" spans="1:8" x14ac:dyDescent="0.25">
      <c r="A3922" t="s">
        <v>3928</v>
      </c>
      <c r="B3922">
        <v>20046</v>
      </c>
      <c r="C3922">
        <v>7891024128596</v>
      </c>
      <c r="D3922">
        <v>19.899999999999999</v>
      </c>
      <c r="E3922">
        <v>17.850000000000001</v>
      </c>
      <c r="F3922" s="3">
        <v>8.929999999999999E-2</v>
      </c>
      <c r="G3922">
        <v>16.281300000000002</v>
      </c>
      <c r="H3922">
        <v>3.8330000000000002</v>
      </c>
    </row>
    <row r="3923" spans="1:8" x14ac:dyDescent="0.25">
      <c r="A3923" t="s">
        <v>3929</v>
      </c>
      <c r="B3923">
        <v>37590</v>
      </c>
      <c r="C3923">
        <v>7891024026281</v>
      </c>
      <c r="D3923">
        <v>19.899999999999999</v>
      </c>
      <c r="E3923">
        <v>17.8</v>
      </c>
      <c r="F3923" s="3">
        <v>8.6800000000000002E-2</v>
      </c>
      <c r="G3923">
        <v>16.331900000000001</v>
      </c>
      <c r="H3923">
        <v>2.1</v>
      </c>
    </row>
    <row r="3924" spans="1:8" x14ac:dyDescent="0.25">
      <c r="A3924" t="s">
        <v>3930</v>
      </c>
      <c r="B3924">
        <v>64612</v>
      </c>
      <c r="C3924">
        <v>7509546687803</v>
      </c>
      <c r="D3924">
        <v>19.899999999999999</v>
      </c>
      <c r="E3924">
        <v>17.2</v>
      </c>
      <c r="F3924" s="3">
        <v>0.12300000000000001</v>
      </c>
      <c r="G3924">
        <v>15.611599999999999</v>
      </c>
      <c r="H3924">
        <v>3.3000000000000002E-2</v>
      </c>
    </row>
    <row r="3925" spans="1:8" x14ac:dyDescent="0.25">
      <c r="A3925" t="s">
        <v>3931</v>
      </c>
      <c r="B3925">
        <v>58139</v>
      </c>
      <c r="C3925">
        <v>7509546662787</v>
      </c>
      <c r="D3925">
        <v>28.9</v>
      </c>
      <c r="E3925">
        <v>17.13</v>
      </c>
      <c r="F3925" s="3">
        <v>0.36969999999999997</v>
      </c>
      <c r="G3925">
        <v>15.543799999999999</v>
      </c>
      <c r="H3925">
        <v>0.26700000000000002</v>
      </c>
    </row>
    <row r="3926" spans="1:8" x14ac:dyDescent="0.25">
      <c r="A3926" t="s">
        <v>3932</v>
      </c>
      <c r="B3926">
        <v>20049</v>
      </c>
      <c r="C3926">
        <v>7891024128565</v>
      </c>
      <c r="D3926">
        <v>19.899999999999999</v>
      </c>
      <c r="E3926">
        <v>17.34</v>
      </c>
      <c r="F3926" s="3">
        <v>0.1084</v>
      </c>
      <c r="G3926">
        <v>15.9025</v>
      </c>
      <c r="H3926">
        <v>1.667</v>
      </c>
    </row>
    <row r="3927" spans="1:8" x14ac:dyDescent="0.25">
      <c r="A3927" t="s">
        <v>3933</v>
      </c>
      <c r="B3927">
        <v>20045</v>
      </c>
      <c r="C3927">
        <v>7891024128510</v>
      </c>
      <c r="D3927">
        <v>15.9</v>
      </c>
      <c r="E3927">
        <v>9.57</v>
      </c>
      <c r="F3927" s="3">
        <v>0.36099999999999999</v>
      </c>
      <c r="G3927">
        <v>8.6890000000000001</v>
      </c>
      <c r="H3927">
        <v>6.7000000000000004E-2</v>
      </c>
    </row>
    <row r="3928" spans="1:8" x14ac:dyDescent="0.25">
      <c r="A3928" t="s">
        <v>3934</v>
      </c>
      <c r="B3928">
        <v>50066</v>
      </c>
      <c r="C3928">
        <v>7891024039847</v>
      </c>
      <c r="D3928">
        <v>10.9</v>
      </c>
      <c r="E3928">
        <v>10.15</v>
      </c>
      <c r="F3928" s="3">
        <v>6.25E-2</v>
      </c>
      <c r="G3928">
        <v>9.2100000000000009</v>
      </c>
      <c r="H3928">
        <v>0.53300000000000003</v>
      </c>
    </row>
    <row r="3929" spans="1:8" x14ac:dyDescent="0.25">
      <c r="A3929" t="s">
        <v>3935</v>
      </c>
      <c r="B3929">
        <v>20043</v>
      </c>
      <c r="C3929">
        <v>7891024128503</v>
      </c>
      <c r="D3929">
        <v>15.9</v>
      </c>
      <c r="E3929">
        <v>9.57</v>
      </c>
      <c r="F3929" s="3">
        <v>0.36099999999999999</v>
      </c>
      <c r="G3929">
        <v>8.6891999999999996</v>
      </c>
      <c r="H3929">
        <v>0.33300000000000002</v>
      </c>
    </row>
    <row r="3930" spans="1:8" x14ac:dyDescent="0.25">
      <c r="A3930" t="s">
        <v>3936</v>
      </c>
      <c r="B3930">
        <v>59121</v>
      </c>
      <c r="C3930">
        <v>7891150078888</v>
      </c>
      <c r="D3930">
        <v>20.9</v>
      </c>
      <c r="E3930">
        <v>15.03</v>
      </c>
      <c r="F3930" s="3">
        <v>0.25469999999999998</v>
      </c>
      <c r="G3930">
        <v>13.6439</v>
      </c>
      <c r="H3930">
        <v>0.63300000000000001</v>
      </c>
    </row>
    <row r="3931" spans="1:8" x14ac:dyDescent="0.25">
      <c r="A3931" t="s">
        <v>3937</v>
      </c>
      <c r="B3931">
        <v>59338</v>
      </c>
      <c r="C3931">
        <v>7891150072817</v>
      </c>
      <c r="D3931">
        <v>20.9</v>
      </c>
      <c r="E3931">
        <v>14.93</v>
      </c>
      <c r="F3931" s="3">
        <v>0.25940000000000002</v>
      </c>
      <c r="G3931">
        <v>13.544600000000001</v>
      </c>
      <c r="H3931">
        <v>1.5669999999999999</v>
      </c>
    </row>
    <row r="3932" spans="1:8" x14ac:dyDescent="0.25">
      <c r="A3932" t="s">
        <v>3938</v>
      </c>
      <c r="B3932">
        <v>63655</v>
      </c>
      <c r="C3932">
        <v>7891150089518</v>
      </c>
      <c r="D3932">
        <v>16.989999999999998</v>
      </c>
      <c r="E3932">
        <v>11.21</v>
      </c>
      <c r="F3932" s="3">
        <v>0.3095</v>
      </c>
      <c r="G3932">
        <v>10.1607</v>
      </c>
      <c r="H3932">
        <v>7.5</v>
      </c>
    </row>
    <row r="3933" spans="1:8" x14ac:dyDescent="0.25">
      <c r="A3933" t="s">
        <v>3939</v>
      </c>
      <c r="B3933">
        <v>53063</v>
      </c>
      <c r="C3933">
        <v>7896056404458</v>
      </c>
      <c r="D3933">
        <v>16.899999999999999</v>
      </c>
      <c r="E3933">
        <v>9.76</v>
      </c>
      <c r="F3933" s="3">
        <v>0.38270000000000004</v>
      </c>
      <c r="G3933">
        <v>8.8696999999999999</v>
      </c>
      <c r="H3933">
        <v>1.5</v>
      </c>
    </row>
    <row r="3934" spans="1:8" x14ac:dyDescent="0.25">
      <c r="A3934" t="s">
        <v>3940</v>
      </c>
      <c r="B3934">
        <v>55923</v>
      </c>
      <c r="C3934">
        <v>7891150065741</v>
      </c>
      <c r="D3934">
        <v>21.9</v>
      </c>
      <c r="E3934">
        <v>11.86</v>
      </c>
      <c r="F3934" s="3">
        <v>0.41590000000000005</v>
      </c>
      <c r="G3934">
        <v>10.7662</v>
      </c>
      <c r="H3934">
        <v>6.7000000000000004E-2</v>
      </c>
    </row>
    <row r="3935" spans="1:8" x14ac:dyDescent="0.25">
      <c r="A3935" t="s">
        <v>3941</v>
      </c>
      <c r="B3935">
        <v>62339</v>
      </c>
      <c r="C3935">
        <v>7896098904015</v>
      </c>
      <c r="D3935">
        <v>41.8</v>
      </c>
      <c r="E3935">
        <v>25</v>
      </c>
      <c r="F3935" s="3">
        <v>0.38049999999999995</v>
      </c>
      <c r="G3935">
        <v>22.033100000000001</v>
      </c>
      <c r="H3935">
        <v>0.26700000000000002</v>
      </c>
    </row>
    <row r="3936" spans="1:8" x14ac:dyDescent="0.25">
      <c r="A3936" t="s">
        <v>3942</v>
      </c>
      <c r="B3936">
        <v>65624</v>
      </c>
      <c r="C3936">
        <v>7896098904053</v>
      </c>
      <c r="D3936">
        <v>13.9</v>
      </c>
      <c r="E3936">
        <v>7.75</v>
      </c>
      <c r="F3936" s="3">
        <v>0.40389999999999998</v>
      </c>
      <c r="G3936">
        <v>7.0007000000000001</v>
      </c>
      <c r="H3936">
        <v>2.9</v>
      </c>
    </row>
    <row r="3937" spans="1:8" x14ac:dyDescent="0.25">
      <c r="A3937" t="s">
        <v>3943</v>
      </c>
      <c r="B3937">
        <v>44795</v>
      </c>
      <c r="C3937">
        <v>7896056400740</v>
      </c>
      <c r="D3937">
        <v>9.9</v>
      </c>
      <c r="E3937">
        <v>5.66</v>
      </c>
      <c r="F3937" s="3">
        <v>0.38829999999999998</v>
      </c>
      <c r="G3937">
        <v>5.1402999999999999</v>
      </c>
      <c r="H3937">
        <v>1.5329999999999999</v>
      </c>
    </row>
    <row r="3938" spans="1:8" x14ac:dyDescent="0.25">
      <c r="A3938" t="s">
        <v>3944</v>
      </c>
      <c r="B3938">
        <v>59997</v>
      </c>
      <c r="C3938">
        <v>7896098902868</v>
      </c>
      <c r="D3938">
        <v>16.899999999999999</v>
      </c>
      <c r="E3938">
        <v>8.39</v>
      </c>
      <c r="F3938" s="3">
        <v>0.45779999999999998</v>
      </c>
      <c r="G3938">
        <v>7.6</v>
      </c>
      <c r="H3938">
        <v>2.867</v>
      </c>
    </row>
    <row r="3939" spans="1:8" x14ac:dyDescent="0.25">
      <c r="A3939" t="s">
        <v>3945</v>
      </c>
      <c r="B3939">
        <v>64025</v>
      </c>
      <c r="C3939">
        <v>7891022867046</v>
      </c>
      <c r="D3939">
        <v>26.99</v>
      </c>
      <c r="E3939">
        <v>18.7</v>
      </c>
      <c r="F3939" s="3">
        <v>0.28089999999999998</v>
      </c>
      <c r="G3939">
        <v>16.910900000000002</v>
      </c>
      <c r="H3939">
        <v>1.7</v>
      </c>
    </row>
    <row r="3940" spans="1:8" x14ac:dyDescent="0.25">
      <c r="A3940" t="s">
        <v>3946</v>
      </c>
      <c r="B3940">
        <v>5810</v>
      </c>
      <c r="C3940">
        <v>7891022853155</v>
      </c>
      <c r="D3940">
        <v>12.9</v>
      </c>
      <c r="E3940">
        <v>8.86</v>
      </c>
      <c r="F3940" s="3">
        <v>0.28520000000000001</v>
      </c>
      <c r="G3940">
        <v>8.0281000000000002</v>
      </c>
      <c r="H3940">
        <v>0.63300000000000001</v>
      </c>
    </row>
    <row r="3941" spans="1:8" x14ac:dyDescent="0.25">
      <c r="A3941" t="s">
        <v>3947</v>
      </c>
      <c r="B3941">
        <v>65402</v>
      </c>
      <c r="C3941">
        <v>7891150095243</v>
      </c>
      <c r="D3941">
        <v>38.9</v>
      </c>
      <c r="E3941">
        <v>27.83</v>
      </c>
      <c r="F3941" s="3">
        <v>0.28460000000000002</v>
      </c>
      <c r="G3941">
        <v>27.827200000000001</v>
      </c>
      <c r="H3941">
        <v>0</v>
      </c>
    </row>
    <row r="3942" spans="1:8" x14ac:dyDescent="0.25">
      <c r="A3942" t="s">
        <v>3948</v>
      </c>
      <c r="B3942">
        <v>66954</v>
      </c>
      <c r="C3942">
        <v>7891150095601</v>
      </c>
      <c r="D3942">
        <v>20.9</v>
      </c>
      <c r="E3942">
        <v>13.81</v>
      </c>
      <c r="F3942" s="3">
        <v>0.33390000000000003</v>
      </c>
      <c r="G3942">
        <v>13.9213</v>
      </c>
      <c r="H3942">
        <v>6.7000000000000004E-2</v>
      </c>
    </row>
    <row r="3943" spans="1:8" x14ac:dyDescent="0.25">
      <c r="A3943" t="s">
        <v>3949</v>
      </c>
      <c r="B3943">
        <v>65216</v>
      </c>
      <c r="C3943">
        <v>7891150094734</v>
      </c>
      <c r="D3943">
        <v>37.9</v>
      </c>
      <c r="E3943">
        <v>24.21</v>
      </c>
      <c r="F3943" s="3">
        <v>0.35830000000000001</v>
      </c>
      <c r="G3943">
        <v>24.321200000000001</v>
      </c>
      <c r="H3943">
        <v>0.1</v>
      </c>
    </row>
    <row r="3944" spans="1:8" x14ac:dyDescent="0.25">
      <c r="A3944" t="s">
        <v>3950</v>
      </c>
      <c r="B3944">
        <v>68431</v>
      </c>
      <c r="C3944">
        <v>7891150099821</v>
      </c>
      <c r="D3944">
        <v>28.9</v>
      </c>
      <c r="E3944">
        <v>19.47</v>
      </c>
      <c r="F3944" s="3">
        <v>0.31909999999999999</v>
      </c>
      <c r="G3944">
        <v>19.6767</v>
      </c>
      <c r="H3944">
        <v>0.76300000000000001</v>
      </c>
    </row>
    <row r="3945" spans="1:8" x14ac:dyDescent="0.25">
      <c r="A3945" t="s">
        <v>3951</v>
      </c>
      <c r="B3945">
        <v>65218</v>
      </c>
      <c r="C3945">
        <v>7891150093898</v>
      </c>
      <c r="D3945">
        <v>26.9</v>
      </c>
      <c r="E3945">
        <v>16.97</v>
      </c>
      <c r="F3945" s="3">
        <v>0.36909999999999998</v>
      </c>
      <c r="G3945">
        <v>16.970400000000001</v>
      </c>
      <c r="H3945">
        <v>0.3</v>
      </c>
    </row>
    <row r="3946" spans="1:8" x14ac:dyDescent="0.25">
      <c r="A3946" t="s">
        <v>3952</v>
      </c>
      <c r="B3946">
        <v>68365</v>
      </c>
      <c r="C3946">
        <v>7899852025476</v>
      </c>
      <c r="D3946">
        <v>32.99</v>
      </c>
      <c r="E3946">
        <v>23.07</v>
      </c>
      <c r="F3946" s="3">
        <v>0.30070000000000002</v>
      </c>
      <c r="G3946">
        <v>23.07</v>
      </c>
      <c r="H3946">
        <v>0.3</v>
      </c>
    </row>
    <row r="3947" spans="1:8" x14ac:dyDescent="0.25">
      <c r="A3947" t="s">
        <v>3953</v>
      </c>
      <c r="B3947">
        <v>68364</v>
      </c>
      <c r="C3947">
        <v>7899852025469</v>
      </c>
      <c r="D3947">
        <v>32.99</v>
      </c>
      <c r="E3947">
        <v>23.07</v>
      </c>
      <c r="F3947" s="3">
        <v>0.30070000000000002</v>
      </c>
      <c r="G3947">
        <v>23.07</v>
      </c>
      <c r="H3947">
        <v>0.33300000000000002</v>
      </c>
    </row>
    <row r="3948" spans="1:8" x14ac:dyDescent="0.25">
      <c r="A3948" t="s">
        <v>3954</v>
      </c>
      <c r="B3948">
        <v>19682</v>
      </c>
      <c r="C3948">
        <v>3083681015676</v>
      </c>
      <c r="D3948">
        <v>5.99</v>
      </c>
      <c r="E3948">
        <v>4.53</v>
      </c>
      <c r="F3948" s="3">
        <v>0.2213</v>
      </c>
      <c r="G3948">
        <v>4.1104000000000003</v>
      </c>
      <c r="H3948">
        <v>13.233000000000001</v>
      </c>
    </row>
    <row r="3949" spans="1:8" x14ac:dyDescent="0.25">
      <c r="A3949" t="s">
        <v>3955</v>
      </c>
      <c r="B3949">
        <v>6053</v>
      </c>
      <c r="C3949">
        <v>7896016601408</v>
      </c>
      <c r="D3949">
        <v>6.9</v>
      </c>
      <c r="E3949">
        <v>3.7</v>
      </c>
      <c r="F3949" s="3">
        <v>0.4204</v>
      </c>
      <c r="G3949">
        <v>3.3611</v>
      </c>
      <c r="H3949">
        <v>21.033000000000001</v>
      </c>
    </row>
    <row r="3950" spans="1:8" x14ac:dyDescent="0.25">
      <c r="A3950" t="s">
        <v>3956</v>
      </c>
      <c r="B3950">
        <v>6058</v>
      </c>
      <c r="C3950">
        <v>7896004400075</v>
      </c>
      <c r="D3950">
        <v>7.9</v>
      </c>
      <c r="E3950">
        <v>5.47</v>
      </c>
      <c r="F3950" s="3">
        <v>0.29649999999999999</v>
      </c>
      <c r="G3950">
        <v>4.8266</v>
      </c>
      <c r="H3950">
        <v>58.732999999999997</v>
      </c>
    </row>
    <row r="3951" spans="1:8" x14ac:dyDescent="0.25">
      <c r="A3951" t="s">
        <v>3957</v>
      </c>
      <c r="B3951">
        <v>17721</v>
      </c>
      <c r="C3951">
        <v>7896004400082</v>
      </c>
      <c r="D3951">
        <v>19.899999999999999</v>
      </c>
      <c r="E3951">
        <v>15.35</v>
      </c>
      <c r="F3951" s="3">
        <v>0.20879999999999999</v>
      </c>
      <c r="G3951">
        <v>13.904500000000001</v>
      </c>
      <c r="H3951">
        <v>6.6669999999999998</v>
      </c>
    </row>
    <row r="3952" spans="1:8" x14ac:dyDescent="0.25">
      <c r="A3952" t="s">
        <v>3958</v>
      </c>
      <c r="B3952">
        <v>19034</v>
      </c>
      <c r="C3952">
        <v>7896004400136</v>
      </c>
      <c r="D3952">
        <v>8.99</v>
      </c>
      <c r="E3952">
        <v>6.78</v>
      </c>
      <c r="F3952" s="3">
        <v>0.21929999999999999</v>
      </c>
      <c r="G3952">
        <v>6.1871999999999998</v>
      </c>
      <c r="H3952">
        <v>3.8330000000000002</v>
      </c>
    </row>
    <row r="3953" spans="1:8" x14ac:dyDescent="0.25">
      <c r="A3953" t="s">
        <v>3959</v>
      </c>
      <c r="B3953">
        <v>21261</v>
      </c>
      <c r="C3953">
        <v>7896004400150</v>
      </c>
      <c r="D3953">
        <v>16.899999999999999</v>
      </c>
      <c r="E3953">
        <v>11.02</v>
      </c>
      <c r="F3953" s="3">
        <v>0.316</v>
      </c>
      <c r="G3953">
        <v>9.9970999999999997</v>
      </c>
      <c r="H3953">
        <v>0.33300000000000002</v>
      </c>
    </row>
    <row r="3954" spans="1:8" x14ac:dyDescent="0.25">
      <c r="A3954" t="s">
        <v>3960</v>
      </c>
      <c r="B3954">
        <v>17764</v>
      </c>
      <c r="C3954">
        <v>7896004400686</v>
      </c>
      <c r="D3954">
        <v>6.99</v>
      </c>
      <c r="E3954">
        <v>5.17</v>
      </c>
      <c r="F3954" s="3">
        <v>0.23530000000000001</v>
      </c>
      <c r="G3954">
        <v>4.6985000000000001</v>
      </c>
      <c r="H3954">
        <v>12.632999999999999</v>
      </c>
    </row>
    <row r="3955" spans="1:8" x14ac:dyDescent="0.25">
      <c r="A3955" t="s">
        <v>3961</v>
      </c>
      <c r="B3955">
        <v>48399</v>
      </c>
      <c r="C3955">
        <v>7896043014004</v>
      </c>
      <c r="D3955">
        <v>19.899999999999999</v>
      </c>
      <c r="E3955">
        <v>11.78</v>
      </c>
      <c r="F3955" s="3">
        <v>0.29680000000000001</v>
      </c>
      <c r="G3955">
        <v>8.5716999999999999</v>
      </c>
      <c r="H3955">
        <v>0.93300000000000005</v>
      </c>
    </row>
    <row r="3956" spans="1:8" x14ac:dyDescent="0.25">
      <c r="A3956" t="s">
        <v>3962</v>
      </c>
      <c r="B3956">
        <v>23316</v>
      </c>
      <c r="C3956">
        <v>7896001215443</v>
      </c>
      <c r="D3956">
        <v>0</v>
      </c>
      <c r="E3956">
        <v>16.82</v>
      </c>
      <c r="F3956" s="3">
        <v>0</v>
      </c>
      <c r="G3956">
        <v>15.2654</v>
      </c>
      <c r="H3956">
        <v>0.1</v>
      </c>
    </row>
    <row r="3957" spans="1:8" x14ac:dyDescent="0.25">
      <c r="A3957" t="s">
        <v>3963</v>
      </c>
      <c r="B3957">
        <v>6068</v>
      </c>
      <c r="C3957">
        <v>7891000366059</v>
      </c>
      <c r="D3957">
        <v>9.82</v>
      </c>
      <c r="E3957">
        <v>7.3</v>
      </c>
      <c r="F3957" s="3">
        <v>0.22539999999999999</v>
      </c>
      <c r="G3957">
        <v>6.6982999999999997</v>
      </c>
      <c r="H3957">
        <v>168.333</v>
      </c>
    </row>
    <row r="3958" spans="1:8" x14ac:dyDescent="0.25">
      <c r="A3958" t="s">
        <v>3964</v>
      </c>
      <c r="B3958">
        <v>63629</v>
      </c>
      <c r="C3958">
        <v>7891000317396</v>
      </c>
      <c r="D3958">
        <v>10.99</v>
      </c>
      <c r="E3958">
        <v>8.4499999999999993</v>
      </c>
      <c r="F3958" s="3">
        <v>0.20980000000000001</v>
      </c>
      <c r="G3958">
        <v>7.6672000000000002</v>
      </c>
      <c r="H3958">
        <v>4.5999999999999996</v>
      </c>
    </row>
    <row r="3959" spans="1:8" x14ac:dyDescent="0.25">
      <c r="A3959" t="s">
        <v>3965</v>
      </c>
      <c r="B3959">
        <v>6064</v>
      </c>
      <c r="C3959">
        <v>7891000065440</v>
      </c>
      <c r="D3959">
        <v>8.59</v>
      </c>
      <c r="E3959">
        <v>6.54</v>
      </c>
      <c r="F3959" s="3">
        <v>0.2054</v>
      </c>
      <c r="G3959">
        <v>6.0308000000000002</v>
      </c>
      <c r="H3959">
        <v>43.033000000000001</v>
      </c>
    </row>
    <row r="3960" spans="1:8" x14ac:dyDescent="0.25">
      <c r="A3960" t="s">
        <v>3966</v>
      </c>
      <c r="B3960">
        <v>29443</v>
      </c>
      <c r="C3960">
        <v>7891000107041</v>
      </c>
      <c r="D3960">
        <v>11.8</v>
      </c>
      <c r="E3960">
        <v>8.92</v>
      </c>
      <c r="F3960" s="3">
        <v>0.21989999999999998</v>
      </c>
      <c r="G3960">
        <v>8.1134000000000004</v>
      </c>
      <c r="H3960">
        <v>13.532999999999999</v>
      </c>
    </row>
    <row r="3961" spans="1:8" x14ac:dyDescent="0.25">
      <c r="A3961" t="s">
        <v>3967</v>
      </c>
      <c r="B3961">
        <v>33042</v>
      </c>
      <c r="C3961">
        <v>7898215151999</v>
      </c>
      <c r="D3961">
        <v>8.99</v>
      </c>
      <c r="E3961">
        <v>6.35</v>
      </c>
      <c r="F3961" s="3">
        <v>0.26229999999999998</v>
      </c>
      <c r="G3961">
        <v>5.8005000000000004</v>
      </c>
      <c r="H3961">
        <v>18.533000000000001</v>
      </c>
    </row>
    <row r="3962" spans="1:8" x14ac:dyDescent="0.25">
      <c r="A3962" t="s">
        <v>3968</v>
      </c>
      <c r="B3962">
        <v>6070</v>
      </c>
      <c r="C3962">
        <v>7896863388699</v>
      </c>
      <c r="D3962">
        <v>32.9</v>
      </c>
      <c r="E3962">
        <v>22.36</v>
      </c>
      <c r="F3962" s="3">
        <v>0.29160000000000003</v>
      </c>
      <c r="G3962">
        <v>20.2637</v>
      </c>
      <c r="H3962">
        <v>1.7</v>
      </c>
    </row>
    <row r="3963" spans="1:8" x14ac:dyDescent="0.25">
      <c r="A3963" t="s">
        <v>3969</v>
      </c>
      <c r="B3963">
        <v>56127</v>
      </c>
      <c r="C3963">
        <v>7898215152002</v>
      </c>
      <c r="D3963">
        <v>6.99</v>
      </c>
      <c r="E3963">
        <v>5.33</v>
      </c>
      <c r="F3963" s="3">
        <v>0.21190000000000001</v>
      </c>
      <c r="G3963">
        <v>4.8625999999999996</v>
      </c>
      <c r="H3963">
        <v>294.233</v>
      </c>
    </row>
    <row r="3964" spans="1:8" x14ac:dyDescent="0.25">
      <c r="A3964" t="s">
        <v>3970</v>
      </c>
      <c r="B3964">
        <v>64450</v>
      </c>
      <c r="C3964">
        <v>7898957204847</v>
      </c>
      <c r="D3964">
        <v>37.9</v>
      </c>
      <c r="E3964">
        <v>19.649999999999999</v>
      </c>
      <c r="F3964" s="3">
        <v>0.3503</v>
      </c>
      <c r="G3964">
        <v>14.295</v>
      </c>
      <c r="H3964">
        <v>0.4</v>
      </c>
    </row>
    <row r="3965" spans="1:8" x14ac:dyDescent="0.25">
      <c r="A3965" t="s">
        <v>3971</v>
      </c>
      <c r="B3965">
        <v>39149</v>
      </c>
      <c r="C3965">
        <v>7793940567001</v>
      </c>
      <c r="D3965">
        <v>18.899999999999999</v>
      </c>
      <c r="E3965">
        <v>13.98</v>
      </c>
      <c r="F3965" s="3">
        <v>0.25590000000000002</v>
      </c>
      <c r="G3965">
        <v>14.0641</v>
      </c>
      <c r="H3965">
        <v>13.467000000000001</v>
      </c>
    </row>
    <row r="3966" spans="1:8" x14ac:dyDescent="0.25">
      <c r="A3966" t="s">
        <v>3972</v>
      </c>
      <c r="B3966">
        <v>15351</v>
      </c>
      <c r="C3966">
        <v>7898215152811</v>
      </c>
      <c r="D3966">
        <v>5.99</v>
      </c>
      <c r="E3966">
        <v>5.05</v>
      </c>
      <c r="F3966" s="3">
        <v>0.15609999999999999</v>
      </c>
      <c r="G3966">
        <v>5.0548000000000002</v>
      </c>
      <c r="H3966">
        <v>333.46699999999998</v>
      </c>
    </row>
    <row r="3967" spans="1:8" x14ac:dyDescent="0.25">
      <c r="A3967" t="s">
        <v>3973</v>
      </c>
      <c r="B3967">
        <v>36593</v>
      </c>
      <c r="C3967">
        <v>7793940466007</v>
      </c>
      <c r="D3967">
        <v>14.9</v>
      </c>
      <c r="E3967">
        <v>9.9600000000000009</v>
      </c>
      <c r="F3967" s="3">
        <v>0.33169999999999999</v>
      </c>
      <c r="G3967">
        <v>9.9574999999999996</v>
      </c>
      <c r="H3967">
        <v>16.433</v>
      </c>
    </row>
    <row r="3968" spans="1:8" x14ac:dyDescent="0.25">
      <c r="A3968" t="s">
        <v>3974</v>
      </c>
      <c r="B3968">
        <v>38985</v>
      </c>
      <c r="C3968">
        <v>7793940463006</v>
      </c>
      <c r="D3968">
        <v>18.899999999999999</v>
      </c>
      <c r="E3968">
        <v>14.07</v>
      </c>
      <c r="F3968" s="3">
        <v>0.25579999999999997</v>
      </c>
      <c r="G3968">
        <v>14.0663</v>
      </c>
      <c r="H3968">
        <v>17.399999999999999</v>
      </c>
    </row>
    <row r="3969" spans="1:8" x14ac:dyDescent="0.25">
      <c r="A3969" t="s">
        <v>3975</v>
      </c>
      <c r="B3969">
        <v>67784</v>
      </c>
      <c r="C3969">
        <v>7891000395905</v>
      </c>
      <c r="D3969">
        <v>20.9</v>
      </c>
      <c r="E3969">
        <v>17.510000000000002</v>
      </c>
      <c r="F3969" s="3">
        <v>0.16210000000000002</v>
      </c>
      <c r="G3969">
        <v>17.512699999999999</v>
      </c>
      <c r="H3969">
        <v>6.7329999999999997</v>
      </c>
    </row>
    <row r="3970" spans="1:8" x14ac:dyDescent="0.25">
      <c r="A3970" t="s">
        <v>3976</v>
      </c>
      <c r="B3970">
        <v>67188</v>
      </c>
      <c r="C3970">
        <v>7891000393284</v>
      </c>
      <c r="D3970">
        <v>21.9</v>
      </c>
      <c r="E3970">
        <v>17.66</v>
      </c>
      <c r="F3970" s="3">
        <v>0.185</v>
      </c>
      <c r="G3970">
        <v>17.847999999999999</v>
      </c>
      <c r="H3970">
        <v>23.367000000000001</v>
      </c>
    </row>
    <row r="3971" spans="1:8" x14ac:dyDescent="0.25">
      <c r="A3971" t="s">
        <v>3977</v>
      </c>
      <c r="B3971">
        <v>67791</v>
      </c>
      <c r="C3971">
        <v>7891000395981</v>
      </c>
      <c r="D3971">
        <v>32.9</v>
      </c>
      <c r="E3971">
        <v>26.58</v>
      </c>
      <c r="F3971" s="3">
        <v>0.1973</v>
      </c>
      <c r="G3971">
        <v>26.409400000000002</v>
      </c>
      <c r="H3971">
        <v>5.2670000000000003</v>
      </c>
    </row>
    <row r="3972" spans="1:8" x14ac:dyDescent="0.25">
      <c r="A3972" t="s">
        <v>3978</v>
      </c>
      <c r="B3972">
        <v>65457</v>
      </c>
      <c r="C3972">
        <v>7898215157885</v>
      </c>
      <c r="D3972">
        <v>24.9</v>
      </c>
      <c r="E3972">
        <v>18.95</v>
      </c>
      <c r="F3972" s="3">
        <v>0.2389</v>
      </c>
      <c r="G3972">
        <v>18.950800000000001</v>
      </c>
      <c r="H3972">
        <v>1.367</v>
      </c>
    </row>
    <row r="3973" spans="1:8" x14ac:dyDescent="0.25">
      <c r="A3973" t="s">
        <v>3979</v>
      </c>
      <c r="B3973">
        <v>48936</v>
      </c>
      <c r="C3973">
        <v>7896048706126</v>
      </c>
      <c r="D3973">
        <v>17.899999999999999</v>
      </c>
      <c r="E3973">
        <v>13.27</v>
      </c>
      <c r="F3973" s="3">
        <v>0.25850000000000001</v>
      </c>
      <c r="G3973">
        <v>13.273400000000001</v>
      </c>
      <c r="H3973">
        <v>13.867000000000001</v>
      </c>
    </row>
    <row r="3974" spans="1:8" x14ac:dyDescent="0.25">
      <c r="A3974" t="s">
        <v>3980</v>
      </c>
      <c r="B3974">
        <v>50714</v>
      </c>
      <c r="C3974">
        <v>7891000249376</v>
      </c>
      <c r="D3974">
        <v>19.899999999999999</v>
      </c>
      <c r="E3974">
        <v>16.670000000000002</v>
      </c>
      <c r="F3974" s="3">
        <v>0.17180000000000001</v>
      </c>
      <c r="G3974">
        <v>16.480599999999999</v>
      </c>
      <c r="H3974">
        <v>8.6999999999999993</v>
      </c>
    </row>
    <row r="3975" spans="1:8" x14ac:dyDescent="0.25">
      <c r="A3975" t="s">
        <v>3981</v>
      </c>
      <c r="B3975">
        <v>6302</v>
      </c>
      <c r="C3975">
        <v>7891000101506</v>
      </c>
      <c r="D3975">
        <v>22.9</v>
      </c>
      <c r="E3975">
        <v>18.36</v>
      </c>
      <c r="F3975" s="3">
        <v>0.20379999999999998</v>
      </c>
      <c r="G3975">
        <v>18.231999999999999</v>
      </c>
      <c r="H3975">
        <v>11.532999999999999</v>
      </c>
    </row>
    <row r="3976" spans="1:8" x14ac:dyDescent="0.25">
      <c r="A3976" t="s">
        <v>3982</v>
      </c>
      <c r="B3976">
        <v>36963</v>
      </c>
      <c r="C3976">
        <v>7891000251638</v>
      </c>
      <c r="D3976">
        <v>25.9</v>
      </c>
      <c r="E3976">
        <v>21.5</v>
      </c>
      <c r="F3976" s="3">
        <v>0.16829999999999998</v>
      </c>
      <c r="G3976">
        <v>21.540500000000002</v>
      </c>
      <c r="H3976">
        <v>2.7669999999999999</v>
      </c>
    </row>
    <row r="3977" spans="1:8" x14ac:dyDescent="0.25">
      <c r="A3977" t="s">
        <v>3983</v>
      </c>
      <c r="B3977">
        <v>67191</v>
      </c>
      <c r="C3977">
        <v>7891000397077</v>
      </c>
      <c r="D3977">
        <v>24.9</v>
      </c>
      <c r="E3977">
        <v>19.940000000000001</v>
      </c>
      <c r="F3977" s="3">
        <v>0.19820000000000002</v>
      </c>
      <c r="G3977">
        <v>19.964099999999998</v>
      </c>
      <c r="H3977">
        <v>5.4329999999999998</v>
      </c>
    </row>
    <row r="3978" spans="1:8" x14ac:dyDescent="0.25">
      <c r="A3978" t="s">
        <v>3984</v>
      </c>
      <c r="B3978">
        <v>68233</v>
      </c>
      <c r="C3978">
        <v>7891000396599</v>
      </c>
      <c r="D3978">
        <v>19.899999999999999</v>
      </c>
      <c r="E3978">
        <v>17.48</v>
      </c>
      <c r="F3978" s="3">
        <v>0.12380000000000001</v>
      </c>
      <c r="G3978">
        <v>17.435500000000001</v>
      </c>
      <c r="H3978">
        <v>6.8330000000000002</v>
      </c>
    </row>
    <row r="3979" spans="1:8" x14ac:dyDescent="0.25">
      <c r="A3979" t="s">
        <v>3985</v>
      </c>
      <c r="B3979">
        <v>68231</v>
      </c>
      <c r="C3979">
        <v>7891000398982</v>
      </c>
      <c r="D3979">
        <v>29.9</v>
      </c>
      <c r="E3979">
        <v>24.51</v>
      </c>
      <c r="F3979" s="3">
        <v>0.1802</v>
      </c>
      <c r="G3979">
        <v>24.513300000000001</v>
      </c>
      <c r="H3979">
        <v>0</v>
      </c>
    </row>
    <row r="3980" spans="1:8" x14ac:dyDescent="0.25">
      <c r="A3980" t="s">
        <v>3986</v>
      </c>
      <c r="B3980">
        <v>5996</v>
      </c>
      <c r="C3980">
        <v>7891000325858</v>
      </c>
      <c r="D3980">
        <v>21.9</v>
      </c>
      <c r="E3980">
        <v>16.489999999999998</v>
      </c>
      <c r="F3980" s="3">
        <v>0.249</v>
      </c>
      <c r="G3980">
        <v>16.4466</v>
      </c>
      <c r="H3980">
        <v>32.866999999999997</v>
      </c>
    </row>
    <row r="3981" spans="1:8" x14ac:dyDescent="0.25">
      <c r="A3981" t="s">
        <v>3987</v>
      </c>
      <c r="B3981">
        <v>68232</v>
      </c>
      <c r="C3981">
        <v>7891000399026</v>
      </c>
      <c r="D3981">
        <v>34.9</v>
      </c>
      <c r="E3981">
        <v>27.3</v>
      </c>
      <c r="F3981" s="3">
        <v>0.2177</v>
      </c>
      <c r="G3981">
        <v>27.302900000000001</v>
      </c>
      <c r="H3981">
        <v>0.25</v>
      </c>
    </row>
    <row r="3982" spans="1:8" x14ac:dyDescent="0.25">
      <c r="A3982" t="s">
        <v>3988</v>
      </c>
      <c r="B3982">
        <v>67792</v>
      </c>
      <c r="C3982">
        <v>7891000395943</v>
      </c>
      <c r="D3982">
        <v>32.9</v>
      </c>
      <c r="E3982">
        <v>25.44</v>
      </c>
      <c r="F3982" s="3">
        <v>0.2291</v>
      </c>
      <c r="G3982">
        <v>25.363600000000002</v>
      </c>
      <c r="H3982">
        <v>8.6669999999999998</v>
      </c>
    </row>
    <row r="3983" spans="1:8" x14ac:dyDescent="0.25">
      <c r="A3983" t="s">
        <v>3989</v>
      </c>
      <c r="B3983">
        <v>52068</v>
      </c>
      <c r="C3983">
        <v>7891000261965</v>
      </c>
      <c r="D3983">
        <v>49.9</v>
      </c>
      <c r="E3983">
        <v>36.07</v>
      </c>
      <c r="F3983" s="3">
        <v>0.27729999999999999</v>
      </c>
      <c r="G3983">
        <v>36.064999999999998</v>
      </c>
      <c r="H3983">
        <v>0.63300000000000001</v>
      </c>
    </row>
    <row r="3984" spans="1:8" x14ac:dyDescent="0.25">
      <c r="A3984" t="s">
        <v>3990</v>
      </c>
      <c r="B3984">
        <v>47203</v>
      </c>
      <c r="C3984">
        <v>7891025115199</v>
      </c>
      <c r="D3984">
        <v>21.9</v>
      </c>
      <c r="E3984">
        <v>15.88</v>
      </c>
      <c r="F3984" s="3">
        <v>0.24729999999999999</v>
      </c>
      <c r="G3984">
        <v>14.4579</v>
      </c>
      <c r="H3984">
        <v>3.4670000000000001</v>
      </c>
    </row>
    <row r="3985" spans="1:8" x14ac:dyDescent="0.25">
      <c r="A3985" t="s">
        <v>3991</v>
      </c>
      <c r="B3985">
        <v>55695</v>
      </c>
      <c r="C3985">
        <v>7891025117049</v>
      </c>
      <c r="D3985">
        <v>21.9</v>
      </c>
      <c r="E3985">
        <v>15.96</v>
      </c>
      <c r="F3985" s="3">
        <v>0.24629999999999999</v>
      </c>
      <c r="G3985">
        <v>14.480499999999999</v>
      </c>
      <c r="H3985">
        <v>3.4</v>
      </c>
    </row>
    <row r="3986" spans="1:8" x14ac:dyDescent="0.25">
      <c r="A3986" t="s">
        <v>3992</v>
      </c>
      <c r="B3986">
        <v>55702</v>
      </c>
      <c r="C3986">
        <v>7891025116905</v>
      </c>
      <c r="D3986">
        <v>21.9</v>
      </c>
      <c r="E3986">
        <v>15.83</v>
      </c>
      <c r="F3986" s="3">
        <v>0.24829999999999999</v>
      </c>
      <c r="G3986">
        <v>14.437099999999999</v>
      </c>
      <c r="H3986">
        <v>2.1</v>
      </c>
    </row>
    <row r="3987" spans="1:8" x14ac:dyDescent="0.25">
      <c r="A3987" t="s">
        <v>3993</v>
      </c>
      <c r="B3987">
        <v>55703</v>
      </c>
      <c r="C3987">
        <v>7891025116936</v>
      </c>
      <c r="D3987">
        <v>21.9</v>
      </c>
      <c r="E3987">
        <v>15.94</v>
      </c>
      <c r="F3987" s="3">
        <v>0.24679999999999999</v>
      </c>
      <c r="G3987">
        <v>14.4697</v>
      </c>
      <c r="H3987">
        <v>4.2</v>
      </c>
    </row>
    <row r="3988" spans="1:8" x14ac:dyDescent="0.25">
      <c r="A3988" t="s">
        <v>3994</v>
      </c>
      <c r="B3988">
        <v>47201</v>
      </c>
      <c r="C3988">
        <v>7891025115229</v>
      </c>
      <c r="D3988">
        <v>21.9</v>
      </c>
      <c r="E3988">
        <v>15.94</v>
      </c>
      <c r="F3988" s="3">
        <v>0.24660000000000001</v>
      </c>
      <c r="G3988">
        <v>14.4733</v>
      </c>
      <c r="H3988">
        <v>2.7330000000000001</v>
      </c>
    </row>
    <row r="3989" spans="1:8" x14ac:dyDescent="0.25">
      <c r="A3989" t="s">
        <v>3995</v>
      </c>
      <c r="B3989">
        <v>6261</v>
      </c>
      <c r="C3989">
        <v>7898215157427</v>
      </c>
      <c r="D3989">
        <v>6.94</v>
      </c>
      <c r="E3989">
        <v>5.48</v>
      </c>
      <c r="F3989" s="3">
        <v>0.20399999999999999</v>
      </c>
      <c r="G3989">
        <v>5.5221999999999998</v>
      </c>
      <c r="H3989">
        <v>139.4</v>
      </c>
    </row>
    <row r="3990" spans="1:8" x14ac:dyDescent="0.25">
      <c r="A3990" t="s">
        <v>3996</v>
      </c>
      <c r="B3990">
        <v>57337</v>
      </c>
      <c r="C3990">
        <v>7898215157496</v>
      </c>
      <c r="D3990">
        <v>6.5</v>
      </c>
      <c r="E3990">
        <v>5.62</v>
      </c>
      <c r="F3990" s="3">
        <v>0.13650000000000001</v>
      </c>
      <c r="G3990">
        <v>5.6162999999999998</v>
      </c>
      <c r="H3990">
        <v>42.366999999999997</v>
      </c>
    </row>
    <row r="3991" spans="1:8" x14ac:dyDescent="0.25">
      <c r="A3991" t="s">
        <v>3997</v>
      </c>
      <c r="B3991">
        <v>6258</v>
      </c>
      <c r="C3991">
        <v>7898215157441</v>
      </c>
      <c r="D3991">
        <v>6.95</v>
      </c>
      <c r="E3991">
        <v>5.52</v>
      </c>
      <c r="F3991" s="3">
        <v>0.20300000000000001</v>
      </c>
      <c r="G3991">
        <v>5.5388000000000002</v>
      </c>
      <c r="H3991">
        <v>106.56699999999999</v>
      </c>
    </row>
    <row r="3992" spans="1:8" x14ac:dyDescent="0.25">
      <c r="A3992" t="s">
        <v>3998</v>
      </c>
      <c r="B3992">
        <v>24576</v>
      </c>
      <c r="C3992">
        <v>7898215157458</v>
      </c>
      <c r="D3992">
        <v>6.99</v>
      </c>
      <c r="E3992">
        <v>5.77</v>
      </c>
      <c r="F3992" s="3">
        <v>0.16889999999999999</v>
      </c>
      <c r="G3992">
        <v>5.8095999999999997</v>
      </c>
      <c r="H3992">
        <v>89.566999999999993</v>
      </c>
    </row>
    <row r="3993" spans="1:8" x14ac:dyDescent="0.25">
      <c r="A3993" t="s">
        <v>3999</v>
      </c>
      <c r="B3993">
        <v>6262</v>
      </c>
      <c r="C3993">
        <v>7898215157403</v>
      </c>
      <c r="D3993">
        <v>6.45</v>
      </c>
      <c r="E3993">
        <v>5.5</v>
      </c>
      <c r="F3993" s="3">
        <v>0.14180000000000001</v>
      </c>
      <c r="G3993">
        <v>5.5321999999999996</v>
      </c>
      <c r="H3993">
        <v>349.83300000000003</v>
      </c>
    </row>
    <row r="3994" spans="1:8" x14ac:dyDescent="0.25">
      <c r="A3994" t="s">
        <v>4000</v>
      </c>
      <c r="B3994">
        <v>12977</v>
      </c>
      <c r="C3994">
        <v>7898215157410</v>
      </c>
      <c r="D3994">
        <v>6.99</v>
      </c>
      <c r="E3994">
        <v>5.72</v>
      </c>
      <c r="F3994" s="3">
        <v>0.17519999999999999</v>
      </c>
      <c r="G3994">
        <v>5.7652000000000001</v>
      </c>
      <c r="H3994">
        <v>86.667000000000002</v>
      </c>
    </row>
    <row r="3995" spans="1:8" x14ac:dyDescent="0.25">
      <c r="A3995" t="s">
        <v>4001</v>
      </c>
      <c r="B3995">
        <v>67310</v>
      </c>
      <c r="C3995">
        <v>7898215157908</v>
      </c>
      <c r="D3995">
        <v>7.99</v>
      </c>
      <c r="E3995">
        <v>6.88</v>
      </c>
      <c r="F3995" s="3">
        <v>0.1391</v>
      </c>
      <c r="G3995">
        <v>6.8784999999999998</v>
      </c>
      <c r="H3995">
        <v>15.067</v>
      </c>
    </row>
    <row r="3996" spans="1:8" x14ac:dyDescent="0.25">
      <c r="A3996" t="s">
        <v>4002</v>
      </c>
      <c r="B3996">
        <v>56069</v>
      </c>
      <c r="C3996">
        <v>7898215157434</v>
      </c>
      <c r="D3996">
        <v>6.99</v>
      </c>
      <c r="E3996">
        <v>5.66</v>
      </c>
      <c r="F3996" s="3">
        <v>0.17559999999999998</v>
      </c>
      <c r="G3996">
        <v>5.7625000000000002</v>
      </c>
      <c r="H3996">
        <v>66.599999999999994</v>
      </c>
    </row>
    <row r="3997" spans="1:8" x14ac:dyDescent="0.25">
      <c r="A3997" t="s">
        <v>4003</v>
      </c>
      <c r="B3997">
        <v>6276</v>
      </c>
      <c r="C3997">
        <v>7896034610031</v>
      </c>
      <c r="D3997">
        <v>5.49</v>
      </c>
      <c r="E3997">
        <v>4.5999999999999996</v>
      </c>
      <c r="F3997" s="3">
        <v>0.1258</v>
      </c>
      <c r="G3997">
        <v>4.7995999999999999</v>
      </c>
      <c r="H3997">
        <v>24.067</v>
      </c>
    </row>
    <row r="3998" spans="1:8" x14ac:dyDescent="0.25">
      <c r="A3998" t="s">
        <v>4004</v>
      </c>
      <c r="B3998">
        <v>6274</v>
      </c>
      <c r="C3998">
        <v>7896034610017</v>
      </c>
      <c r="D3998">
        <v>5.49</v>
      </c>
      <c r="E3998">
        <v>4.8</v>
      </c>
      <c r="F3998" s="3">
        <v>0.12570000000000001</v>
      </c>
      <c r="G3998">
        <v>4.8</v>
      </c>
      <c r="H3998">
        <v>27.132999999999999</v>
      </c>
    </row>
    <row r="3999" spans="1:8" x14ac:dyDescent="0.25">
      <c r="A3999" t="s">
        <v>4005</v>
      </c>
      <c r="B3999">
        <v>10531</v>
      </c>
      <c r="C3999">
        <v>7896034610024</v>
      </c>
      <c r="D3999">
        <v>5.49</v>
      </c>
      <c r="E3999">
        <v>4.8</v>
      </c>
      <c r="F3999" s="3">
        <v>0.12570000000000001</v>
      </c>
      <c r="G3999">
        <v>4.8</v>
      </c>
      <c r="H3999">
        <v>42.133000000000003</v>
      </c>
    </row>
    <row r="4000" spans="1:8" x14ac:dyDescent="0.25">
      <c r="A4000" t="s">
        <v>4006</v>
      </c>
      <c r="B4000">
        <v>49547</v>
      </c>
      <c r="C4000">
        <v>7891097001048</v>
      </c>
      <c r="D4000">
        <v>5.99</v>
      </c>
      <c r="E4000">
        <v>5.1100000000000003</v>
      </c>
      <c r="F4000" s="3">
        <v>0.1469</v>
      </c>
      <c r="G4000">
        <v>5.1100000000000003</v>
      </c>
      <c r="H4000">
        <v>23.567</v>
      </c>
    </row>
    <row r="4001" spans="1:8" x14ac:dyDescent="0.25">
      <c r="A4001" t="s">
        <v>4007</v>
      </c>
      <c r="B4001">
        <v>49545</v>
      </c>
      <c r="C4001">
        <v>7891097001024</v>
      </c>
      <c r="D4001">
        <v>5.99</v>
      </c>
      <c r="E4001">
        <v>5.1100000000000003</v>
      </c>
      <c r="F4001" s="3">
        <v>0.1469</v>
      </c>
      <c r="G4001">
        <v>5.1100000000000003</v>
      </c>
      <c r="H4001">
        <v>68.667000000000002</v>
      </c>
    </row>
    <row r="4002" spans="1:8" x14ac:dyDescent="0.25">
      <c r="A4002" t="s">
        <v>4008</v>
      </c>
      <c r="B4002">
        <v>49546</v>
      </c>
      <c r="C4002">
        <v>7891097001031</v>
      </c>
      <c r="D4002">
        <v>5.99</v>
      </c>
      <c r="E4002">
        <v>5.1100000000000003</v>
      </c>
      <c r="F4002" s="3">
        <v>0.1469</v>
      </c>
      <c r="G4002">
        <v>5.1100000000000003</v>
      </c>
      <c r="H4002">
        <v>18.533000000000001</v>
      </c>
    </row>
    <row r="4003" spans="1:8" x14ac:dyDescent="0.25">
      <c r="A4003" t="s">
        <v>4009</v>
      </c>
      <c r="B4003">
        <v>54088</v>
      </c>
      <c r="C4003">
        <v>7891097001482</v>
      </c>
      <c r="D4003">
        <v>6.19</v>
      </c>
      <c r="E4003">
        <v>5.01</v>
      </c>
      <c r="F4003" s="3">
        <v>0.19059999999999999</v>
      </c>
      <c r="G4003">
        <v>5.01</v>
      </c>
      <c r="H4003">
        <v>6.7670000000000003</v>
      </c>
    </row>
    <row r="4004" spans="1:8" x14ac:dyDescent="0.25">
      <c r="A4004" t="s">
        <v>4010</v>
      </c>
      <c r="B4004">
        <v>6281</v>
      </c>
      <c r="C4004">
        <v>7896294901887</v>
      </c>
      <c r="D4004">
        <v>5.93</v>
      </c>
      <c r="E4004">
        <v>4.7</v>
      </c>
      <c r="F4004" s="3">
        <v>0.20039999999999999</v>
      </c>
      <c r="G4004">
        <v>4.7417999999999996</v>
      </c>
      <c r="H4004">
        <v>97</v>
      </c>
    </row>
    <row r="4005" spans="1:8" x14ac:dyDescent="0.25">
      <c r="A4005" t="s">
        <v>4011</v>
      </c>
      <c r="B4005">
        <v>6280</v>
      </c>
      <c r="C4005">
        <v>7896294901856</v>
      </c>
      <c r="D4005">
        <v>5.95</v>
      </c>
      <c r="E4005">
        <v>4.8099999999999996</v>
      </c>
      <c r="F4005" s="3">
        <v>0.1905</v>
      </c>
      <c r="G4005">
        <v>4.819</v>
      </c>
      <c r="H4005">
        <v>235.8</v>
      </c>
    </row>
    <row r="4006" spans="1:8" x14ac:dyDescent="0.25">
      <c r="A4006" t="s">
        <v>4012</v>
      </c>
      <c r="B4006">
        <v>6279</v>
      </c>
      <c r="C4006">
        <v>7896294901870</v>
      </c>
      <c r="D4006">
        <v>5.98</v>
      </c>
      <c r="E4006">
        <v>4.8</v>
      </c>
      <c r="F4006" s="3">
        <v>0.19750000000000001</v>
      </c>
      <c r="G4006">
        <v>4.8</v>
      </c>
      <c r="H4006">
        <v>131.333</v>
      </c>
    </row>
    <row r="4007" spans="1:8" x14ac:dyDescent="0.25">
      <c r="A4007" t="s">
        <v>4013</v>
      </c>
      <c r="B4007">
        <v>12954</v>
      </c>
      <c r="C4007">
        <v>7891025290117</v>
      </c>
      <c r="D4007">
        <v>0</v>
      </c>
      <c r="E4007">
        <v>3.55</v>
      </c>
      <c r="F4007" s="3">
        <v>0</v>
      </c>
      <c r="G4007">
        <v>3.55</v>
      </c>
      <c r="H4007">
        <v>43.5</v>
      </c>
    </row>
    <row r="4008" spans="1:8" x14ac:dyDescent="0.25">
      <c r="A4008" t="s">
        <v>4014</v>
      </c>
      <c r="B4008">
        <v>66416</v>
      </c>
      <c r="C4008">
        <v>7896294902037</v>
      </c>
      <c r="D4008">
        <v>6.49</v>
      </c>
      <c r="E4008">
        <v>5.04</v>
      </c>
      <c r="F4008" s="3">
        <v>0.22339999999999999</v>
      </c>
      <c r="G4008">
        <v>5.0400999999999998</v>
      </c>
      <c r="H4008">
        <v>5.4669999999999996</v>
      </c>
    </row>
    <row r="4009" spans="1:8" x14ac:dyDescent="0.25">
      <c r="A4009" t="s">
        <v>4015</v>
      </c>
      <c r="B4009">
        <v>37721</v>
      </c>
      <c r="C4009">
        <v>7898215151913</v>
      </c>
      <c r="D4009">
        <v>5.49</v>
      </c>
      <c r="E4009">
        <v>4.53</v>
      </c>
      <c r="F4009" s="3">
        <v>0.17329999999999998</v>
      </c>
      <c r="G4009">
        <v>4.5384000000000002</v>
      </c>
      <c r="H4009">
        <v>273.96699999999998</v>
      </c>
    </row>
    <row r="4010" spans="1:8" x14ac:dyDescent="0.25">
      <c r="A4010" t="s">
        <v>4016</v>
      </c>
      <c r="B4010">
        <v>37625</v>
      </c>
      <c r="C4010">
        <v>7898215151890</v>
      </c>
      <c r="D4010">
        <v>5.49</v>
      </c>
      <c r="E4010">
        <v>4.49</v>
      </c>
      <c r="F4010" s="3">
        <v>0.18289999999999998</v>
      </c>
      <c r="G4010">
        <v>4.4859999999999998</v>
      </c>
      <c r="H4010" s="1">
        <v>1339.6669999999999</v>
      </c>
    </row>
    <row r="4011" spans="1:8" x14ac:dyDescent="0.25">
      <c r="A4011" t="s">
        <v>4017</v>
      </c>
      <c r="B4011">
        <v>37722</v>
      </c>
      <c r="C4011">
        <v>7898215151937</v>
      </c>
      <c r="D4011">
        <v>5.49</v>
      </c>
      <c r="E4011">
        <v>4.5</v>
      </c>
      <c r="F4011" s="3">
        <v>0.17910000000000001</v>
      </c>
      <c r="G4011">
        <v>4.5065</v>
      </c>
      <c r="H4011">
        <v>378.1</v>
      </c>
    </row>
    <row r="4012" spans="1:8" x14ac:dyDescent="0.25">
      <c r="A4012" t="s">
        <v>4018</v>
      </c>
      <c r="B4012">
        <v>62755</v>
      </c>
      <c r="C4012">
        <v>7898215157786</v>
      </c>
      <c r="D4012">
        <v>7.49</v>
      </c>
      <c r="E4012">
        <v>5.83</v>
      </c>
      <c r="F4012" s="3">
        <v>0.22109999999999999</v>
      </c>
      <c r="G4012">
        <v>5.8342000000000001</v>
      </c>
      <c r="H4012">
        <v>14.567</v>
      </c>
    </row>
    <row r="4013" spans="1:8" x14ac:dyDescent="0.25">
      <c r="A4013" t="s">
        <v>4019</v>
      </c>
      <c r="B4013">
        <v>67309</v>
      </c>
      <c r="C4013">
        <v>7898215157922</v>
      </c>
      <c r="D4013">
        <v>7.49</v>
      </c>
      <c r="E4013">
        <v>6.36</v>
      </c>
      <c r="F4013" s="3">
        <v>0.15079999999999999</v>
      </c>
      <c r="G4013">
        <v>6.3605999999999998</v>
      </c>
      <c r="H4013">
        <v>48.732999999999997</v>
      </c>
    </row>
    <row r="4014" spans="1:8" x14ac:dyDescent="0.25">
      <c r="A4014" t="s">
        <v>4020</v>
      </c>
      <c r="B4014">
        <v>55490</v>
      </c>
      <c r="C4014">
        <v>4006000005430</v>
      </c>
      <c r="D4014">
        <v>19.899999999999999</v>
      </c>
      <c r="E4014">
        <v>18.57</v>
      </c>
      <c r="F4014" s="3">
        <v>6.6600000000000006E-2</v>
      </c>
      <c r="G4014">
        <v>18.575600000000001</v>
      </c>
      <c r="H4014">
        <v>0.7</v>
      </c>
    </row>
    <row r="4015" spans="1:8" x14ac:dyDescent="0.25">
      <c r="A4015" t="s">
        <v>4021</v>
      </c>
      <c r="B4015">
        <v>59849</v>
      </c>
      <c r="C4015">
        <v>4006000005447</v>
      </c>
      <c r="D4015">
        <v>19.899999999999999</v>
      </c>
      <c r="E4015">
        <v>17.850000000000001</v>
      </c>
      <c r="F4015" s="3">
        <v>8.3000000000000004E-2</v>
      </c>
      <c r="G4015">
        <v>18.248699999999999</v>
      </c>
      <c r="H4015">
        <v>0.33300000000000002</v>
      </c>
    </row>
    <row r="4016" spans="1:8" x14ac:dyDescent="0.25">
      <c r="A4016" t="s">
        <v>4022</v>
      </c>
      <c r="B4016">
        <v>66158</v>
      </c>
      <c r="C4016">
        <v>7891010566722</v>
      </c>
      <c r="D4016">
        <v>33.9</v>
      </c>
      <c r="E4016">
        <v>21.2</v>
      </c>
      <c r="F4016" s="3">
        <v>0.34020000000000006</v>
      </c>
      <c r="G4016">
        <v>19.229900000000001</v>
      </c>
      <c r="H4016">
        <v>0.23300000000000001</v>
      </c>
    </row>
    <row r="4017" spans="1:8" x14ac:dyDescent="0.25">
      <c r="A4017" t="s">
        <v>4023</v>
      </c>
      <c r="B4017">
        <v>62991</v>
      </c>
      <c r="C4017">
        <v>7896110000831</v>
      </c>
      <c r="D4017">
        <v>9.9</v>
      </c>
      <c r="E4017">
        <v>6.06</v>
      </c>
      <c r="F4017" s="3">
        <v>0.35170000000000001</v>
      </c>
      <c r="G4017">
        <v>5.5023999999999997</v>
      </c>
      <c r="H4017">
        <v>1.667</v>
      </c>
    </row>
    <row r="4018" spans="1:8" x14ac:dyDescent="0.25">
      <c r="A4018" t="s">
        <v>4024</v>
      </c>
      <c r="B4018">
        <v>62992</v>
      </c>
      <c r="C4018">
        <v>7896110011141</v>
      </c>
      <c r="D4018">
        <v>2.9</v>
      </c>
      <c r="E4018">
        <v>1.44</v>
      </c>
      <c r="F4018" s="3">
        <v>0.45079999999999998</v>
      </c>
      <c r="G4018">
        <v>1.3244</v>
      </c>
      <c r="H4018">
        <v>4.633</v>
      </c>
    </row>
    <row r="4019" spans="1:8" x14ac:dyDescent="0.25">
      <c r="A4019" t="s">
        <v>4025</v>
      </c>
      <c r="B4019">
        <v>62990</v>
      </c>
      <c r="C4019">
        <v>7896110011158</v>
      </c>
      <c r="D4019">
        <v>5.9</v>
      </c>
      <c r="E4019">
        <v>3.23</v>
      </c>
      <c r="F4019" s="3">
        <v>0.40500000000000003</v>
      </c>
      <c r="G4019">
        <v>2.9649999999999999</v>
      </c>
      <c r="H4019">
        <v>2.1</v>
      </c>
    </row>
    <row r="4020" spans="1:8" x14ac:dyDescent="0.25">
      <c r="A4020" t="s">
        <v>4026</v>
      </c>
      <c r="B4020">
        <v>7652</v>
      </c>
      <c r="C4020">
        <v>7891172171666</v>
      </c>
      <c r="D4020">
        <v>2.9</v>
      </c>
      <c r="E4020">
        <v>1.4</v>
      </c>
      <c r="F4020" s="3">
        <v>0.46909999999999996</v>
      </c>
      <c r="G4020">
        <v>1.2714000000000001</v>
      </c>
      <c r="H4020">
        <v>4.2670000000000003</v>
      </c>
    </row>
    <row r="4021" spans="1:8" x14ac:dyDescent="0.25">
      <c r="A4021" t="s">
        <v>4027</v>
      </c>
      <c r="B4021">
        <v>36561</v>
      </c>
      <c r="C4021">
        <v>7896018703940</v>
      </c>
      <c r="D4021">
        <v>7.9</v>
      </c>
      <c r="E4021">
        <v>4.2</v>
      </c>
      <c r="F4021" s="3">
        <v>0.42460000000000003</v>
      </c>
      <c r="G4021">
        <v>3.8149999999999999</v>
      </c>
      <c r="H4021">
        <v>2.7</v>
      </c>
    </row>
    <row r="4022" spans="1:8" x14ac:dyDescent="0.25">
      <c r="A4022" t="s">
        <v>4028</v>
      </c>
      <c r="B4022">
        <v>7650</v>
      </c>
      <c r="C4022">
        <v>7891172161162</v>
      </c>
      <c r="D4022">
        <v>6.9</v>
      </c>
      <c r="E4022">
        <v>3.51</v>
      </c>
      <c r="F4022" s="3">
        <v>0.44640000000000002</v>
      </c>
      <c r="G4022">
        <v>3.1812999999999998</v>
      </c>
      <c r="H4022">
        <v>4.4329999999999998</v>
      </c>
    </row>
    <row r="4023" spans="1:8" x14ac:dyDescent="0.25">
      <c r="A4023" t="s">
        <v>4029</v>
      </c>
      <c r="B4023">
        <v>65636</v>
      </c>
      <c r="C4023">
        <v>7896061990502</v>
      </c>
      <c r="D4023">
        <v>12.9</v>
      </c>
      <c r="E4023">
        <v>8.15</v>
      </c>
      <c r="F4023" s="3">
        <v>0.36840000000000006</v>
      </c>
      <c r="G4023">
        <v>8.1480999999999995</v>
      </c>
      <c r="H4023">
        <v>5.9329999999999998</v>
      </c>
    </row>
    <row r="4024" spans="1:8" x14ac:dyDescent="0.25">
      <c r="A4024" t="s">
        <v>4030</v>
      </c>
      <c r="B4024">
        <v>66337</v>
      </c>
      <c r="C4024">
        <v>7898962794241</v>
      </c>
      <c r="D4024">
        <v>10.99</v>
      </c>
      <c r="E4024">
        <v>6.63</v>
      </c>
      <c r="F4024" s="3">
        <v>0.36049999999999999</v>
      </c>
      <c r="G4024">
        <v>7.0278</v>
      </c>
      <c r="H4024">
        <v>1.9670000000000001</v>
      </c>
    </row>
    <row r="4025" spans="1:8" x14ac:dyDescent="0.25">
      <c r="A4025" t="s">
        <v>4031</v>
      </c>
      <c r="B4025">
        <v>62993</v>
      </c>
      <c r="C4025">
        <v>7896110008356</v>
      </c>
      <c r="D4025">
        <v>21.9</v>
      </c>
      <c r="E4025">
        <v>14.25</v>
      </c>
      <c r="F4025" s="3">
        <v>0.3493</v>
      </c>
      <c r="G4025">
        <v>14.2501</v>
      </c>
      <c r="H4025">
        <v>1.8</v>
      </c>
    </row>
    <row r="4026" spans="1:8" x14ac:dyDescent="0.25">
      <c r="A4026" t="s">
        <v>4032</v>
      </c>
      <c r="B4026">
        <v>62994</v>
      </c>
      <c r="C4026">
        <v>7896110005805</v>
      </c>
      <c r="D4026">
        <v>11.9</v>
      </c>
      <c r="E4026">
        <v>7.92</v>
      </c>
      <c r="F4026" s="3">
        <v>0.3347</v>
      </c>
      <c r="G4026">
        <v>7.9169</v>
      </c>
      <c r="H4026">
        <v>2</v>
      </c>
    </row>
    <row r="4027" spans="1:8" x14ac:dyDescent="0.25">
      <c r="A4027" t="s">
        <v>4033</v>
      </c>
      <c r="B4027">
        <v>67330</v>
      </c>
      <c r="C4027">
        <v>7896512935540</v>
      </c>
      <c r="D4027">
        <v>16.899999999999999</v>
      </c>
      <c r="E4027">
        <v>10.29</v>
      </c>
      <c r="F4027" s="3">
        <v>0.39179999999999998</v>
      </c>
      <c r="G4027">
        <v>10.278</v>
      </c>
      <c r="H4027">
        <v>1.4330000000000001</v>
      </c>
    </row>
    <row r="4028" spans="1:8" x14ac:dyDescent="0.25">
      <c r="A4028" t="s">
        <v>4034</v>
      </c>
      <c r="B4028">
        <v>17224</v>
      </c>
      <c r="C4028">
        <v>7896512921369</v>
      </c>
      <c r="D4028">
        <v>16.899999999999999</v>
      </c>
      <c r="E4028">
        <v>10.5</v>
      </c>
      <c r="F4028" s="3">
        <v>0.37729999999999997</v>
      </c>
      <c r="G4028">
        <v>10.523400000000001</v>
      </c>
      <c r="H4028">
        <v>1.667</v>
      </c>
    </row>
    <row r="4029" spans="1:8" x14ac:dyDescent="0.25">
      <c r="A4029" t="s">
        <v>4035</v>
      </c>
      <c r="B4029">
        <v>66242</v>
      </c>
      <c r="C4029">
        <v>7891010568764</v>
      </c>
      <c r="D4029">
        <v>26.9</v>
      </c>
      <c r="E4029">
        <v>17.98</v>
      </c>
      <c r="F4029" s="3">
        <v>0.3009</v>
      </c>
      <c r="G4029">
        <v>16.3188</v>
      </c>
      <c r="H4029">
        <v>0.63300000000000001</v>
      </c>
    </row>
    <row r="4030" spans="1:8" x14ac:dyDescent="0.25">
      <c r="A4030" t="s">
        <v>4036</v>
      </c>
      <c r="B4030">
        <v>66240</v>
      </c>
      <c r="C4030">
        <v>7891010568757</v>
      </c>
      <c r="D4030">
        <v>24.9</v>
      </c>
      <c r="E4030">
        <v>16.37</v>
      </c>
      <c r="F4030" s="3">
        <v>0.31079999999999997</v>
      </c>
      <c r="G4030">
        <v>14.8576</v>
      </c>
      <c r="H4030">
        <v>0.33300000000000002</v>
      </c>
    </row>
    <row r="4031" spans="1:8" x14ac:dyDescent="0.25">
      <c r="A4031" t="s">
        <v>4037</v>
      </c>
      <c r="B4031">
        <v>66237</v>
      </c>
      <c r="C4031">
        <v>7891010568771</v>
      </c>
      <c r="D4031">
        <v>24.9</v>
      </c>
      <c r="E4031">
        <v>15.57</v>
      </c>
      <c r="F4031" s="3">
        <v>0.39850000000000002</v>
      </c>
      <c r="G4031">
        <v>14.976900000000001</v>
      </c>
      <c r="H4031">
        <v>0.46700000000000003</v>
      </c>
    </row>
    <row r="4032" spans="1:8" x14ac:dyDescent="0.25">
      <c r="A4032" t="s">
        <v>4038</v>
      </c>
      <c r="B4032">
        <v>66244</v>
      </c>
      <c r="C4032">
        <v>7891010247324</v>
      </c>
      <c r="D4032">
        <v>18.899999999999999</v>
      </c>
      <c r="E4032">
        <v>9.0399999999999991</v>
      </c>
      <c r="F4032" s="3">
        <v>0.47369999999999995</v>
      </c>
      <c r="G4032">
        <v>8.1983999999999995</v>
      </c>
      <c r="H4032">
        <v>29.067</v>
      </c>
    </row>
    <row r="4033" spans="1:8" x14ac:dyDescent="0.25">
      <c r="A4033" t="s">
        <v>4039</v>
      </c>
      <c r="B4033">
        <v>51202</v>
      </c>
      <c r="C4033">
        <v>7896018704046</v>
      </c>
      <c r="D4033">
        <v>15.9</v>
      </c>
      <c r="E4033">
        <v>9.9</v>
      </c>
      <c r="F4033" s="3">
        <v>0.37640000000000001</v>
      </c>
      <c r="G4033">
        <v>9.9145000000000003</v>
      </c>
      <c r="H4033">
        <v>28.167000000000002</v>
      </c>
    </row>
    <row r="4034" spans="1:8" x14ac:dyDescent="0.25">
      <c r="A4034" t="s">
        <v>4040</v>
      </c>
      <c r="B4034">
        <v>51201</v>
      </c>
      <c r="C4034">
        <v>7896018704039</v>
      </c>
      <c r="D4034">
        <v>15.9</v>
      </c>
      <c r="E4034">
        <v>9.9</v>
      </c>
      <c r="F4034" s="3">
        <v>0.37670000000000003</v>
      </c>
      <c r="G4034">
        <v>9.9109999999999996</v>
      </c>
      <c r="H4034">
        <v>30.233000000000001</v>
      </c>
    </row>
    <row r="4035" spans="1:8" x14ac:dyDescent="0.25">
      <c r="A4035" t="s">
        <v>4041</v>
      </c>
      <c r="B4035">
        <v>59890</v>
      </c>
      <c r="C4035">
        <v>7896097210230</v>
      </c>
      <c r="D4035">
        <v>49.9</v>
      </c>
      <c r="E4035">
        <v>28.2</v>
      </c>
      <c r="F4035" s="3">
        <v>0.31609999999999999</v>
      </c>
      <c r="G4035">
        <v>20.53</v>
      </c>
      <c r="H4035">
        <v>0.66700000000000004</v>
      </c>
    </row>
    <row r="4036" spans="1:8" x14ac:dyDescent="0.25">
      <c r="A4036" t="s">
        <v>4042</v>
      </c>
      <c r="B4036">
        <v>3701</v>
      </c>
      <c r="C4036">
        <v>7896024210180</v>
      </c>
      <c r="D4036">
        <v>7.47</v>
      </c>
      <c r="E4036">
        <v>7.41</v>
      </c>
      <c r="F4036" s="3">
        <v>7.1999999999999998E-3</v>
      </c>
      <c r="G4036">
        <v>6.0747999999999998</v>
      </c>
      <c r="H4036">
        <v>17.899999999999999</v>
      </c>
    </row>
    <row r="4037" spans="1:8" x14ac:dyDescent="0.25">
      <c r="A4037" t="s">
        <v>4043</v>
      </c>
      <c r="B4037">
        <v>3703</v>
      </c>
      <c r="C4037">
        <v>7897122603218</v>
      </c>
      <c r="D4037">
        <v>9.99</v>
      </c>
      <c r="E4037">
        <v>6.1</v>
      </c>
      <c r="F4037" s="3">
        <v>0.31790000000000002</v>
      </c>
      <c r="G4037">
        <v>5.0156999999999998</v>
      </c>
      <c r="H4037">
        <v>2.7</v>
      </c>
    </row>
    <row r="4038" spans="1:8" x14ac:dyDescent="0.25">
      <c r="A4038" t="s">
        <v>4044</v>
      </c>
      <c r="B4038">
        <v>3704</v>
      </c>
      <c r="C4038">
        <v>7891095911301</v>
      </c>
      <c r="D4038">
        <v>10.9</v>
      </c>
      <c r="E4038">
        <v>7.87</v>
      </c>
      <c r="F4038" s="3">
        <v>0.2286</v>
      </c>
      <c r="G4038">
        <v>6.4463999999999997</v>
      </c>
      <c r="H4038">
        <v>15.733000000000001</v>
      </c>
    </row>
    <row r="4039" spans="1:8" x14ac:dyDescent="0.25">
      <c r="A4039" t="s">
        <v>4045</v>
      </c>
      <c r="B4039">
        <v>63486</v>
      </c>
      <c r="C4039">
        <v>7898966071089</v>
      </c>
      <c r="D4039">
        <v>29.9</v>
      </c>
      <c r="E4039">
        <v>17.5</v>
      </c>
      <c r="F4039" s="3">
        <v>0.3846</v>
      </c>
      <c r="G4039">
        <v>15.6348</v>
      </c>
      <c r="H4039">
        <v>0.16700000000000001</v>
      </c>
    </row>
    <row r="4040" spans="1:8" x14ac:dyDescent="0.25">
      <c r="A4040" t="s">
        <v>4046</v>
      </c>
      <c r="B4040">
        <v>27827</v>
      </c>
      <c r="C4040">
        <v>7891150038561</v>
      </c>
      <c r="D4040">
        <v>13.9</v>
      </c>
      <c r="E4040">
        <v>9.41</v>
      </c>
      <c r="F4040" s="3">
        <v>0.28999999999999998</v>
      </c>
      <c r="G4040">
        <v>8.5833999999999993</v>
      </c>
      <c r="H4040">
        <v>2.4670000000000001</v>
      </c>
    </row>
    <row r="4041" spans="1:8" x14ac:dyDescent="0.25">
      <c r="A4041" t="s">
        <v>4047</v>
      </c>
      <c r="B4041">
        <v>27828</v>
      </c>
      <c r="C4041">
        <v>7891150038585</v>
      </c>
      <c r="D4041">
        <v>22.9</v>
      </c>
      <c r="E4041">
        <v>15.95</v>
      </c>
      <c r="F4041" s="3">
        <v>0.26940000000000003</v>
      </c>
      <c r="G4041">
        <v>14.613099999999999</v>
      </c>
      <c r="H4041">
        <v>1.2669999999999999</v>
      </c>
    </row>
    <row r="4042" spans="1:8" x14ac:dyDescent="0.25">
      <c r="A4042" t="s">
        <v>4048</v>
      </c>
      <c r="B4042">
        <v>57042</v>
      </c>
      <c r="C4042">
        <v>7891150071667</v>
      </c>
      <c r="D4042">
        <v>15.9</v>
      </c>
      <c r="E4042">
        <v>11.86</v>
      </c>
      <c r="F4042" s="3">
        <v>0.23050000000000001</v>
      </c>
      <c r="G4042">
        <v>10.7651</v>
      </c>
      <c r="H4042">
        <v>0.5</v>
      </c>
    </row>
    <row r="4043" spans="1:8" x14ac:dyDescent="0.25">
      <c r="A4043" t="s">
        <v>4049</v>
      </c>
      <c r="B4043">
        <v>57600</v>
      </c>
      <c r="C4043">
        <v>7891035000072</v>
      </c>
      <c r="D4043">
        <v>14.9</v>
      </c>
      <c r="E4043">
        <v>10</v>
      </c>
      <c r="F4043" s="3">
        <v>0.29859999999999998</v>
      </c>
      <c r="G4043">
        <v>9.0730000000000004</v>
      </c>
      <c r="H4043">
        <v>1.4</v>
      </c>
    </row>
    <row r="4044" spans="1:8" x14ac:dyDescent="0.25">
      <c r="A4044" t="s">
        <v>4050</v>
      </c>
      <c r="B4044">
        <v>60476</v>
      </c>
      <c r="C4044">
        <v>7891035001437</v>
      </c>
      <c r="D4044">
        <v>14.9</v>
      </c>
      <c r="E4044">
        <v>10</v>
      </c>
      <c r="F4044" s="3">
        <v>0.2984</v>
      </c>
      <c r="G4044">
        <v>9.0749999999999993</v>
      </c>
      <c r="H4044">
        <v>1</v>
      </c>
    </row>
    <row r="4045" spans="1:8" x14ac:dyDescent="0.25">
      <c r="A4045" t="s">
        <v>4051</v>
      </c>
      <c r="B4045">
        <v>57602</v>
      </c>
      <c r="C4045">
        <v>7891035000089</v>
      </c>
      <c r="D4045">
        <v>23</v>
      </c>
      <c r="E4045">
        <v>17.09</v>
      </c>
      <c r="F4045" s="3">
        <v>0.2293</v>
      </c>
      <c r="G4045">
        <v>15.598599999999999</v>
      </c>
      <c r="H4045">
        <v>0.433</v>
      </c>
    </row>
    <row r="4046" spans="1:8" x14ac:dyDescent="0.25">
      <c r="A4046" t="s">
        <v>4052</v>
      </c>
      <c r="B4046">
        <v>60475</v>
      </c>
      <c r="C4046">
        <v>7891035001420</v>
      </c>
      <c r="D4046">
        <v>29.9</v>
      </c>
      <c r="E4046">
        <v>17.64</v>
      </c>
      <c r="F4046" s="3">
        <v>0.37219999999999998</v>
      </c>
      <c r="G4046">
        <v>16.006900000000002</v>
      </c>
      <c r="H4046">
        <v>0.3</v>
      </c>
    </row>
    <row r="4047" spans="1:8" x14ac:dyDescent="0.25">
      <c r="A4047" t="s">
        <v>4053</v>
      </c>
      <c r="B4047">
        <v>22565</v>
      </c>
      <c r="C4047">
        <v>7891035800061</v>
      </c>
      <c r="D4047">
        <v>24.4</v>
      </c>
      <c r="E4047">
        <v>17.66</v>
      </c>
      <c r="F4047" s="3">
        <v>0.25069999999999998</v>
      </c>
      <c r="G4047">
        <v>16.024699999999999</v>
      </c>
      <c r="H4047">
        <v>1.867</v>
      </c>
    </row>
    <row r="4048" spans="1:8" x14ac:dyDescent="0.25">
      <c r="A4048" t="s">
        <v>4054</v>
      </c>
      <c r="B4048">
        <v>57601</v>
      </c>
      <c r="C4048">
        <v>7891035000041</v>
      </c>
      <c r="D4048">
        <v>34.9</v>
      </c>
      <c r="E4048">
        <v>24.91</v>
      </c>
      <c r="F4048" s="3">
        <v>0.2676</v>
      </c>
      <c r="G4048">
        <v>22.334099999999999</v>
      </c>
      <c r="H4048">
        <v>0.33300000000000002</v>
      </c>
    </row>
    <row r="4049" spans="1:8" x14ac:dyDescent="0.25">
      <c r="A4049" t="s">
        <v>4055</v>
      </c>
      <c r="B4049">
        <v>19631</v>
      </c>
      <c r="C4049">
        <v>7898024830177</v>
      </c>
      <c r="D4049">
        <v>34.9</v>
      </c>
      <c r="E4049">
        <v>25.15</v>
      </c>
      <c r="F4049" s="3">
        <v>0.25309999999999999</v>
      </c>
      <c r="G4049">
        <v>22.839200000000002</v>
      </c>
      <c r="H4049">
        <v>1.5329999999999999</v>
      </c>
    </row>
    <row r="4050" spans="1:8" x14ac:dyDescent="0.25">
      <c r="A4050" t="s">
        <v>4056</v>
      </c>
      <c r="B4050">
        <v>60474</v>
      </c>
      <c r="C4050">
        <v>7891035001413</v>
      </c>
      <c r="D4050">
        <v>15.1</v>
      </c>
      <c r="E4050">
        <v>11.51</v>
      </c>
      <c r="F4050" s="3">
        <v>0.21579999999999999</v>
      </c>
      <c r="G4050">
        <v>10.4442</v>
      </c>
      <c r="H4050">
        <v>1.167</v>
      </c>
    </row>
    <row r="4051" spans="1:8" x14ac:dyDescent="0.25">
      <c r="A4051" t="s">
        <v>4057</v>
      </c>
      <c r="B4051">
        <v>19633</v>
      </c>
      <c r="C4051">
        <v>7898024830184</v>
      </c>
      <c r="D4051">
        <v>23.9</v>
      </c>
      <c r="E4051">
        <v>17.13</v>
      </c>
      <c r="F4051" s="3">
        <v>0.2571</v>
      </c>
      <c r="G4051">
        <v>15.545500000000001</v>
      </c>
      <c r="H4051">
        <v>0.3</v>
      </c>
    </row>
    <row r="4052" spans="1:8" x14ac:dyDescent="0.25">
      <c r="A4052" t="s">
        <v>4058</v>
      </c>
      <c r="B4052">
        <v>57603</v>
      </c>
      <c r="C4052">
        <v>7891035000119</v>
      </c>
      <c r="D4052">
        <v>9.9</v>
      </c>
      <c r="E4052">
        <v>16.61</v>
      </c>
      <c r="F4052" s="3">
        <v>-0.61509999999999998</v>
      </c>
      <c r="G4052">
        <v>15.0733</v>
      </c>
      <c r="H4052">
        <v>3.3000000000000002E-2</v>
      </c>
    </row>
    <row r="4053" spans="1:8" x14ac:dyDescent="0.25">
      <c r="A4053" t="s">
        <v>4059</v>
      </c>
      <c r="B4053">
        <v>19635</v>
      </c>
      <c r="C4053">
        <v>7891035209505</v>
      </c>
      <c r="D4053">
        <v>19.899999999999999</v>
      </c>
      <c r="E4053">
        <v>14.38</v>
      </c>
      <c r="F4053" s="3">
        <v>0.25170000000000003</v>
      </c>
      <c r="G4053">
        <v>13.0504</v>
      </c>
      <c r="H4053">
        <v>4.4000000000000004</v>
      </c>
    </row>
    <row r="4054" spans="1:8" x14ac:dyDescent="0.25">
      <c r="A4054" t="s">
        <v>4060</v>
      </c>
      <c r="B4054">
        <v>57598</v>
      </c>
      <c r="C4054">
        <v>7891035000058</v>
      </c>
      <c r="D4054">
        <v>19.899999999999999</v>
      </c>
      <c r="E4054">
        <v>13.51</v>
      </c>
      <c r="F4054" s="3">
        <v>0.29149999999999998</v>
      </c>
      <c r="G4054">
        <v>12.2585</v>
      </c>
      <c r="H4054">
        <v>0</v>
      </c>
    </row>
    <row r="4055" spans="1:8" x14ac:dyDescent="0.25">
      <c r="A4055" t="s">
        <v>4061</v>
      </c>
      <c r="B4055">
        <v>32408</v>
      </c>
      <c r="C4055">
        <v>7891035800238</v>
      </c>
      <c r="D4055">
        <v>15.9</v>
      </c>
      <c r="E4055">
        <v>11.44</v>
      </c>
      <c r="F4055" s="3">
        <v>0.25280000000000002</v>
      </c>
      <c r="G4055">
        <v>10.4094</v>
      </c>
      <c r="H4055">
        <v>7.2329999999999997</v>
      </c>
    </row>
    <row r="4056" spans="1:8" x14ac:dyDescent="0.25">
      <c r="A4056" t="s">
        <v>4062</v>
      </c>
      <c r="B4056">
        <v>63591</v>
      </c>
      <c r="C4056">
        <v>7509546667881</v>
      </c>
      <c r="D4056">
        <v>12.9</v>
      </c>
      <c r="E4056">
        <v>8.7100000000000009</v>
      </c>
      <c r="F4056" s="3">
        <v>0.30269999999999997</v>
      </c>
      <c r="G4056">
        <v>7.8018000000000001</v>
      </c>
      <c r="H4056">
        <v>0.3</v>
      </c>
    </row>
    <row r="4057" spans="1:8" x14ac:dyDescent="0.25">
      <c r="A4057" t="s">
        <v>4063</v>
      </c>
      <c r="B4057">
        <v>66542</v>
      </c>
      <c r="C4057">
        <v>7509546690193</v>
      </c>
      <c r="D4057">
        <v>10.3</v>
      </c>
      <c r="E4057">
        <v>7.01</v>
      </c>
      <c r="F4057" s="3">
        <v>0.28850000000000003</v>
      </c>
      <c r="G4057">
        <v>6.3757000000000001</v>
      </c>
      <c r="H4057">
        <v>0.2</v>
      </c>
    </row>
    <row r="4058" spans="1:8" x14ac:dyDescent="0.25">
      <c r="A4058" t="s">
        <v>4064</v>
      </c>
      <c r="B4058">
        <v>63885</v>
      </c>
      <c r="C4058">
        <v>7891150090750</v>
      </c>
      <c r="D4058">
        <v>13.9</v>
      </c>
      <c r="E4058">
        <v>9.9700000000000006</v>
      </c>
      <c r="F4058" s="3">
        <v>0.25690000000000002</v>
      </c>
      <c r="G4058">
        <v>9.0435999999999996</v>
      </c>
      <c r="H4058">
        <v>1.8</v>
      </c>
    </row>
    <row r="4059" spans="1:8" x14ac:dyDescent="0.25">
      <c r="A4059" t="s">
        <v>4065</v>
      </c>
      <c r="B4059">
        <v>63883</v>
      </c>
      <c r="C4059">
        <v>7891150090743</v>
      </c>
      <c r="D4059">
        <v>24.9</v>
      </c>
      <c r="E4059">
        <v>18.18</v>
      </c>
      <c r="F4059" s="3">
        <v>0.24260000000000001</v>
      </c>
      <c r="G4059">
        <v>16.555599999999998</v>
      </c>
      <c r="H4059">
        <v>2.4670000000000001</v>
      </c>
    </row>
    <row r="4060" spans="1:8" x14ac:dyDescent="0.25">
      <c r="A4060" t="s">
        <v>4066</v>
      </c>
      <c r="B4060">
        <v>27831</v>
      </c>
      <c r="C4060">
        <v>7891150038530</v>
      </c>
      <c r="D4060">
        <v>11.9</v>
      </c>
      <c r="E4060">
        <v>8.27</v>
      </c>
      <c r="F4060" s="3">
        <v>0.27639999999999998</v>
      </c>
      <c r="G4060">
        <v>7.5098000000000003</v>
      </c>
      <c r="H4060">
        <v>2.8330000000000002</v>
      </c>
    </row>
    <row r="4061" spans="1:8" x14ac:dyDescent="0.25">
      <c r="A4061" t="s">
        <v>4067</v>
      </c>
      <c r="B4061">
        <v>9308</v>
      </c>
      <c r="C4061">
        <v>7891150025332</v>
      </c>
      <c r="D4061">
        <v>22.9</v>
      </c>
      <c r="E4061">
        <v>17.3</v>
      </c>
      <c r="F4061" s="3">
        <v>0.22059999999999999</v>
      </c>
      <c r="G4061">
        <v>15.7294</v>
      </c>
      <c r="H4061">
        <v>0.56699999999999995</v>
      </c>
    </row>
    <row r="4062" spans="1:8" x14ac:dyDescent="0.25">
      <c r="A4062" t="s">
        <v>4068</v>
      </c>
      <c r="B4062">
        <v>42462</v>
      </c>
      <c r="C4062">
        <v>7891150049826</v>
      </c>
      <c r="D4062">
        <v>14.3</v>
      </c>
      <c r="E4062">
        <v>11.25</v>
      </c>
      <c r="F4062" s="3">
        <v>0.19329999999999997</v>
      </c>
      <c r="G4062">
        <v>10.213699999999999</v>
      </c>
      <c r="H4062">
        <v>1.667</v>
      </c>
    </row>
    <row r="4063" spans="1:8" x14ac:dyDescent="0.25">
      <c r="A4063" t="s">
        <v>4069</v>
      </c>
      <c r="B4063">
        <v>57054</v>
      </c>
      <c r="C4063">
        <v>7891150071704</v>
      </c>
      <c r="D4063">
        <v>11.15</v>
      </c>
      <c r="E4063">
        <v>8.32</v>
      </c>
      <c r="F4063" s="3">
        <v>0.2273</v>
      </c>
      <c r="G4063">
        <v>7.5845000000000002</v>
      </c>
      <c r="H4063">
        <v>1.5669999999999999</v>
      </c>
    </row>
    <row r="4064" spans="1:8" x14ac:dyDescent="0.25">
      <c r="A4064" t="s">
        <v>4070</v>
      </c>
      <c r="B4064">
        <v>57043</v>
      </c>
      <c r="C4064">
        <v>7891150071643</v>
      </c>
      <c r="D4064">
        <v>15.9</v>
      </c>
      <c r="E4064">
        <v>11.12</v>
      </c>
      <c r="F4064" s="3">
        <v>0.27010000000000001</v>
      </c>
      <c r="G4064">
        <v>10.1349</v>
      </c>
      <c r="H4064">
        <v>2.367</v>
      </c>
    </row>
    <row r="4065" spans="1:8" x14ac:dyDescent="0.25">
      <c r="A4065" t="s">
        <v>4071</v>
      </c>
      <c r="B4065">
        <v>48647</v>
      </c>
      <c r="C4065">
        <v>7891035285288</v>
      </c>
      <c r="D4065">
        <v>11.9</v>
      </c>
      <c r="E4065">
        <v>8.2200000000000006</v>
      </c>
      <c r="F4065" s="3">
        <v>0.28029999999999999</v>
      </c>
      <c r="G4065">
        <v>7.4640000000000004</v>
      </c>
      <c r="H4065">
        <v>4.367</v>
      </c>
    </row>
    <row r="4066" spans="1:8" x14ac:dyDescent="0.25">
      <c r="A4066" t="s">
        <v>4072</v>
      </c>
      <c r="B4066">
        <v>43946</v>
      </c>
      <c r="C4066">
        <v>7891035285097</v>
      </c>
      <c r="D4066">
        <v>11.9</v>
      </c>
      <c r="E4066">
        <v>8.2200000000000006</v>
      </c>
      <c r="F4066" s="3">
        <v>0.28039999999999998</v>
      </c>
      <c r="G4066">
        <v>7.4627999999999997</v>
      </c>
      <c r="H4066">
        <v>6.6</v>
      </c>
    </row>
    <row r="4067" spans="1:8" x14ac:dyDescent="0.25">
      <c r="A4067" t="s">
        <v>4073</v>
      </c>
      <c r="B4067">
        <v>67308</v>
      </c>
      <c r="C4067">
        <v>7891035001758</v>
      </c>
      <c r="D4067">
        <v>11.9</v>
      </c>
      <c r="E4067">
        <v>8.2200000000000006</v>
      </c>
      <c r="F4067" s="3">
        <v>0.28029999999999999</v>
      </c>
      <c r="G4067">
        <v>7.4641000000000002</v>
      </c>
      <c r="H4067">
        <v>3.3</v>
      </c>
    </row>
    <row r="4068" spans="1:8" x14ac:dyDescent="0.25">
      <c r="A4068" t="s">
        <v>4074</v>
      </c>
      <c r="B4068">
        <v>20805</v>
      </c>
      <c r="C4068">
        <v>7891035800054</v>
      </c>
      <c r="D4068">
        <v>20.9</v>
      </c>
      <c r="E4068">
        <v>15.39</v>
      </c>
      <c r="F4068" s="3">
        <v>0.23910000000000001</v>
      </c>
      <c r="G4068">
        <v>13.9695</v>
      </c>
      <c r="H4068">
        <v>1.2330000000000001</v>
      </c>
    </row>
    <row r="4069" spans="1:8" x14ac:dyDescent="0.25">
      <c r="A4069" t="s">
        <v>4075</v>
      </c>
      <c r="B4069">
        <v>19476</v>
      </c>
      <c r="C4069">
        <v>7891035215506</v>
      </c>
      <c r="D4069">
        <v>29.9</v>
      </c>
      <c r="E4069">
        <v>21.88</v>
      </c>
      <c r="F4069" s="3">
        <v>0.24079999999999999</v>
      </c>
      <c r="G4069">
        <v>19.935600000000001</v>
      </c>
      <c r="H4069">
        <v>0.26700000000000002</v>
      </c>
    </row>
    <row r="4070" spans="1:8" x14ac:dyDescent="0.25">
      <c r="A4070" t="s">
        <v>4076</v>
      </c>
      <c r="B4070">
        <v>19474</v>
      </c>
      <c r="C4070">
        <v>7891035216107</v>
      </c>
      <c r="D4070">
        <v>29.9</v>
      </c>
      <c r="E4070">
        <v>21.83</v>
      </c>
      <c r="F4070" s="3">
        <v>0.24440000000000001</v>
      </c>
      <c r="G4070">
        <v>19.827300000000001</v>
      </c>
      <c r="H4070">
        <v>0.36699999999999999</v>
      </c>
    </row>
    <row r="4071" spans="1:8" x14ac:dyDescent="0.25">
      <c r="A4071" t="s">
        <v>4077</v>
      </c>
      <c r="B4071">
        <v>19486</v>
      </c>
      <c r="C4071">
        <v>7891035215537</v>
      </c>
      <c r="D4071">
        <v>17.899999999999999</v>
      </c>
      <c r="E4071">
        <v>11.79</v>
      </c>
      <c r="F4071" s="3">
        <v>0.30909999999999999</v>
      </c>
      <c r="G4071">
        <v>10.710599999999999</v>
      </c>
      <c r="H4071">
        <v>2.7330000000000001</v>
      </c>
    </row>
    <row r="4072" spans="1:8" x14ac:dyDescent="0.25">
      <c r="A4072" t="s">
        <v>4078</v>
      </c>
      <c r="B4072">
        <v>19481</v>
      </c>
      <c r="C4072">
        <v>7891035215605</v>
      </c>
      <c r="D4072">
        <v>19.899999999999999</v>
      </c>
      <c r="E4072">
        <v>14.16</v>
      </c>
      <c r="F4072" s="3">
        <v>0.26179999999999998</v>
      </c>
      <c r="G4072">
        <v>12.85</v>
      </c>
      <c r="H4072">
        <v>0</v>
      </c>
    </row>
    <row r="4073" spans="1:8" x14ac:dyDescent="0.25">
      <c r="A4073" t="s">
        <v>4079</v>
      </c>
      <c r="B4073">
        <v>32404</v>
      </c>
      <c r="C4073">
        <v>7891035800245</v>
      </c>
      <c r="D4073">
        <v>14.3</v>
      </c>
      <c r="E4073">
        <v>9.44</v>
      </c>
      <c r="F4073" s="3">
        <v>0.30840000000000001</v>
      </c>
      <c r="G4073">
        <v>8.5673999999999992</v>
      </c>
      <c r="H4073">
        <v>0.7</v>
      </c>
    </row>
    <row r="4074" spans="1:8" x14ac:dyDescent="0.25">
      <c r="A4074" t="s">
        <v>4080</v>
      </c>
      <c r="B4074">
        <v>57605</v>
      </c>
      <c r="C4074">
        <v>7891035000232</v>
      </c>
      <c r="D4074">
        <v>18.899999999999999</v>
      </c>
      <c r="E4074">
        <v>12.61</v>
      </c>
      <c r="F4074" s="3">
        <v>0.30219999999999997</v>
      </c>
      <c r="G4074">
        <v>11.4407</v>
      </c>
      <c r="H4074">
        <v>0.433</v>
      </c>
    </row>
    <row r="4075" spans="1:8" x14ac:dyDescent="0.25">
      <c r="A4075" t="s">
        <v>4081</v>
      </c>
      <c r="B4075">
        <v>57604</v>
      </c>
      <c r="C4075">
        <v>7891035000225</v>
      </c>
      <c r="D4075">
        <v>18.899999999999999</v>
      </c>
      <c r="E4075">
        <v>12.39</v>
      </c>
      <c r="F4075" s="3">
        <v>0.30920000000000003</v>
      </c>
      <c r="G4075">
        <v>11.3081</v>
      </c>
      <c r="H4075">
        <v>0.6</v>
      </c>
    </row>
    <row r="4076" spans="1:8" x14ac:dyDescent="0.25">
      <c r="A4076" t="s">
        <v>4082</v>
      </c>
      <c r="B4076">
        <v>53671</v>
      </c>
      <c r="C4076">
        <v>7891150071742</v>
      </c>
      <c r="D4076">
        <v>8.49</v>
      </c>
      <c r="E4076">
        <v>5.69</v>
      </c>
      <c r="F4076" s="3">
        <v>0.23989999999999997</v>
      </c>
      <c r="G4076">
        <v>4.1401000000000003</v>
      </c>
      <c r="H4076">
        <v>0.5</v>
      </c>
    </row>
    <row r="4077" spans="1:8" x14ac:dyDescent="0.25">
      <c r="A4077" t="s">
        <v>4083</v>
      </c>
      <c r="B4077">
        <v>68698</v>
      </c>
      <c r="C4077">
        <v>7896090707874</v>
      </c>
      <c r="D4077">
        <v>13.9</v>
      </c>
      <c r="E4077">
        <v>8.9</v>
      </c>
      <c r="F4077" s="3">
        <v>0.32530000000000003</v>
      </c>
      <c r="G4077">
        <v>8.0921000000000003</v>
      </c>
      <c r="H4077">
        <v>3.7</v>
      </c>
    </row>
    <row r="4078" spans="1:8" x14ac:dyDescent="0.25">
      <c r="A4078" t="s">
        <v>4084</v>
      </c>
      <c r="B4078">
        <v>68697</v>
      </c>
      <c r="C4078">
        <v>7896090707867</v>
      </c>
      <c r="D4078">
        <v>13.9</v>
      </c>
      <c r="E4078">
        <v>9</v>
      </c>
      <c r="F4078" s="3">
        <v>0.32119999999999999</v>
      </c>
      <c r="G4078">
        <v>8.1499000000000006</v>
      </c>
      <c r="H4078">
        <v>1.667</v>
      </c>
    </row>
    <row r="4079" spans="1:8" x14ac:dyDescent="0.25">
      <c r="A4079" t="s">
        <v>4085</v>
      </c>
      <c r="B4079">
        <v>66971</v>
      </c>
      <c r="C4079">
        <v>7891035800344</v>
      </c>
      <c r="D4079">
        <v>21.6</v>
      </c>
      <c r="E4079">
        <v>12.99</v>
      </c>
      <c r="F4079" s="3">
        <v>0.3629</v>
      </c>
      <c r="G4079">
        <v>11.7638</v>
      </c>
      <c r="H4079">
        <v>49.866999999999997</v>
      </c>
    </row>
    <row r="4080" spans="1:8" x14ac:dyDescent="0.25">
      <c r="A4080" t="s">
        <v>4086</v>
      </c>
      <c r="B4080">
        <v>19642</v>
      </c>
      <c r="C4080">
        <v>7891035209000</v>
      </c>
      <c r="D4080">
        <v>7.9</v>
      </c>
      <c r="E4080">
        <v>5.32</v>
      </c>
      <c r="F4080" s="3">
        <v>0.29600000000000004</v>
      </c>
      <c r="G4080">
        <v>4.8311000000000002</v>
      </c>
      <c r="H4080">
        <v>1.6</v>
      </c>
    </row>
    <row r="4081" spans="1:8" x14ac:dyDescent="0.25">
      <c r="A4081" t="s">
        <v>4087</v>
      </c>
      <c r="B4081">
        <v>19643</v>
      </c>
      <c r="C4081">
        <v>7891035209901</v>
      </c>
      <c r="D4081">
        <v>7.9</v>
      </c>
      <c r="E4081">
        <v>5.33</v>
      </c>
      <c r="F4081" s="3">
        <v>0.29570000000000002</v>
      </c>
      <c r="G4081">
        <v>4.8329000000000004</v>
      </c>
      <c r="H4081">
        <v>1.3</v>
      </c>
    </row>
    <row r="4082" spans="1:8" x14ac:dyDescent="0.25">
      <c r="A4082" t="s">
        <v>4088</v>
      </c>
      <c r="B4082">
        <v>19646</v>
      </c>
      <c r="C4082">
        <v>7891035210334</v>
      </c>
      <c r="D4082">
        <v>7.9</v>
      </c>
      <c r="E4082">
        <v>5.33</v>
      </c>
      <c r="F4082" s="3">
        <v>0.29530000000000001</v>
      </c>
      <c r="G4082">
        <v>4.8364000000000003</v>
      </c>
      <c r="H4082">
        <v>1.9</v>
      </c>
    </row>
    <row r="4083" spans="1:8" x14ac:dyDescent="0.25">
      <c r="A4083" t="s">
        <v>4089</v>
      </c>
      <c r="B4083">
        <v>66036</v>
      </c>
      <c r="C4083">
        <v>7891035002793</v>
      </c>
      <c r="D4083">
        <v>10.9</v>
      </c>
      <c r="E4083">
        <v>7.18</v>
      </c>
      <c r="F4083" s="3">
        <v>0.30959999999999999</v>
      </c>
      <c r="G4083">
        <v>6.5171000000000001</v>
      </c>
      <c r="H4083">
        <v>1.2330000000000001</v>
      </c>
    </row>
    <row r="4084" spans="1:8" x14ac:dyDescent="0.25">
      <c r="A4084" t="s">
        <v>4090</v>
      </c>
      <c r="B4084">
        <v>66037</v>
      </c>
      <c r="C4084">
        <v>7891035002809</v>
      </c>
      <c r="D4084">
        <v>10.9</v>
      </c>
      <c r="E4084">
        <v>7.18</v>
      </c>
      <c r="F4084" s="3">
        <v>0.30959999999999999</v>
      </c>
      <c r="G4084">
        <v>6.5171000000000001</v>
      </c>
      <c r="H4084">
        <v>0.73299999999999998</v>
      </c>
    </row>
    <row r="4085" spans="1:8" x14ac:dyDescent="0.25">
      <c r="A4085" t="s">
        <v>4091</v>
      </c>
      <c r="B4085">
        <v>19640</v>
      </c>
      <c r="C4085">
        <v>7891035210006</v>
      </c>
      <c r="D4085">
        <v>7.9</v>
      </c>
      <c r="E4085">
        <v>5</v>
      </c>
      <c r="F4085" s="3">
        <v>0.34090000000000004</v>
      </c>
      <c r="G4085">
        <v>4.476</v>
      </c>
      <c r="H4085">
        <v>12.2</v>
      </c>
    </row>
    <row r="4086" spans="1:8" x14ac:dyDescent="0.25">
      <c r="A4086" t="s">
        <v>4092</v>
      </c>
      <c r="B4086">
        <v>59273</v>
      </c>
      <c r="C4086">
        <v>7891035000973</v>
      </c>
      <c r="D4086">
        <v>10.9</v>
      </c>
      <c r="E4086">
        <v>7.18</v>
      </c>
      <c r="F4086" s="3">
        <v>0.30969999999999998</v>
      </c>
      <c r="G4086">
        <v>6.516</v>
      </c>
      <c r="H4086">
        <v>4.2670000000000003</v>
      </c>
    </row>
    <row r="4087" spans="1:8" x14ac:dyDescent="0.25">
      <c r="A4087" t="s">
        <v>4093</v>
      </c>
      <c r="B4087">
        <v>53257</v>
      </c>
      <c r="C4087">
        <v>7891035990557</v>
      </c>
      <c r="D4087">
        <v>10.9</v>
      </c>
      <c r="E4087">
        <v>7.17</v>
      </c>
      <c r="F4087" s="3">
        <v>0.31019999999999998</v>
      </c>
      <c r="G4087">
        <v>6.5107999999999997</v>
      </c>
      <c r="H4087">
        <v>5.4329999999999998</v>
      </c>
    </row>
    <row r="4088" spans="1:8" x14ac:dyDescent="0.25">
      <c r="A4088" t="s">
        <v>4094</v>
      </c>
      <c r="B4088">
        <v>53256</v>
      </c>
      <c r="C4088">
        <v>7891035990571</v>
      </c>
      <c r="D4088">
        <v>10.9</v>
      </c>
      <c r="E4088">
        <v>7.18</v>
      </c>
      <c r="F4088" s="3">
        <v>0.30969999999999998</v>
      </c>
      <c r="G4088">
        <v>6.5164999999999997</v>
      </c>
      <c r="H4088">
        <v>13.433</v>
      </c>
    </row>
    <row r="4089" spans="1:8" x14ac:dyDescent="0.25">
      <c r="A4089" t="s">
        <v>4095</v>
      </c>
      <c r="B4089">
        <v>44767</v>
      </c>
      <c r="C4089">
        <v>7891035285158</v>
      </c>
      <c r="D4089">
        <v>7.1</v>
      </c>
      <c r="E4089">
        <v>4.79</v>
      </c>
      <c r="F4089" s="3">
        <v>0.29570000000000002</v>
      </c>
      <c r="G4089">
        <v>4.3440000000000003</v>
      </c>
      <c r="H4089">
        <v>5.9669999999999996</v>
      </c>
    </row>
    <row r="4090" spans="1:8" x14ac:dyDescent="0.25">
      <c r="A4090" t="s">
        <v>4096</v>
      </c>
      <c r="B4090">
        <v>44773</v>
      </c>
      <c r="C4090">
        <v>7891035285165</v>
      </c>
      <c r="D4090">
        <v>7.1</v>
      </c>
      <c r="E4090">
        <v>4.79</v>
      </c>
      <c r="F4090" s="3">
        <v>0.29570000000000002</v>
      </c>
      <c r="G4090">
        <v>4.3438999999999997</v>
      </c>
      <c r="H4090">
        <v>3.7</v>
      </c>
    </row>
    <row r="4091" spans="1:8" x14ac:dyDescent="0.25">
      <c r="A4091" t="s">
        <v>4097</v>
      </c>
      <c r="B4091">
        <v>44774</v>
      </c>
      <c r="C4091">
        <v>7891035285172</v>
      </c>
      <c r="D4091">
        <v>7.1</v>
      </c>
      <c r="E4091">
        <v>4.79</v>
      </c>
      <c r="F4091" s="3">
        <v>0.29580000000000001</v>
      </c>
      <c r="G4091">
        <v>4.3428000000000004</v>
      </c>
      <c r="H4091">
        <v>3.0329999999999999</v>
      </c>
    </row>
    <row r="4092" spans="1:8" x14ac:dyDescent="0.25">
      <c r="A4092" t="s">
        <v>4098</v>
      </c>
      <c r="B4092">
        <v>26828</v>
      </c>
      <c r="C4092">
        <v>7891035800214</v>
      </c>
      <c r="D4092">
        <v>7.1</v>
      </c>
      <c r="E4092">
        <v>4.78</v>
      </c>
      <c r="F4092" s="3">
        <v>0.29580000000000001</v>
      </c>
      <c r="G4092">
        <v>4.3428000000000004</v>
      </c>
      <c r="H4092">
        <v>12</v>
      </c>
    </row>
    <row r="4093" spans="1:8" x14ac:dyDescent="0.25">
      <c r="A4093" t="s">
        <v>4099</v>
      </c>
      <c r="B4093">
        <v>19657</v>
      </c>
      <c r="C4093">
        <v>7891035211409</v>
      </c>
      <c r="D4093">
        <v>14.9</v>
      </c>
      <c r="E4093">
        <v>10.49</v>
      </c>
      <c r="F4093" s="3">
        <v>0.26300000000000001</v>
      </c>
      <c r="G4093">
        <v>9.6030999999999995</v>
      </c>
      <c r="H4093">
        <v>2.6</v>
      </c>
    </row>
    <row r="4094" spans="1:8" x14ac:dyDescent="0.25">
      <c r="A4094" t="s">
        <v>4100</v>
      </c>
      <c r="B4094">
        <v>5009</v>
      </c>
      <c r="C4094">
        <v>7896098900178</v>
      </c>
      <c r="D4094">
        <v>5.9</v>
      </c>
      <c r="E4094">
        <v>2.63</v>
      </c>
      <c r="F4094" s="3">
        <v>0.50149999999999995</v>
      </c>
      <c r="G4094">
        <v>2.3955000000000002</v>
      </c>
      <c r="H4094">
        <v>3.133</v>
      </c>
    </row>
    <row r="4095" spans="1:8" x14ac:dyDescent="0.25">
      <c r="A4095" t="s">
        <v>4101</v>
      </c>
      <c r="B4095">
        <v>5011</v>
      </c>
      <c r="C4095">
        <v>7896098900802</v>
      </c>
      <c r="D4095">
        <v>5.9</v>
      </c>
      <c r="E4095">
        <v>2.65</v>
      </c>
      <c r="F4095" s="3">
        <v>0.49939999999999996</v>
      </c>
      <c r="G4095">
        <v>2.4079999999999999</v>
      </c>
      <c r="H4095">
        <v>5.7</v>
      </c>
    </row>
    <row r="4096" spans="1:8" x14ac:dyDescent="0.25">
      <c r="A4096" t="s">
        <v>4102</v>
      </c>
      <c r="B4096">
        <v>5012</v>
      </c>
      <c r="C4096">
        <v>7896098900819</v>
      </c>
      <c r="D4096">
        <v>5.9</v>
      </c>
      <c r="E4096">
        <v>2.65</v>
      </c>
      <c r="F4096" s="3">
        <v>0.49979999999999997</v>
      </c>
      <c r="G4096">
        <v>2.4051999999999998</v>
      </c>
      <c r="H4096">
        <v>4.133</v>
      </c>
    </row>
    <row r="4097" spans="1:8" x14ac:dyDescent="0.25">
      <c r="A4097" t="s">
        <v>4103</v>
      </c>
      <c r="B4097">
        <v>59992</v>
      </c>
      <c r="C4097">
        <v>7896098905890</v>
      </c>
      <c r="D4097">
        <v>5.9</v>
      </c>
      <c r="E4097">
        <v>2.93</v>
      </c>
      <c r="F4097" s="3">
        <v>0.45829999999999999</v>
      </c>
      <c r="G4097">
        <v>2.6505000000000001</v>
      </c>
      <c r="H4097">
        <v>1.1000000000000001</v>
      </c>
    </row>
    <row r="4098" spans="1:8" x14ac:dyDescent="0.25">
      <c r="A4098" t="s">
        <v>4104</v>
      </c>
      <c r="B4098">
        <v>5013</v>
      </c>
      <c r="C4098">
        <v>7896098900826</v>
      </c>
      <c r="D4098">
        <v>5.9</v>
      </c>
      <c r="E4098">
        <v>2.74</v>
      </c>
      <c r="F4098" s="3">
        <v>0.48670000000000002</v>
      </c>
      <c r="G4098">
        <v>2.4826000000000001</v>
      </c>
      <c r="H4098">
        <v>1.0669999999999999</v>
      </c>
    </row>
    <row r="4099" spans="1:8" x14ac:dyDescent="0.25">
      <c r="A4099" t="s">
        <v>4105</v>
      </c>
      <c r="B4099">
        <v>69382</v>
      </c>
      <c r="C4099">
        <v>7891035003202</v>
      </c>
      <c r="D4099">
        <v>9.9</v>
      </c>
      <c r="E4099">
        <v>6.68</v>
      </c>
      <c r="F4099" s="3">
        <v>0.29530000000000001</v>
      </c>
      <c r="G4099">
        <v>6.0606999999999998</v>
      </c>
      <c r="H4099">
        <v>0.3</v>
      </c>
    </row>
    <row r="4100" spans="1:8" x14ac:dyDescent="0.25">
      <c r="A4100" t="s">
        <v>4106</v>
      </c>
      <c r="B4100">
        <v>68503</v>
      </c>
      <c r="C4100">
        <v>7509546695778</v>
      </c>
      <c r="D4100">
        <v>9.5</v>
      </c>
      <c r="E4100">
        <v>7.03</v>
      </c>
      <c r="F4100" s="3">
        <v>0.23629999999999998</v>
      </c>
      <c r="G4100">
        <v>6.3765999999999998</v>
      </c>
      <c r="H4100">
        <v>2.2330000000000001</v>
      </c>
    </row>
    <row r="4101" spans="1:8" x14ac:dyDescent="0.25">
      <c r="A4101" t="s">
        <v>4107</v>
      </c>
      <c r="B4101">
        <v>20109</v>
      </c>
      <c r="C4101">
        <v>7891024127629</v>
      </c>
      <c r="D4101">
        <v>7.99</v>
      </c>
      <c r="E4101">
        <v>8.2799999999999994</v>
      </c>
      <c r="F4101" s="3">
        <v>-3.4099999999999998E-2</v>
      </c>
      <c r="G4101">
        <v>7.5236999999999998</v>
      </c>
      <c r="H4101">
        <v>8.8000000000000007</v>
      </c>
    </row>
    <row r="4102" spans="1:8" x14ac:dyDescent="0.25">
      <c r="A4102" t="s">
        <v>4108</v>
      </c>
      <c r="B4102">
        <v>20111</v>
      </c>
      <c r="C4102">
        <v>7891024128312</v>
      </c>
      <c r="D4102">
        <v>7.99</v>
      </c>
      <c r="E4102">
        <v>8.3000000000000007</v>
      </c>
      <c r="F4102" s="3">
        <v>-3.5099999999999999E-2</v>
      </c>
      <c r="G4102">
        <v>7.5316999999999998</v>
      </c>
      <c r="H4102">
        <v>20.399999999999999</v>
      </c>
    </row>
    <row r="4103" spans="1:8" x14ac:dyDescent="0.25">
      <c r="A4103" t="s">
        <v>4109</v>
      </c>
      <c r="B4103">
        <v>42527</v>
      </c>
      <c r="C4103">
        <v>7891024035818</v>
      </c>
      <c r="D4103">
        <v>7.99</v>
      </c>
      <c r="E4103">
        <v>8.3800000000000008</v>
      </c>
      <c r="F4103" s="3">
        <v>-4.9500000000000002E-2</v>
      </c>
      <c r="G4103">
        <v>7.6459999999999999</v>
      </c>
      <c r="H4103">
        <v>15.7</v>
      </c>
    </row>
    <row r="4104" spans="1:8" x14ac:dyDescent="0.25">
      <c r="A4104" t="s">
        <v>4110</v>
      </c>
      <c r="B4104">
        <v>20084</v>
      </c>
      <c r="C4104">
        <v>7891024120712</v>
      </c>
      <c r="D4104">
        <v>16.899999999999999</v>
      </c>
      <c r="E4104">
        <v>13.02</v>
      </c>
      <c r="F4104" s="3">
        <v>0.20300000000000001</v>
      </c>
      <c r="G4104">
        <v>11.9064</v>
      </c>
      <c r="H4104">
        <v>2.867</v>
      </c>
    </row>
    <row r="4105" spans="1:8" x14ac:dyDescent="0.25">
      <c r="A4105" t="s">
        <v>4111</v>
      </c>
      <c r="B4105">
        <v>20086</v>
      </c>
      <c r="C4105">
        <v>7891024120767</v>
      </c>
      <c r="D4105">
        <v>16.899999999999999</v>
      </c>
      <c r="E4105">
        <v>13.11</v>
      </c>
      <c r="F4105" s="3">
        <v>0.2</v>
      </c>
      <c r="G4105">
        <v>11.956099999999999</v>
      </c>
      <c r="H4105">
        <v>2.7330000000000001</v>
      </c>
    </row>
    <row r="4106" spans="1:8" x14ac:dyDescent="0.25">
      <c r="A4106" t="s">
        <v>4112</v>
      </c>
      <c r="B4106">
        <v>65389</v>
      </c>
      <c r="C4106">
        <v>7509546690629</v>
      </c>
      <c r="D4106">
        <v>11.9</v>
      </c>
      <c r="E4106">
        <v>8.61</v>
      </c>
      <c r="F4106" s="3">
        <v>0.2455</v>
      </c>
      <c r="G4106">
        <v>7.8772000000000002</v>
      </c>
      <c r="H4106">
        <v>2.9</v>
      </c>
    </row>
    <row r="4107" spans="1:8" x14ac:dyDescent="0.25">
      <c r="A4107" t="s">
        <v>4113</v>
      </c>
      <c r="B4107">
        <v>20091</v>
      </c>
      <c r="C4107">
        <v>7891024127605</v>
      </c>
      <c r="D4107">
        <v>4.99</v>
      </c>
      <c r="E4107">
        <v>4.88</v>
      </c>
      <c r="F4107" s="3">
        <v>2.07E-2</v>
      </c>
      <c r="G4107">
        <v>4.4250999999999996</v>
      </c>
      <c r="H4107">
        <v>1.5669999999999999</v>
      </c>
    </row>
    <row r="4108" spans="1:8" x14ac:dyDescent="0.25">
      <c r="A4108" t="s">
        <v>4114</v>
      </c>
      <c r="B4108">
        <v>20094</v>
      </c>
      <c r="C4108">
        <v>7891024127704</v>
      </c>
      <c r="D4108">
        <v>6.9</v>
      </c>
      <c r="E4108">
        <v>4.79</v>
      </c>
      <c r="F4108" s="3">
        <v>0.27289999999999998</v>
      </c>
      <c r="G4108">
        <v>4.3785999999999996</v>
      </c>
      <c r="H4108">
        <v>1.833</v>
      </c>
    </row>
    <row r="4109" spans="1:8" x14ac:dyDescent="0.25">
      <c r="A4109" t="s">
        <v>4115</v>
      </c>
      <c r="B4109">
        <v>20095</v>
      </c>
      <c r="C4109">
        <v>7891024128305</v>
      </c>
      <c r="D4109">
        <v>6.9</v>
      </c>
      <c r="E4109">
        <v>4.74</v>
      </c>
      <c r="F4109" s="3">
        <v>0.28139999999999998</v>
      </c>
      <c r="G4109">
        <v>4.3202999999999996</v>
      </c>
      <c r="H4109">
        <v>4.7329999999999997</v>
      </c>
    </row>
    <row r="4110" spans="1:8" x14ac:dyDescent="0.25">
      <c r="A4110" t="s">
        <v>4116</v>
      </c>
      <c r="B4110">
        <v>69365</v>
      </c>
      <c r="C4110">
        <v>7891024041444</v>
      </c>
      <c r="D4110">
        <v>13.5</v>
      </c>
      <c r="E4110">
        <v>10.58</v>
      </c>
      <c r="F4110" s="3">
        <v>0.1966</v>
      </c>
      <c r="G4110">
        <v>9.5975000000000001</v>
      </c>
      <c r="H4110">
        <v>0.83299999999999996</v>
      </c>
    </row>
    <row r="4111" spans="1:8" x14ac:dyDescent="0.25">
      <c r="A4111" t="s">
        <v>4117</v>
      </c>
      <c r="B4111">
        <v>53262</v>
      </c>
      <c r="C4111">
        <v>7891035990663</v>
      </c>
      <c r="D4111">
        <v>15.9</v>
      </c>
      <c r="E4111">
        <v>10.92</v>
      </c>
      <c r="F4111" s="3">
        <v>0.28470000000000001</v>
      </c>
      <c r="G4111">
        <v>9.9021000000000008</v>
      </c>
      <c r="H4111">
        <v>0.16700000000000001</v>
      </c>
    </row>
    <row r="4112" spans="1:8" x14ac:dyDescent="0.25">
      <c r="A4112" t="s">
        <v>4118</v>
      </c>
      <c r="B4112">
        <v>53263</v>
      </c>
      <c r="C4112">
        <v>7891035990656</v>
      </c>
      <c r="D4112">
        <v>15.9</v>
      </c>
      <c r="E4112">
        <v>9.93</v>
      </c>
      <c r="F4112" s="3">
        <v>0.35060000000000002</v>
      </c>
      <c r="G4112">
        <v>8.8552999999999997</v>
      </c>
      <c r="H4112">
        <v>0.83299999999999996</v>
      </c>
    </row>
    <row r="4113" spans="1:8" x14ac:dyDescent="0.25">
      <c r="A4113" t="s">
        <v>4119</v>
      </c>
      <c r="B4113">
        <v>53265</v>
      </c>
      <c r="C4113">
        <v>7891035990632</v>
      </c>
      <c r="D4113">
        <v>15.9</v>
      </c>
      <c r="E4113">
        <v>9.94</v>
      </c>
      <c r="F4113" s="3">
        <v>0.34360000000000002</v>
      </c>
      <c r="G4113">
        <v>8.9651999999999994</v>
      </c>
      <c r="H4113">
        <v>0.23300000000000001</v>
      </c>
    </row>
    <row r="4114" spans="1:8" x14ac:dyDescent="0.25">
      <c r="A4114" t="s">
        <v>4120</v>
      </c>
      <c r="B4114">
        <v>69381</v>
      </c>
      <c r="C4114">
        <v>7891035003233</v>
      </c>
      <c r="D4114">
        <v>9.9</v>
      </c>
      <c r="E4114">
        <v>6.68</v>
      </c>
      <c r="F4114" s="3">
        <v>0.29530000000000001</v>
      </c>
      <c r="G4114">
        <v>6.0606999999999998</v>
      </c>
      <c r="H4114">
        <v>0.2</v>
      </c>
    </row>
    <row r="4115" spans="1:8" x14ac:dyDescent="0.25">
      <c r="A4115" t="s">
        <v>4121</v>
      </c>
      <c r="B4115">
        <v>22563</v>
      </c>
      <c r="C4115">
        <v>7891035215339</v>
      </c>
      <c r="D4115">
        <v>9.9</v>
      </c>
      <c r="E4115">
        <v>6.67</v>
      </c>
      <c r="F4115" s="3">
        <v>0.29760000000000003</v>
      </c>
      <c r="G4115">
        <v>6.0377000000000001</v>
      </c>
      <c r="H4115">
        <v>0.9</v>
      </c>
    </row>
    <row r="4116" spans="1:8" x14ac:dyDescent="0.25">
      <c r="A4116" t="s">
        <v>4122</v>
      </c>
      <c r="B4116">
        <v>57609</v>
      </c>
      <c r="C4116">
        <v>7891035000256</v>
      </c>
      <c r="D4116">
        <v>9.9</v>
      </c>
      <c r="E4116">
        <v>7.01</v>
      </c>
      <c r="F4116" s="3">
        <v>0.28039999999999998</v>
      </c>
      <c r="G4116">
        <v>6.2077999999999998</v>
      </c>
      <c r="H4116">
        <v>3.2</v>
      </c>
    </row>
    <row r="4117" spans="1:8" x14ac:dyDescent="0.25">
      <c r="A4117" t="s">
        <v>4123</v>
      </c>
      <c r="B4117">
        <v>22564</v>
      </c>
      <c r="C4117">
        <v>7891035249013</v>
      </c>
      <c r="D4117">
        <v>10.9</v>
      </c>
      <c r="E4117">
        <v>6.58</v>
      </c>
      <c r="F4117" s="3">
        <v>0.35969999999999996</v>
      </c>
      <c r="G4117">
        <v>5.9706000000000001</v>
      </c>
      <c r="H4117">
        <v>0.16700000000000001</v>
      </c>
    </row>
    <row r="4118" spans="1:8" x14ac:dyDescent="0.25">
      <c r="A4118" t="s">
        <v>4124</v>
      </c>
      <c r="B4118">
        <v>63767</v>
      </c>
      <c r="C4118">
        <v>7891035002595</v>
      </c>
      <c r="D4118">
        <v>9.9</v>
      </c>
      <c r="E4118">
        <v>6.65</v>
      </c>
      <c r="F4118" s="3">
        <v>0.29760000000000003</v>
      </c>
      <c r="G4118">
        <v>6.0382999999999996</v>
      </c>
      <c r="H4118">
        <v>0.2</v>
      </c>
    </row>
    <row r="4119" spans="1:8" x14ac:dyDescent="0.25">
      <c r="A4119" t="s">
        <v>4125</v>
      </c>
      <c r="B4119">
        <v>57610</v>
      </c>
      <c r="C4119">
        <v>7891035000294</v>
      </c>
      <c r="D4119">
        <v>9.9</v>
      </c>
      <c r="E4119">
        <v>7.66</v>
      </c>
      <c r="F4119" s="3">
        <v>0.20579999999999998</v>
      </c>
      <c r="G4119">
        <v>6.9473000000000003</v>
      </c>
      <c r="H4119">
        <v>0.36699999999999999</v>
      </c>
    </row>
    <row r="4120" spans="1:8" x14ac:dyDescent="0.25">
      <c r="A4120" t="s">
        <v>4126</v>
      </c>
      <c r="B4120">
        <v>53266</v>
      </c>
      <c r="C4120">
        <v>7891035990625</v>
      </c>
      <c r="D4120">
        <v>27.9</v>
      </c>
      <c r="E4120">
        <v>18.22</v>
      </c>
      <c r="F4120" s="3">
        <v>0.31469999999999998</v>
      </c>
      <c r="G4120">
        <v>16.5381</v>
      </c>
      <c r="H4120">
        <v>0.13300000000000001</v>
      </c>
    </row>
    <row r="4121" spans="1:8" x14ac:dyDescent="0.25">
      <c r="A4121" t="s">
        <v>4127</v>
      </c>
      <c r="B4121">
        <v>53267</v>
      </c>
      <c r="C4121">
        <v>7891035990618</v>
      </c>
      <c r="D4121">
        <v>27.9</v>
      </c>
      <c r="E4121">
        <v>17.41</v>
      </c>
      <c r="F4121" s="3">
        <v>0.35070000000000001</v>
      </c>
      <c r="G4121">
        <v>15.5351</v>
      </c>
      <c r="H4121">
        <v>1.2669999999999999</v>
      </c>
    </row>
    <row r="4122" spans="1:8" x14ac:dyDescent="0.25">
      <c r="A4122" t="s">
        <v>4128</v>
      </c>
      <c r="B4122">
        <v>53269</v>
      </c>
      <c r="C4122">
        <v>7891035990595</v>
      </c>
      <c r="D4122">
        <v>27.9</v>
      </c>
      <c r="E4122">
        <v>19.36</v>
      </c>
      <c r="F4122" s="3">
        <v>0.27810000000000001</v>
      </c>
      <c r="G4122">
        <v>17.561299999999999</v>
      </c>
      <c r="H4122">
        <v>0.63300000000000001</v>
      </c>
    </row>
    <row r="4123" spans="1:8" x14ac:dyDescent="0.25">
      <c r="A4123" t="s">
        <v>4129</v>
      </c>
      <c r="B4123">
        <v>34569</v>
      </c>
      <c r="C4123">
        <v>7891035228292</v>
      </c>
      <c r="D4123">
        <v>16.899999999999999</v>
      </c>
      <c r="E4123">
        <v>12.15</v>
      </c>
      <c r="F4123" s="3">
        <v>0.27750000000000002</v>
      </c>
      <c r="G4123">
        <v>10.646800000000001</v>
      </c>
      <c r="H4123">
        <v>17.966999999999999</v>
      </c>
    </row>
    <row r="4124" spans="1:8" x14ac:dyDescent="0.25">
      <c r="A4124" t="s">
        <v>4130</v>
      </c>
      <c r="B4124">
        <v>34568</v>
      </c>
      <c r="C4124">
        <v>7891035228285</v>
      </c>
      <c r="D4124">
        <v>16.899999999999999</v>
      </c>
      <c r="E4124">
        <v>11.92</v>
      </c>
      <c r="F4124" s="3">
        <v>0.2828</v>
      </c>
      <c r="G4124">
        <v>10.556900000000001</v>
      </c>
      <c r="H4124">
        <v>20.533000000000001</v>
      </c>
    </row>
    <row r="4125" spans="1:8" x14ac:dyDescent="0.25">
      <c r="A4125" t="s">
        <v>4131</v>
      </c>
      <c r="B4125">
        <v>63768</v>
      </c>
      <c r="C4125">
        <v>7891035002618</v>
      </c>
      <c r="D4125">
        <v>16.899999999999999</v>
      </c>
      <c r="E4125">
        <v>12.03</v>
      </c>
      <c r="F4125" s="3">
        <v>0.2762</v>
      </c>
      <c r="G4125">
        <v>10.668699999999999</v>
      </c>
      <c r="H4125">
        <v>18.567</v>
      </c>
    </row>
    <row r="4126" spans="1:8" x14ac:dyDescent="0.25">
      <c r="A4126" t="s">
        <v>4132</v>
      </c>
      <c r="B4126">
        <v>69386</v>
      </c>
      <c r="C4126">
        <v>7891035003219</v>
      </c>
      <c r="D4126">
        <v>16.899999999999999</v>
      </c>
      <c r="E4126">
        <v>11.76</v>
      </c>
      <c r="F4126" s="3">
        <v>0.27579999999999999</v>
      </c>
      <c r="G4126">
        <v>10.675000000000001</v>
      </c>
      <c r="H4126">
        <v>0.3</v>
      </c>
    </row>
    <row r="4127" spans="1:8" x14ac:dyDescent="0.25">
      <c r="A4127" t="s">
        <v>4133</v>
      </c>
      <c r="B4127">
        <v>69384</v>
      </c>
      <c r="C4127">
        <v>7891035003240</v>
      </c>
      <c r="D4127">
        <v>16.899999999999999</v>
      </c>
      <c r="E4127">
        <v>11.76</v>
      </c>
      <c r="F4127" s="3">
        <v>0.27579999999999999</v>
      </c>
      <c r="G4127">
        <v>10.675000000000001</v>
      </c>
      <c r="H4127">
        <v>0.2</v>
      </c>
    </row>
    <row r="4128" spans="1:8" x14ac:dyDescent="0.25">
      <c r="A4128" t="s">
        <v>4134</v>
      </c>
      <c r="B4128">
        <v>53259</v>
      </c>
      <c r="C4128">
        <v>7891035990533</v>
      </c>
      <c r="D4128">
        <v>8.9</v>
      </c>
      <c r="E4128">
        <v>6.12</v>
      </c>
      <c r="F4128" s="3">
        <v>0.28350000000000003</v>
      </c>
      <c r="G4128">
        <v>5.5533000000000001</v>
      </c>
      <c r="H4128">
        <v>0.83299999999999996</v>
      </c>
    </row>
    <row r="4129" spans="1:8" x14ac:dyDescent="0.25">
      <c r="A4129" t="s">
        <v>4135</v>
      </c>
      <c r="B4129">
        <v>20614</v>
      </c>
      <c r="C4129">
        <v>7891035249228</v>
      </c>
      <c r="D4129">
        <v>6.9</v>
      </c>
      <c r="E4129">
        <v>4.5</v>
      </c>
      <c r="F4129" s="3">
        <v>0.31509999999999999</v>
      </c>
      <c r="G4129">
        <v>4.0875000000000004</v>
      </c>
      <c r="H4129">
        <v>2.8</v>
      </c>
    </row>
    <row r="4130" spans="1:8" x14ac:dyDescent="0.25">
      <c r="A4130" t="s">
        <v>4136</v>
      </c>
      <c r="B4130">
        <v>57148</v>
      </c>
      <c r="C4130">
        <v>7891035000249</v>
      </c>
      <c r="D4130">
        <v>6.9</v>
      </c>
      <c r="E4130">
        <v>4.5</v>
      </c>
      <c r="F4130" s="3">
        <v>0.31540000000000001</v>
      </c>
      <c r="G4130">
        <v>4.0856000000000003</v>
      </c>
      <c r="H4130">
        <v>2.2669999999999999</v>
      </c>
    </row>
    <row r="4131" spans="1:8" x14ac:dyDescent="0.25">
      <c r="A4131" t="s">
        <v>4137</v>
      </c>
      <c r="B4131">
        <v>20617</v>
      </c>
      <c r="C4131">
        <v>7891035249433</v>
      </c>
      <c r="D4131">
        <v>6.9</v>
      </c>
      <c r="E4131">
        <v>4.5</v>
      </c>
      <c r="F4131" s="3">
        <v>0.31540000000000001</v>
      </c>
      <c r="G4131">
        <v>4.0853000000000002</v>
      </c>
      <c r="H4131">
        <v>3.4670000000000001</v>
      </c>
    </row>
    <row r="4132" spans="1:8" x14ac:dyDescent="0.25">
      <c r="A4132" t="s">
        <v>4138</v>
      </c>
      <c r="B4132">
        <v>63766</v>
      </c>
      <c r="C4132">
        <v>7891035002588</v>
      </c>
      <c r="D4132">
        <v>6.9</v>
      </c>
      <c r="E4132">
        <v>4.51</v>
      </c>
      <c r="F4132" s="3">
        <v>0.31469999999999998</v>
      </c>
      <c r="G4132">
        <v>4.0903999999999998</v>
      </c>
      <c r="H4132">
        <v>1.8</v>
      </c>
    </row>
    <row r="4133" spans="1:8" x14ac:dyDescent="0.25">
      <c r="A4133" t="s">
        <v>4139</v>
      </c>
      <c r="B4133">
        <v>57149</v>
      </c>
      <c r="C4133">
        <v>7891035000270</v>
      </c>
      <c r="D4133">
        <v>6.9</v>
      </c>
      <c r="E4133">
        <v>4.5</v>
      </c>
      <c r="F4133" s="3">
        <v>0.31579999999999997</v>
      </c>
      <c r="G4133">
        <v>4.0826000000000002</v>
      </c>
      <c r="H4133">
        <v>0.16700000000000001</v>
      </c>
    </row>
    <row r="4134" spans="1:8" x14ac:dyDescent="0.25">
      <c r="A4134" t="s">
        <v>4140</v>
      </c>
      <c r="B4134">
        <v>55418</v>
      </c>
      <c r="C4134">
        <v>7896098904091</v>
      </c>
      <c r="D4134">
        <v>6.9</v>
      </c>
      <c r="E4134">
        <v>3.75</v>
      </c>
      <c r="F4134" s="3">
        <v>0.41479999999999995</v>
      </c>
      <c r="G4134">
        <v>3.3997999999999999</v>
      </c>
      <c r="H4134">
        <v>0.96699999999999997</v>
      </c>
    </row>
    <row r="4135" spans="1:8" x14ac:dyDescent="0.25">
      <c r="A4135" t="s">
        <v>4141</v>
      </c>
      <c r="B4135">
        <v>59540</v>
      </c>
      <c r="C4135">
        <v>7896083801886</v>
      </c>
      <c r="D4135">
        <v>7.9</v>
      </c>
      <c r="E4135">
        <v>4.0199999999999996</v>
      </c>
      <c r="F4135" s="3">
        <v>0.44479999999999997</v>
      </c>
      <c r="G4135">
        <v>3.6553</v>
      </c>
      <c r="H4135">
        <v>1.7669999999999999</v>
      </c>
    </row>
    <row r="4136" spans="1:8" x14ac:dyDescent="0.25">
      <c r="A4136" t="s">
        <v>4142</v>
      </c>
      <c r="B4136">
        <v>59543</v>
      </c>
      <c r="C4136">
        <v>7896083801831</v>
      </c>
      <c r="D4136">
        <v>11.9</v>
      </c>
      <c r="E4136">
        <v>7.07</v>
      </c>
      <c r="F4136" s="3">
        <v>0.35659999999999997</v>
      </c>
      <c r="G4136">
        <v>6.5551000000000004</v>
      </c>
      <c r="H4136">
        <v>6.6</v>
      </c>
    </row>
    <row r="4137" spans="1:8" x14ac:dyDescent="0.25">
      <c r="A4137" t="s">
        <v>4143</v>
      </c>
      <c r="B4137">
        <v>57041</v>
      </c>
      <c r="C4137">
        <v>7891150071759</v>
      </c>
      <c r="D4137">
        <v>27.9</v>
      </c>
      <c r="E4137">
        <v>18.47</v>
      </c>
      <c r="F4137" s="3">
        <v>0.24590000000000001</v>
      </c>
      <c r="G4137">
        <v>13.4358</v>
      </c>
      <c r="H4137">
        <v>0.1</v>
      </c>
    </row>
    <row r="4138" spans="1:8" x14ac:dyDescent="0.25">
      <c r="A4138" t="s">
        <v>4144</v>
      </c>
      <c r="B4138">
        <v>57055</v>
      </c>
      <c r="C4138">
        <v>7891150073494</v>
      </c>
      <c r="D4138">
        <v>18.149999999999999</v>
      </c>
      <c r="E4138">
        <v>12.01</v>
      </c>
      <c r="F4138" s="3">
        <v>0.24629999999999999</v>
      </c>
      <c r="G4138">
        <v>8.7340999999999998</v>
      </c>
      <c r="H4138">
        <v>7.0330000000000004</v>
      </c>
    </row>
    <row r="4139" spans="1:8" x14ac:dyDescent="0.25">
      <c r="A4139" t="s">
        <v>4145</v>
      </c>
      <c r="B4139">
        <v>57040</v>
      </c>
      <c r="C4139">
        <v>7891150071735</v>
      </c>
      <c r="D4139">
        <v>16.899999999999999</v>
      </c>
      <c r="E4139">
        <v>12.95</v>
      </c>
      <c r="F4139" s="3">
        <v>0.16920000000000002</v>
      </c>
      <c r="G4139">
        <v>9.4356000000000009</v>
      </c>
      <c r="H4139">
        <v>2.133</v>
      </c>
    </row>
    <row r="4140" spans="1:8" x14ac:dyDescent="0.25">
      <c r="A4140" t="s">
        <v>4146</v>
      </c>
      <c r="B4140">
        <v>58803</v>
      </c>
      <c r="C4140">
        <v>7896083801787</v>
      </c>
      <c r="D4140">
        <v>10.9</v>
      </c>
      <c r="E4140">
        <v>5.08</v>
      </c>
      <c r="F4140" s="3">
        <v>0.4788</v>
      </c>
      <c r="G4140">
        <v>4.6726000000000001</v>
      </c>
      <c r="H4140">
        <v>4.5</v>
      </c>
    </row>
    <row r="4141" spans="1:8" x14ac:dyDescent="0.25">
      <c r="A4141" t="s">
        <v>4147</v>
      </c>
      <c r="B4141">
        <v>5840</v>
      </c>
      <c r="C4141">
        <v>7896098909935</v>
      </c>
      <c r="D4141">
        <v>11.9</v>
      </c>
      <c r="E4141">
        <v>6.12</v>
      </c>
      <c r="F4141" s="3">
        <v>0.44400000000000001</v>
      </c>
      <c r="G4141">
        <v>5.5156999999999998</v>
      </c>
      <c r="H4141">
        <v>3.7669999999999999</v>
      </c>
    </row>
    <row r="4142" spans="1:8" x14ac:dyDescent="0.25">
      <c r="A4142" t="s">
        <v>4148</v>
      </c>
      <c r="B4142">
        <v>67043</v>
      </c>
      <c r="C4142">
        <v>7509546693378</v>
      </c>
      <c r="D4142">
        <v>13.5</v>
      </c>
      <c r="E4142">
        <v>10.58</v>
      </c>
      <c r="F4142" s="3">
        <v>0.1966</v>
      </c>
      <c r="G4142">
        <v>9.5973000000000006</v>
      </c>
      <c r="H4142">
        <v>1.3</v>
      </c>
    </row>
    <row r="4143" spans="1:8" x14ac:dyDescent="0.25">
      <c r="A4143" t="s">
        <v>4149</v>
      </c>
      <c r="B4143">
        <v>19509</v>
      </c>
      <c r="C4143">
        <v>7891035200007</v>
      </c>
      <c r="D4143">
        <v>26.9</v>
      </c>
      <c r="E4143">
        <v>19.77</v>
      </c>
      <c r="F4143" s="3">
        <v>0.24170000000000003</v>
      </c>
      <c r="G4143">
        <v>17.9099</v>
      </c>
      <c r="H4143">
        <v>1.333</v>
      </c>
    </row>
    <row r="4144" spans="1:8" x14ac:dyDescent="0.25">
      <c r="A4144" t="s">
        <v>4150</v>
      </c>
      <c r="B4144">
        <v>55622</v>
      </c>
      <c r="C4144">
        <v>7891022855661</v>
      </c>
      <c r="D4144">
        <v>22.9</v>
      </c>
      <c r="E4144">
        <v>15.17</v>
      </c>
      <c r="F4144" s="3">
        <v>0.30609999999999998</v>
      </c>
      <c r="G4144">
        <v>13.7723</v>
      </c>
      <c r="H4144">
        <v>0.76700000000000002</v>
      </c>
    </row>
    <row r="4145" spans="1:8" x14ac:dyDescent="0.25">
      <c r="A4145" t="s">
        <v>4151</v>
      </c>
      <c r="B4145">
        <v>57081</v>
      </c>
      <c r="C4145">
        <v>7891150071773</v>
      </c>
      <c r="D4145">
        <v>16.899999999999999</v>
      </c>
      <c r="E4145">
        <v>12.21</v>
      </c>
      <c r="F4145" s="3">
        <v>0.25629999999999997</v>
      </c>
      <c r="G4145">
        <v>11.005599999999999</v>
      </c>
      <c r="H4145">
        <v>0.16700000000000001</v>
      </c>
    </row>
    <row r="4146" spans="1:8" x14ac:dyDescent="0.25">
      <c r="A4146" t="s">
        <v>4152</v>
      </c>
      <c r="B4146">
        <v>5853</v>
      </c>
      <c r="C4146">
        <v>7891022853315</v>
      </c>
      <c r="D4146">
        <v>12.9</v>
      </c>
      <c r="E4146">
        <v>7.7</v>
      </c>
      <c r="F4146" s="3">
        <v>0.29359999999999997</v>
      </c>
      <c r="G4146">
        <v>5.5968999999999998</v>
      </c>
      <c r="H4146">
        <v>0.36699999999999999</v>
      </c>
    </row>
    <row r="4147" spans="1:8" x14ac:dyDescent="0.25">
      <c r="A4147" t="s">
        <v>4153</v>
      </c>
      <c r="B4147">
        <v>34554</v>
      </c>
      <c r="C4147">
        <v>7891035215193</v>
      </c>
      <c r="D4147">
        <v>22.9</v>
      </c>
      <c r="E4147">
        <v>15.2</v>
      </c>
      <c r="F4147" s="3">
        <v>0.30579999999999996</v>
      </c>
      <c r="G4147">
        <v>13.7789</v>
      </c>
      <c r="H4147">
        <v>0.46700000000000003</v>
      </c>
    </row>
    <row r="4148" spans="1:8" x14ac:dyDescent="0.25">
      <c r="A4148" t="s">
        <v>4154</v>
      </c>
      <c r="B4148">
        <v>64613</v>
      </c>
      <c r="C4148">
        <v>7509546689722</v>
      </c>
      <c r="D4148">
        <v>26.9</v>
      </c>
      <c r="E4148">
        <v>18.59</v>
      </c>
      <c r="F4148" s="3">
        <v>0.2802</v>
      </c>
      <c r="G4148">
        <v>16.875</v>
      </c>
      <c r="H4148">
        <v>0.3</v>
      </c>
    </row>
    <row r="4149" spans="1:8" x14ac:dyDescent="0.25">
      <c r="A4149" t="s">
        <v>4155</v>
      </c>
      <c r="B4149">
        <v>68091</v>
      </c>
      <c r="C4149">
        <v>7509546695747</v>
      </c>
      <c r="D4149">
        <v>24.9</v>
      </c>
      <c r="E4149">
        <v>15.16</v>
      </c>
      <c r="F4149" s="3">
        <v>0.37380000000000002</v>
      </c>
      <c r="G4149">
        <v>13.289</v>
      </c>
      <c r="H4149">
        <v>0.93300000000000005</v>
      </c>
    </row>
    <row r="4150" spans="1:8" x14ac:dyDescent="0.25">
      <c r="A4150" t="s">
        <v>4156</v>
      </c>
      <c r="B4150">
        <v>20082</v>
      </c>
      <c r="C4150">
        <v>7891024120903</v>
      </c>
      <c r="D4150">
        <v>10.9</v>
      </c>
      <c r="E4150">
        <v>7.78</v>
      </c>
      <c r="F4150" s="3">
        <v>0.25980000000000003</v>
      </c>
      <c r="G4150">
        <v>7.0594000000000001</v>
      </c>
      <c r="H4150">
        <v>2.456</v>
      </c>
    </row>
    <row r="4151" spans="1:8" x14ac:dyDescent="0.25">
      <c r="A4151" t="s">
        <v>4157</v>
      </c>
      <c r="B4151">
        <v>20080</v>
      </c>
      <c r="C4151">
        <v>7891024120705</v>
      </c>
      <c r="D4151">
        <v>10.9</v>
      </c>
      <c r="E4151">
        <v>7.74</v>
      </c>
      <c r="F4151" s="3">
        <v>0.26119999999999999</v>
      </c>
      <c r="G4151">
        <v>7.0448000000000004</v>
      </c>
      <c r="H4151">
        <v>4.6669999999999998</v>
      </c>
    </row>
    <row r="4152" spans="1:8" x14ac:dyDescent="0.25">
      <c r="A4152" t="s">
        <v>4158</v>
      </c>
      <c r="B4152">
        <v>20081</v>
      </c>
      <c r="C4152">
        <v>7891024120804</v>
      </c>
      <c r="D4152">
        <v>10.9</v>
      </c>
      <c r="E4152">
        <v>7.65</v>
      </c>
      <c r="F4152" s="3">
        <v>0.26640000000000003</v>
      </c>
      <c r="G4152">
        <v>6.9881000000000002</v>
      </c>
      <c r="H4152">
        <v>1.0669999999999999</v>
      </c>
    </row>
    <row r="4153" spans="1:8" x14ac:dyDescent="0.25">
      <c r="A4153" t="s">
        <v>4159</v>
      </c>
      <c r="B4153">
        <v>44761</v>
      </c>
      <c r="C4153">
        <v>7891035285219</v>
      </c>
      <c r="D4153">
        <v>18.3</v>
      </c>
      <c r="E4153">
        <v>12.69</v>
      </c>
      <c r="F4153" s="3">
        <v>0.27739999999999998</v>
      </c>
      <c r="G4153">
        <v>11.530099999999999</v>
      </c>
      <c r="H4153">
        <v>2.8</v>
      </c>
    </row>
    <row r="4154" spans="1:8" x14ac:dyDescent="0.25">
      <c r="A4154" t="s">
        <v>4160</v>
      </c>
      <c r="B4154">
        <v>34543</v>
      </c>
      <c r="C4154">
        <v>7891035215322</v>
      </c>
      <c r="D4154">
        <v>22.9</v>
      </c>
      <c r="E4154">
        <v>15.21</v>
      </c>
      <c r="F4154" s="3">
        <v>0.30459999999999998</v>
      </c>
      <c r="G4154">
        <v>13.8063</v>
      </c>
      <c r="H4154">
        <v>1.5</v>
      </c>
    </row>
    <row r="4155" spans="1:8" x14ac:dyDescent="0.25">
      <c r="A4155" t="s">
        <v>4161</v>
      </c>
      <c r="B4155">
        <v>44763</v>
      </c>
      <c r="C4155">
        <v>7891035285202</v>
      </c>
      <c r="D4155">
        <v>18.3</v>
      </c>
      <c r="E4155">
        <v>12.65</v>
      </c>
      <c r="F4155" s="3">
        <v>0.28050000000000003</v>
      </c>
      <c r="G4155">
        <v>11.4733</v>
      </c>
      <c r="H4155">
        <v>1.867</v>
      </c>
    </row>
    <row r="4156" spans="1:8" x14ac:dyDescent="0.25">
      <c r="A4156" t="s">
        <v>4162</v>
      </c>
      <c r="B4156">
        <v>34771</v>
      </c>
      <c r="C4156">
        <v>7891035250019</v>
      </c>
      <c r="D4156">
        <v>22.9</v>
      </c>
      <c r="E4156">
        <v>15.21</v>
      </c>
      <c r="F4156" s="3">
        <v>0.30459999999999998</v>
      </c>
      <c r="G4156">
        <v>13.8066</v>
      </c>
      <c r="H4156">
        <v>1.5329999999999999</v>
      </c>
    </row>
    <row r="4157" spans="1:8" x14ac:dyDescent="0.25">
      <c r="A4157" t="s">
        <v>4163</v>
      </c>
      <c r="B4157">
        <v>19637</v>
      </c>
      <c r="C4157">
        <v>7891035245008</v>
      </c>
      <c r="D4157">
        <v>12.9</v>
      </c>
      <c r="E4157">
        <v>9.2799999999999994</v>
      </c>
      <c r="F4157" s="3">
        <v>0.25359999999999999</v>
      </c>
      <c r="G4157">
        <v>8.4358000000000004</v>
      </c>
      <c r="H4157">
        <v>0.6</v>
      </c>
    </row>
    <row r="4158" spans="1:8" x14ac:dyDescent="0.25">
      <c r="A4158" t="s">
        <v>4164</v>
      </c>
      <c r="B4158">
        <v>19638</v>
      </c>
      <c r="C4158">
        <v>7891035215001</v>
      </c>
      <c r="D4158">
        <v>12.9</v>
      </c>
      <c r="E4158">
        <v>9.3000000000000007</v>
      </c>
      <c r="F4158" s="3">
        <v>0.253</v>
      </c>
      <c r="G4158">
        <v>8.4436</v>
      </c>
      <c r="H4158">
        <v>0.63300000000000001</v>
      </c>
    </row>
    <row r="4159" spans="1:8" x14ac:dyDescent="0.25">
      <c r="A4159" t="s">
        <v>4165</v>
      </c>
      <c r="B4159">
        <v>44764</v>
      </c>
      <c r="C4159">
        <v>7891035285189</v>
      </c>
      <c r="D4159">
        <v>10.3</v>
      </c>
      <c r="E4159">
        <v>7.23</v>
      </c>
      <c r="F4159" s="3">
        <v>0.2707</v>
      </c>
      <c r="G4159">
        <v>6.5586000000000002</v>
      </c>
      <c r="H4159">
        <v>0.86699999999999999</v>
      </c>
    </row>
    <row r="4160" spans="1:8" x14ac:dyDescent="0.25">
      <c r="A4160" t="s">
        <v>4166</v>
      </c>
      <c r="B4160">
        <v>44762</v>
      </c>
      <c r="C4160">
        <v>7891035285196</v>
      </c>
      <c r="D4160">
        <v>10.3</v>
      </c>
      <c r="E4160">
        <v>7.12</v>
      </c>
      <c r="F4160" s="3">
        <v>0.2863</v>
      </c>
      <c r="G4160">
        <v>6.3987999999999996</v>
      </c>
      <c r="H4160">
        <v>0.83299999999999996</v>
      </c>
    </row>
    <row r="4161" spans="1:8" x14ac:dyDescent="0.25">
      <c r="A4161" t="s">
        <v>4167</v>
      </c>
      <c r="B4161">
        <v>19636</v>
      </c>
      <c r="C4161">
        <v>7891035250002</v>
      </c>
      <c r="D4161">
        <v>12.9</v>
      </c>
      <c r="E4161">
        <v>9.3000000000000007</v>
      </c>
      <c r="F4161" s="3">
        <v>0.25319999999999998</v>
      </c>
      <c r="G4161">
        <v>8.4403000000000006</v>
      </c>
      <c r="H4161">
        <v>1.167</v>
      </c>
    </row>
    <row r="4162" spans="1:8" x14ac:dyDescent="0.25">
      <c r="A4162" t="s">
        <v>4168</v>
      </c>
      <c r="B4162">
        <v>64538</v>
      </c>
      <c r="C4162">
        <v>7891035002540</v>
      </c>
      <c r="D4162">
        <v>12.9</v>
      </c>
      <c r="E4162">
        <v>9.01</v>
      </c>
      <c r="F4162" s="3">
        <v>0.27300000000000002</v>
      </c>
      <c r="G4162">
        <v>8.1846999999999994</v>
      </c>
      <c r="H4162">
        <v>0.93300000000000005</v>
      </c>
    </row>
    <row r="4163" spans="1:8" x14ac:dyDescent="0.25">
      <c r="A4163" t="s">
        <v>4169</v>
      </c>
      <c r="B4163">
        <v>64539</v>
      </c>
      <c r="C4163">
        <v>7891035002564</v>
      </c>
      <c r="D4163">
        <v>12.9</v>
      </c>
      <c r="E4163">
        <v>9.1</v>
      </c>
      <c r="F4163" s="3">
        <v>0.2671</v>
      </c>
      <c r="G4163">
        <v>8.2616999999999994</v>
      </c>
      <c r="H4163">
        <v>0</v>
      </c>
    </row>
    <row r="4164" spans="1:8" x14ac:dyDescent="0.25">
      <c r="A4164" t="s">
        <v>4170</v>
      </c>
      <c r="B4164">
        <v>64540</v>
      </c>
      <c r="C4164">
        <v>7891035002557</v>
      </c>
      <c r="D4164">
        <v>22.9</v>
      </c>
      <c r="E4164">
        <v>15.21</v>
      </c>
      <c r="F4164" s="3">
        <v>0.30459999999999998</v>
      </c>
      <c r="G4164">
        <v>13.8063</v>
      </c>
      <c r="H4164">
        <v>1.2</v>
      </c>
    </row>
    <row r="4165" spans="1:8" x14ac:dyDescent="0.25">
      <c r="A4165" t="s">
        <v>4171</v>
      </c>
      <c r="B4165">
        <v>64541</v>
      </c>
      <c r="C4165">
        <v>7891035002571</v>
      </c>
      <c r="D4165">
        <v>22.9</v>
      </c>
      <c r="E4165">
        <v>15.21</v>
      </c>
      <c r="F4165" s="3">
        <v>0.30459999999999998</v>
      </c>
      <c r="G4165">
        <v>13.8066</v>
      </c>
      <c r="H4165">
        <v>1.1000000000000001</v>
      </c>
    </row>
    <row r="4166" spans="1:8" x14ac:dyDescent="0.25">
      <c r="A4166" t="s">
        <v>4172</v>
      </c>
      <c r="B4166">
        <v>55432</v>
      </c>
      <c r="C4166">
        <v>7896098902547</v>
      </c>
      <c r="D4166">
        <v>6.99</v>
      </c>
      <c r="E4166">
        <v>3.92</v>
      </c>
      <c r="F4166" s="3">
        <v>0.39899999999999997</v>
      </c>
      <c r="G4166">
        <v>3.5545</v>
      </c>
      <c r="H4166">
        <v>0.56699999999999995</v>
      </c>
    </row>
    <row r="4167" spans="1:8" x14ac:dyDescent="0.25">
      <c r="A4167" t="s">
        <v>4173</v>
      </c>
      <c r="B4167">
        <v>66145</v>
      </c>
      <c r="C4167">
        <v>7896001047105</v>
      </c>
      <c r="D4167">
        <v>11.9</v>
      </c>
      <c r="E4167">
        <v>7.45</v>
      </c>
      <c r="F4167" s="3">
        <v>0.33679999999999999</v>
      </c>
      <c r="G4167">
        <v>6.7915999999999999</v>
      </c>
      <c r="H4167">
        <v>3.8</v>
      </c>
    </row>
    <row r="4168" spans="1:8" x14ac:dyDescent="0.25">
      <c r="A4168" t="s">
        <v>4174</v>
      </c>
      <c r="B4168">
        <v>5040</v>
      </c>
      <c r="C4168">
        <v>7891022857764</v>
      </c>
      <c r="D4168">
        <v>12.9</v>
      </c>
      <c r="E4168">
        <v>8.06</v>
      </c>
      <c r="F4168" s="3">
        <v>0.34240000000000004</v>
      </c>
      <c r="G4168">
        <v>7.2904</v>
      </c>
      <c r="H4168">
        <v>2.867</v>
      </c>
    </row>
    <row r="4169" spans="1:8" x14ac:dyDescent="0.25">
      <c r="A4169" t="s">
        <v>4175</v>
      </c>
      <c r="B4169">
        <v>19593</v>
      </c>
      <c r="C4169">
        <v>7891035116070</v>
      </c>
      <c r="D4169">
        <v>15.9</v>
      </c>
      <c r="E4169">
        <v>10.37</v>
      </c>
      <c r="F4169" s="3">
        <v>0.31670000000000004</v>
      </c>
      <c r="G4169">
        <v>9.3935999999999993</v>
      </c>
      <c r="H4169">
        <v>0.96699999999999997</v>
      </c>
    </row>
    <row r="4170" spans="1:8" x14ac:dyDescent="0.25">
      <c r="A4170" t="s">
        <v>4176</v>
      </c>
      <c r="B4170">
        <v>19589</v>
      </c>
      <c r="C4170">
        <v>7891035115806</v>
      </c>
      <c r="D4170">
        <v>20.9</v>
      </c>
      <c r="E4170">
        <v>14.99</v>
      </c>
      <c r="F4170" s="3">
        <v>0.25670000000000004</v>
      </c>
      <c r="G4170">
        <v>13.601699999999999</v>
      </c>
      <c r="H4170">
        <v>2.9670000000000001</v>
      </c>
    </row>
    <row r="4171" spans="1:8" x14ac:dyDescent="0.25">
      <c r="A4171" t="s">
        <v>4177</v>
      </c>
      <c r="B4171">
        <v>19590</v>
      </c>
      <c r="C4171">
        <v>7891035115608</v>
      </c>
      <c r="D4171">
        <v>19.899999999999999</v>
      </c>
      <c r="E4171">
        <v>13.02</v>
      </c>
      <c r="F4171" s="3">
        <v>0.31359999999999999</v>
      </c>
      <c r="G4171">
        <v>11.818</v>
      </c>
      <c r="H4171">
        <v>6.5330000000000004</v>
      </c>
    </row>
    <row r="4172" spans="1:8" x14ac:dyDescent="0.25">
      <c r="A4172" t="s">
        <v>4178</v>
      </c>
      <c r="B4172">
        <v>19588</v>
      </c>
      <c r="C4172">
        <v>7891035115837</v>
      </c>
      <c r="D4172">
        <v>19.899999999999999</v>
      </c>
      <c r="E4172">
        <v>13.02</v>
      </c>
      <c r="F4172" s="3">
        <v>0.31359999999999999</v>
      </c>
      <c r="G4172">
        <v>11.818300000000001</v>
      </c>
      <c r="H4172">
        <v>4.0999999999999996</v>
      </c>
    </row>
    <row r="4173" spans="1:8" x14ac:dyDescent="0.25">
      <c r="A4173" t="s">
        <v>4179</v>
      </c>
      <c r="B4173">
        <v>19580</v>
      </c>
      <c r="C4173">
        <v>7891035224102</v>
      </c>
      <c r="D4173">
        <v>32.9</v>
      </c>
      <c r="E4173">
        <v>21.79</v>
      </c>
      <c r="F4173" s="3">
        <v>0.30519999999999997</v>
      </c>
      <c r="G4173">
        <v>19.8142</v>
      </c>
      <c r="H4173">
        <v>0.7</v>
      </c>
    </row>
    <row r="4174" spans="1:8" x14ac:dyDescent="0.25">
      <c r="A4174" t="s">
        <v>4180</v>
      </c>
      <c r="B4174">
        <v>32405</v>
      </c>
      <c r="C4174">
        <v>7891035800207</v>
      </c>
      <c r="D4174">
        <v>11.9</v>
      </c>
      <c r="E4174">
        <v>7.91</v>
      </c>
      <c r="F4174" s="3">
        <v>0.3004</v>
      </c>
      <c r="G4174">
        <v>7.2241</v>
      </c>
      <c r="H4174">
        <v>1.7669999999999999</v>
      </c>
    </row>
    <row r="4175" spans="1:8" x14ac:dyDescent="0.25">
      <c r="A4175" t="s">
        <v>4181</v>
      </c>
      <c r="B4175">
        <v>34550</v>
      </c>
      <c r="C4175">
        <v>7891035800276</v>
      </c>
      <c r="D4175">
        <v>20.9</v>
      </c>
      <c r="E4175">
        <v>15.36</v>
      </c>
      <c r="F4175" s="3">
        <v>0.24059999999999998</v>
      </c>
      <c r="G4175">
        <v>13.9383</v>
      </c>
      <c r="H4175">
        <v>1.1000000000000001</v>
      </c>
    </row>
    <row r="4176" spans="1:8" x14ac:dyDescent="0.25">
      <c r="A4176" t="s">
        <v>4182</v>
      </c>
      <c r="B4176">
        <v>19581</v>
      </c>
      <c r="C4176">
        <v>7891035225109</v>
      </c>
      <c r="D4176">
        <v>21.9</v>
      </c>
      <c r="E4176">
        <v>13.9</v>
      </c>
      <c r="F4176" s="3">
        <v>0.33179999999999998</v>
      </c>
      <c r="G4176">
        <v>12.6068</v>
      </c>
      <c r="H4176">
        <v>2.0670000000000002</v>
      </c>
    </row>
    <row r="4177" spans="1:8" x14ac:dyDescent="0.25">
      <c r="A4177" t="s">
        <v>4183</v>
      </c>
      <c r="B4177">
        <v>5037</v>
      </c>
      <c r="C4177">
        <v>7896097608143</v>
      </c>
      <c r="D4177">
        <v>5.9</v>
      </c>
      <c r="E4177">
        <v>2.56</v>
      </c>
      <c r="F4177" s="3">
        <v>0.5141</v>
      </c>
      <c r="G4177">
        <v>2.3212000000000002</v>
      </c>
      <c r="H4177">
        <v>5.0330000000000004</v>
      </c>
    </row>
    <row r="4178" spans="1:8" x14ac:dyDescent="0.25">
      <c r="A4178" t="s">
        <v>4184</v>
      </c>
      <c r="B4178">
        <v>27832</v>
      </c>
      <c r="C4178">
        <v>7891150038547</v>
      </c>
      <c r="D4178">
        <v>12.9</v>
      </c>
      <c r="E4178">
        <v>9.51</v>
      </c>
      <c r="F4178" s="3">
        <v>0.2359</v>
      </c>
      <c r="G4178">
        <v>8.6635000000000009</v>
      </c>
      <c r="H4178">
        <v>2.7</v>
      </c>
    </row>
    <row r="4179" spans="1:8" x14ac:dyDescent="0.25">
      <c r="A4179" t="s">
        <v>4185</v>
      </c>
      <c r="B4179">
        <v>5039</v>
      </c>
      <c r="C4179">
        <v>7891150025356</v>
      </c>
      <c r="D4179">
        <v>25.9</v>
      </c>
      <c r="E4179">
        <v>16.05</v>
      </c>
      <c r="F4179" s="3">
        <v>0.34499999999999997</v>
      </c>
      <c r="G4179">
        <v>14.567500000000001</v>
      </c>
      <c r="H4179">
        <v>0.16700000000000001</v>
      </c>
    </row>
    <row r="4180" spans="1:8" x14ac:dyDescent="0.25">
      <c r="A4180" t="s">
        <v>4186</v>
      </c>
      <c r="B4180">
        <v>66516</v>
      </c>
      <c r="C4180">
        <v>7891150073500</v>
      </c>
      <c r="D4180">
        <v>13.5</v>
      </c>
      <c r="E4180">
        <v>9.76</v>
      </c>
      <c r="F4180" s="3">
        <v>0.25180000000000002</v>
      </c>
      <c r="G4180">
        <v>8.8514999999999997</v>
      </c>
      <c r="H4180">
        <v>0.23300000000000001</v>
      </c>
    </row>
    <row r="4181" spans="1:8" x14ac:dyDescent="0.25">
      <c r="A4181" t="s">
        <v>4187</v>
      </c>
      <c r="B4181">
        <v>53060</v>
      </c>
      <c r="C4181">
        <v>7896056404021</v>
      </c>
      <c r="D4181">
        <v>7.9</v>
      </c>
      <c r="E4181">
        <v>4.9000000000000004</v>
      </c>
      <c r="F4181" s="3">
        <v>0.34420000000000001</v>
      </c>
      <c r="G4181">
        <v>4.4501999999999997</v>
      </c>
      <c r="H4181">
        <v>1.4330000000000001</v>
      </c>
    </row>
    <row r="4182" spans="1:8" x14ac:dyDescent="0.25">
      <c r="A4182" t="s">
        <v>4188</v>
      </c>
      <c r="B4182">
        <v>19583</v>
      </c>
      <c r="C4182">
        <v>7891035224003</v>
      </c>
      <c r="D4182">
        <v>29.9</v>
      </c>
      <c r="E4182">
        <v>21.24</v>
      </c>
      <c r="F4182" s="3">
        <v>0.24969999999999998</v>
      </c>
      <c r="G4182">
        <v>19.6677</v>
      </c>
      <c r="H4182">
        <v>0.46700000000000003</v>
      </c>
    </row>
    <row r="4183" spans="1:8" x14ac:dyDescent="0.25">
      <c r="A4183" t="s">
        <v>4189</v>
      </c>
      <c r="B4183">
        <v>19584</v>
      </c>
      <c r="C4183">
        <v>7891035225000</v>
      </c>
      <c r="D4183">
        <v>21.9</v>
      </c>
      <c r="E4183">
        <v>13.89</v>
      </c>
      <c r="F4183" s="3">
        <v>0.33090000000000003</v>
      </c>
      <c r="G4183">
        <v>12.6279</v>
      </c>
      <c r="H4183">
        <v>1.333</v>
      </c>
    </row>
    <row r="4184" spans="1:8" x14ac:dyDescent="0.25">
      <c r="A4184" t="s">
        <v>4190</v>
      </c>
      <c r="B4184">
        <v>69387</v>
      </c>
      <c r="C4184">
        <v>7898962943656</v>
      </c>
      <c r="D4184">
        <v>16.899999999999999</v>
      </c>
      <c r="E4184">
        <v>10.68</v>
      </c>
      <c r="F4184" s="3">
        <v>0.2676</v>
      </c>
      <c r="G4184">
        <v>7.7725</v>
      </c>
      <c r="H4184">
        <v>1.2</v>
      </c>
    </row>
    <row r="4185" spans="1:8" x14ac:dyDescent="0.25">
      <c r="A4185" t="s">
        <v>4191</v>
      </c>
      <c r="B4185">
        <v>19564</v>
      </c>
      <c r="C4185">
        <v>7891035228100</v>
      </c>
      <c r="D4185">
        <v>14.9</v>
      </c>
      <c r="E4185">
        <v>9.94</v>
      </c>
      <c r="F4185" s="3">
        <v>0.30420000000000003</v>
      </c>
      <c r="G4185">
        <v>8.9886999999999997</v>
      </c>
      <c r="H4185">
        <v>2.633</v>
      </c>
    </row>
    <row r="4186" spans="1:8" x14ac:dyDescent="0.25">
      <c r="A4186" t="s">
        <v>4192</v>
      </c>
      <c r="B4186">
        <v>50340</v>
      </c>
      <c r="C4186">
        <v>7896017201942</v>
      </c>
      <c r="D4186">
        <v>6.9</v>
      </c>
      <c r="E4186">
        <v>3.28</v>
      </c>
      <c r="F4186" s="3">
        <v>0.47110000000000002</v>
      </c>
      <c r="G4186">
        <v>3.0114999999999998</v>
      </c>
      <c r="H4186">
        <v>2.2000000000000002</v>
      </c>
    </row>
    <row r="4187" spans="1:8" x14ac:dyDescent="0.25">
      <c r="A4187" t="s">
        <v>4193</v>
      </c>
      <c r="B4187">
        <v>64828</v>
      </c>
      <c r="C4187">
        <v>9002859036583</v>
      </c>
      <c r="D4187">
        <v>22.9</v>
      </c>
      <c r="E4187">
        <v>14.18</v>
      </c>
      <c r="F4187" s="3">
        <v>0.34560000000000002</v>
      </c>
      <c r="G4187">
        <v>12.8683</v>
      </c>
      <c r="H4187">
        <v>1.2669999999999999</v>
      </c>
    </row>
    <row r="4188" spans="1:8" x14ac:dyDescent="0.25">
      <c r="A4188" t="s">
        <v>4194</v>
      </c>
      <c r="B4188">
        <v>64829</v>
      </c>
      <c r="C4188">
        <v>9002859040986</v>
      </c>
      <c r="D4188">
        <v>22.9</v>
      </c>
      <c r="E4188">
        <v>14.18</v>
      </c>
      <c r="F4188" s="3">
        <v>0.34560000000000002</v>
      </c>
      <c r="G4188">
        <v>12.8683</v>
      </c>
      <c r="H4188">
        <v>1.5329999999999999</v>
      </c>
    </row>
    <row r="4189" spans="1:8" x14ac:dyDescent="0.25">
      <c r="A4189" t="s">
        <v>4195</v>
      </c>
      <c r="B4189">
        <v>63769</v>
      </c>
      <c r="C4189">
        <v>4005900919632</v>
      </c>
      <c r="D4189">
        <v>20.9</v>
      </c>
      <c r="E4189">
        <v>13.55</v>
      </c>
      <c r="F4189" s="3">
        <v>0.34619999999999995</v>
      </c>
      <c r="G4189">
        <v>13.664300000000001</v>
      </c>
      <c r="H4189">
        <v>0.6</v>
      </c>
    </row>
    <row r="4190" spans="1:8" x14ac:dyDescent="0.25">
      <c r="A4190" t="s">
        <v>4196</v>
      </c>
      <c r="B4190">
        <v>7716</v>
      </c>
      <c r="C4190">
        <v>4005808309436</v>
      </c>
      <c r="D4190">
        <v>20.9</v>
      </c>
      <c r="E4190">
        <v>14</v>
      </c>
      <c r="F4190" s="3">
        <v>0.3246</v>
      </c>
      <c r="G4190">
        <v>14.1152</v>
      </c>
      <c r="H4190">
        <v>0.66700000000000004</v>
      </c>
    </row>
    <row r="4191" spans="1:8" x14ac:dyDescent="0.25">
      <c r="A4191" t="s">
        <v>4197</v>
      </c>
      <c r="B4191">
        <v>64910</v>
      </c>
      <c r="C4191">
        <v>4005808840625</v>
      </c>
      <c r="D4191">
        <v>33.9</v>
      </c>
      <c r="E4191">
        <v>23.21</v>
      </c>
      <c r="F4191" s="3">
        <v>0.3145</v>
      </c>
      <c r="G4191">
        <v>23.238499999999998</v>
      </c>
      <c r="H4191">
        <v>0.2</v>
      </c>
    </row>
    <row r="4192" spans="1:8" x14ac:dyDescent="0.25">
      <c r="A4192" t="s">
        <v>4198</v>
      </c>
      <c r="B4192">
        <v>55423</v>
      </c>
      <c r="C4192">
        <v>4005900004956</v>
      </c>
      <c r="D4192">
        <v>31.9</v>
      </c>
      <c r="E4192">
        <v>20.69</v>
      </c>
      <c r="F4192" s="3">
        <v>0.35549999999999998</v>
      </c>
      <c r="G4192">
        <v>20.5596</v>
      </c>
      <c r="H4192">
        <v>0.16700000000000001</v>
      </c>
    </row>
    <row r="4193" spans="1:8" x14ac:dyDescent="0.25">
      <c r="A4193" t="s">
        <v>4199</v>
      </c>
      <c r="B4193">
        <v>58301</v>
      </c>
      <c r="C4193">
        <v>7891150077706</v>
      </c>
      <c r="D4193">
        <v>16.899999999999999</v>
      </c>
      <c r="E4193">
        <v>11.05</v>
      </c>
      <c r="F4193" s="3">
        <v>0.34600000000000003</v>
      </c>
      <c r="G4193">
        <v>11.0519</v>
      </c>
      <c r="H4193">
        <v>0.433</v>
      </c>
    </row>
    <row r="4194" spans="1:8" x14ac:dyDescent="0.25">
      <c r="A4194" t="s">
        <v>4200</v>
      </c>
      <c r="B4194">
        <v>58289</v>
      </c>
      <c r="C4194">
        <v>7891150078550</v>
      </c>
      <c r="D4194">
        <v>16.899999999999999</v>
      </c>
      <c r="E4194">
        <v>11.05</v>
      </c>
      <c r="F4194" s="3">
        <v>0.34600000000000003</v>
      </c>
      <c r="G4194">
        <v>11.0533</v>
      </c>
      <c r="H4194">
        <v>0.33300000000000002</v>
      </c>
    </row>
    <row r="4195" spans="1:8" x14ac:dyDescent="0.25">
      <c r="A4195" t="s">
        <v>4201</v>
      </c>
      <c r="B4195">
        <v>58302</v>
      </c>
      <c r="C4195">
        <v>7891150078567</v>
      </c>
      <c r="D4195">
        <v>16.899999999999999</v>
      </c>
      <c r="E4195">
        <v>11.04</v>
      </c>
      <c r="F4195" s="3">
        <v>0.34610000000000002</v>
      </c>
      <c r="G4195">
        <v>11.0517</v>
      </c>
      <c r="H4195">
        <v>0.23300000000000001</v>
      </c>
    </row>
    <row r="4196" spans="1:8" x14ac:dyDescent="0.25">
      <c r="A4196" t="s">
        <v>4202</v>
      </c>
      <c r="B4196">
        <v>58295</v>
      </c>
      <c r="C4196">
        <v>7891150077652</v>
      </c>
      <c r="D4196">
        <v>26.9</v>
      </c>
      <c r="E4196">
        <v>17.64</v>
      </c>
      <c r="F4196" s="3">
        <v>0.34399999999999997</v>
      </c>
      <c r="G4196">
        <v>17.6462</v>
      </c>
      <c r="H4196">
        <v>0.96699999999999997</v>
      </c>
    </row>
    <row r="4197" spans="1:8" x14ac:dyDescent="0.25">
      <c r="A4197" t="s">
        <v>4203</v>
      </c>
      <c r="B4197">
        <v>58294</v>
      </c>
      <c r="C4197">
        <v>7891150077645</v>
      </c>
      <c r="D4197">
        <v>26.9</v>
      </c>
      <c r="E4197">
        <v>18.64</v>
      </c>
      <c r="F4197" s="3">
        <v>0.29749999999999999</v>
      </c>
      <c r="G4197">
        <v>18.898499999999999</v>
      </c>
      <c r="H4197">
        <v>0.63300000000000001</v>
      </c>
    </row>
    <row r="4198" spans="1:8" x14ac:dyDescent="0.25">
      <c r="A4198" t="s">
        <v>4204</v>
      </c>
      <c r="B4198">
        <v>58296</v>
      </c>
      <c r="C4198">
        <v>7891150077669</v>
      </c>
      <c r="D4198">
        <v>26.9</v>
      </c>
      <c r="E4198">
        <v>17.21</v>
      </c>
      <c r="F4198" s="3">
        <v>0.3503</v>
      </c>
      <c r="G4198">
        <v>17.4758</v>
      </c>
      <c r="H4198">
        <v>6.7000000000000004E-2</v>
      </c>
    </row>
    <row r="4199" spans="1:8" x14ac:dyDescent="0.25">
      <c r="A4199" t="s">
        <v>4205</v>
      </c>
      <c r="B4199">
        <v>58298</v>
      </c>
      <c r="C4199">
        <v>7891150077683</v>
      </c>
      <c r="D4199">
        <v>26.9</v>
      </c>
      <c r="E4199">
        <v>17.7</v>
      </c>
      <c r="F4199" s="3">
        <v>0.34200000000000003</v>
      </c>
      <c r="G4199">
        <v>17.700099999999999</v>
      </c>
      <c r="H4199">
        <v>0.1</v>
      </c>
    </row>
    <row r="4200" spans="1:8" x14ac:dyDescent="0.25">
      <c r="A4200" t="s">
        <v>4206</v>
      </c>
      <c r="B4200">
        <v>24692</v>
      </c>
      <c r="C4200">
        <v>7891150026001</v>
      </c>
      <c r="D4200">
        <v>27.9</v>
      </c>
      <c r="E4200">
        <v>17.82</v>
      </c>
      <c r="F4200" s="3">
        <v>0.36130000000000001</v>
      </c>
      <c r="G4200">
        <v>17.82</v>
      </c>
      <c r="H4200">
        <v>6.7000000000000004E-2</v>
      </c>
    </row>
    <row r="4201" spans="1:8" x14ac:dyDescent="0.25">
      <c r="A4201" t="s">
        <v>4207</v>
      </c>
      <c r="B4201">
        <v>69205</v>
      </c>
      <c r="C4201">
        <v>7896098908228</v>
      </c>
      <c r="D4201">
        <v>14.9</v>
      </c>
      <c r="E4201">
        <v>8.8000000000000007</v>
      </c>
      <c r="F4201" s="3">
        <v>0.37159999999999999</v>
      </c>
      <c r="G4201">
        <v>7.9842000000000004</v>
      </c>
      <c r="H4201">
        <v>0.16700000000000001</v>
      </c>
    </row>
    <row r="4202" spans="1:8" x14ac:dyDescent="0.25">
      <c r="A4202" t="s">
        <v>4208</v>
      </c>
      <c r="B4202">
        <v>69206</v>
      </c>
      <c r="C4202">
        <v>7896098908235</v>
      </c>
      <c r="D4202">
        <v>14.9</v>
      </c>
      <c r="E4202">
        <v>8.8000000000000007</v>
      </c>
      <c r="F4202" s="3">
        <v>0.37159999999999999</v>
      </c>
      <c r="G4202">
        <v>7.9842000000000004</v>
      </c>
      <c r="H4202">
        <v>0.26700000000000002</v>
      </c>
    </row>
    <row r="4203" spans="1:8" x14ac:dyDescent="0.25">
      <c r="A4203" t="s">
        <v>4209</v>
      </c>
      <c r="B4203">
        <v>68473</v>
      </c>
      <c r="C4203">
        <v>7896098908211</v>
      </c>
      <c r="D4203">
        <v>23.99</v>
      </c>
      <c r="E4203">
        <v>13.69</v>
      </c>
      <c r="F4203" s="3">
        <v>0.42930000000000001</v>
      </c>
      <c r="G4203">
        <v>13.6921</v>
      </c>
      <c r="H4203">
        <v>3.3000000000000002E-2</v>
      </c>
    </row>
    <row r="4204" spans="1:8" x14ac:dyDescent="0.25">
      <c r="A4204" t="s">
        <v>4210</v>
      </c>
      <c r="B4204">
        <v>66207</v>
      </c>
      <c r="C4204">
        <v>7891010579265</v>
      </c>
      <c r="D4204">
        <v>49.9</v>
      </c>
      <c r="E4204">
        <v>34.299999999999997</v>
      </c>
      <c r="F4204" s="3">
        <v>0.31269999999999998</v>
      </c>
      <c r="G4204">
        <v>34.295099999999998</v>
      </c>
      <c r="H4204">
        <v>0.2</v>
      </c>
    </row>
    <row r="4205" spans="1:8" x14ac:dyDescent="0.25">
      <c r="A4205" t="s">
        <v>4211</v>
      </c>
      <c r="B4205">
        <v>66210</v>
      </c>
      <c r="C4205">
        <v>7891010503505</v>
      </c>
      <c r="D4205">
        <v>39.9</v>
      </c>
      <c r="E4205">
        <v>28.16</v>
      </c>
      <c r="F4205" s="3">
        <v>0.29460000000000003</v>
      </c>
      <c r="G4205">
        <v>28.144100000000002</v>
      </c>
      <c r="H4205">
        <v>6.7000000000000004E-2</v>
      </c>
    </row>
    <row r="4206" spans="1:8" x14ac:dyDescent="0.25">
      <c r="A4206" t="s">
        <v>4212</v>
      </c>
      <c r="B4206">
        <v>64909</v>
      </c>
      <c r="C4206">
        <v>4005900860507</v>
      </c>
      <c r="D4206">
        <v>26.9</v>
      </c>
      <c r="E4206">
        <v>17.25</v>
      </c>
      <c r="F4206" s="3">
        <v>0.35580000000000001</v>
      </c>
      <c r="G4206">
        <v>17.328800000000001</v>
      </c>
      <c r="H4206">
        <v>3.3000000000000002E-2</v>
      </c>
    </row>
    <row r="4207" spans="1:8" x14ac:dyDescent="0.25">
      <c r="A4207" t="s">
        <v>4213</v>
      </c>
      <c r="B4207">
        <v>59853</v>
      </c>
      <c r="C4207">
        <v>4005808846290</v>
      </c>
      <c r="D4207">
        <v>26.9</v>
      </c>
      <c r="E4207">
        <v>17.989999999999998</v>
      </c>
      <c r="F4207" s="3">
        <v>0.33119999999999999</v>
      </c>
      <c r="G4207">
        <v>17.9908</v>
      </c>
      <c r="H4207">
        <v>6.7000000000000004E-2</v>
      </c>
    </row>
    <row r="4208" spans="1:8" x14ac:dyDescent="0.25">
      <c r="A4208" t="s">
        <v>4214</v>
      </c>
      <c r="B4208">
        <v>66271</v>
      </c>
      <c r="C4208">
        <v>7891010253929</v>
      </c>
      <c r="D4208">
        <v>28.9</v>
      </c>
      <c r="E4208">
        <v>18.5</v>
      </c>
      <c r="F4208" s="3">
        <v>0.35979999999999995</v>
      </c>
      <c r="G4208">
        <v>18.501200000000001</v>
      </c>
      <c r="H4208">
        <v>0.23300000000000001</v>
      </c>
    </row>
    <row r="4209" spans="1:8" x14ac:dyDescent="0.25">
      <c r="A4209" t="s">
        <v>4215</v>
      </c>
      <c r="B4209">
        <v>66262</v>
      </c>
      <c r="C4209">
        <v>7891010253899</v>
      </c>
      <c r="D4209">
        <v>28.9</v>
      </c>
      <c r="E4209">
        <v>18.5</v>
      </c>
      <c r="F4209" s="3">
        <v>0.35979999999999995</v>
      </c>
      <c r="G4209">
        <v>18.5017</v>
      </c>
      <c r="H4209">
        <v>0.26700000000000002</v>
      </c>
    </row>
    <row r="4210" spans="1:8" x14ac:dyDescent="0.25">
      <c r="A4210" t="s">
        <v>4216</v>
      </c>
      <c r="B4210">
        <v>66272</v>
      </c>
      <c r="C4210">
        <v>7891010253936</v>
      </c>
      <c r="D4210">
        <v>44.9</v>
      </c>
      <c r="E4210">
        <v>29.37</v>
      </c>
      <c r="F4210" s="3">
        <v>0.34590000000000004</v>
      </c>
      <c r="G4210">
        <v>29.367799999999999</v>
      </c>
      <c r="H4210">
        <v>0.33300000000000002</v>
      </c>
    </row>
    <row r="4211" spans="1:8" x14ac:dyDescent="0.25">
      <c r="A4211" t="s">
        <v>4217</v>
      </c>
      <c r="B4211">
        <v>66265</v>
      </c>
      <c r="C4211">
        <v>7891010253905</v>
      </c>
      <c r="D4211">
        <v>44.9</v>
      </c>
      <c r="E4211">
        <v>29.36</v>
      </c>
      <c r="F4211" s="3">
        <v>0.34600000000000003</v>
      </c>
      <c r="G4211">
        <v>29.363800000000001</v>
      </c>
      <c r="H4211">
        <v>0.6</v>
      </c>
    </row>
    <row r="4212" spans="1:8" x14ac:dyDescent="0.25">
      <c r="A4212" t="s">
        <v>4218</v>
      </c>
      <c r="B4212">
        <v>66273</v>
      </c>
      <c r="C4212">
        <v>7891010253257</v>
      </c>
      <c r="D4212">
        <v>44.9</v>
      </c>
      <c r="E4212">
        <v>29.31</v>
      </c>
      <c r="F4212" s="3">
        <v>0.34749999999999998</v>
      </c>
      <c r="G4212">
        <v>29.2972</v>
      </c>
      <c r="H4212">
        <v>0.2</v>
      </c>
    </row>
    <row r="4213" spans="1:8" x14ac:dyDescent="0.25">
      <c r="A4213" t="s">
        <v>4219</v>
      </c>
      <c r="B4213">
        <v>55436</v>
      </c>
      <c r="C4213">
        <v>4005900669292</v>
      </c>
      <c r="D4213">
        <v>20.9</v>
      </c>
      <c r="E4213">
        <v>13.48</v>
      </c>
      <c r="F4213" s="3">
        <v>0.35499999999999998</v>
      </c>
      <c r="G4213">
        <v>13.479699999999999</v>
      </c>
      <c r="H4213">
        <v>0.1</v>
      </c>
    </row>
    <row r="4214" spans="1:8" x14ac:dyDescent="0.25">
      <c r="A4214" t="s">
        <v>4220</v>
      </c>
      <c r="B4214">
        <v>55431</v>
      </c>
      <c r="C4214">
        <v>4005808311286</v>
      </c>
      <c r="D4214">
        <v>24.9</v>
      </c>
      <c r="E4214">
        <v>23.67</v>
      </c>
      <c r="F4214" s="3">
        <v>4.7800000000000002E-2</v>
      </c>
      <c r="G4214">
        <v>23.709</v>
      </c>
      <c r="H4214">
        <v>0.2</v>
      </c>
    </row>
    <row r="4215" spans="1:8" x14ac:dyDescent="0.25">
      <c r="A4215" t="s">
        <v>4221</v>
      </c>
      <c r="B4215">
        <v>55430</v>
      </c>
      <c r="C4215">
        <v>4005900498205</v>
      </c>
      <c r="D4215">
        <v>24.9</v>
      </c>
      <c r="E4215">
        <v>23.57</v>
      </c>
      <c r="F4215" s="3">
        <v>4.4500000000000005E-2</v>
      </c>
      <c r="G4215">
        <v>23.7925</v>
      </c>
      <c r="H4215">
        <v>0.13300000000000001</v>
      </c>
    </row>
    <row r="4216" spans="1:8" x14ac:dyDescent="0.25">
      <c r="A4216" t="s">
        <v>4222</v>
      </c>
      <c r="B4216">
        <v>55434</v>
      </c>
      <c r="C4216">
        <v>4005900669308</v>
      </c>
      <c r="D4216">
        <v>20.9</v>
      </c>
      <c r="E4216">
        <v>14.1</v>
      </c>
      <c r="F4216" s="3">
        <v>0.32530000000000003</v>
      </c>
      <c r="G4216">
        <v>14.1006</v>
      </c>
      <c r="H4216">
        <v>0.1</v>
      </c>
    </row>
    <row r="4217" spans="1:8" x14ac:dyDescent="0.25">
      <c r="A4217" t="s">
        <v>4223</v>
      </c>
      <c r="B4217">
        <v>55435</v>
      </c>
      <c r="C4217">
        <v>4005900669278</v>
      </c>
      <c r="D4217">
        <v>20.9</v>
      </c>
      <c r="E4217">
        <v>13.48</v>
      </c>
      <c r="F4217" s="3">
        <v>0.35509999999999997</v>
      </c>
      <c r="G4217">
        <v>13.478999999999999</v>
      </c>
      <c r="H4217">
        <v>0.5</v>
      </c>
    </row>
    <row r="4218" spans="1:8" x14ac:dyDescent="0.25">
      <c r="A4218" t="s">
        <v>4224</v>
      </c>
      <c r="B4218">
        <v>59841</v>
      </c>
      <c r="C4218">
        <v>4005900116192</v>
      </c>
      <c r="D4218">
        <v>54.9</v>
      </c>
      <c r="E4218">
        <v>38.130000000000003</v>
      </c>
      <c r="F4218" s="3">
        <v>0.30649999999999999</v>
      </c>
      <c r="G4218">
        <v>38.075499999999998</v>
      </c>
      <c r="H4218">
        <v>0.13300000000000001</v>
      </c>
    </row>
    <row r="4219" spans="1:8" x14ac:dyDescent="0.25">
      <c r="A4219" t="s">
        <v>4225</v>
      </c>
      <c r="B4219">
        <v>55437</v>
      </c>
      <c r="C4219">
        <v>78906617</v>
      </c>
      <c r="D4219">
        <v>26.9</v>
      </c>
      <c r="E4219">
        <v>18.010000000000002</v>
      </c>
      <c r="F4219" s="3">
        <v>0.33049999999999996</v>
      </c>
      <c r="G4219">
        <v>18.008900000000001</v>
      </c>
      <c r="H4219">
        <v>0.6</v>
      </c>
    </row>
    <row r="4220" spans="1:8" x14ac:dyDescent="0.25">
      <c r="A4220" t="s">
        <v>4226</v>
      </c>
      <c r="B4220">
        <v>7718</v>
      </c>
      <c r="C4220">
        <v>4005808335435</v>
      </c>
      <c r="D4220">
        <v>20.9</v>
      </c>
      <c r="E4220">
        <v>14</v>
      </c>
      <c r="F4220" s="3">
        <v>0.33119999999999999</v>
      </c>
      <c r="G4220">
        <v>13.978300000000001</v>
      </c>
      <c r="H4220">
        <v>0.7</v>
      </c>
    </row>
    <row r="4221" spans="1:8" x14ac:dyDescent="0.25">
      <c r="A4221" t="s">
        <v>4227</v>
      </c>
      <c r="B4221">
        <v>55419</v>
      </c>
      <c r="C4221">
        <v>4005808315697</v>
      </c>
      <c r="D4221">
        <v>31.9</v>
      </c>
      <c r="E4221">
        <v>21.19</v>
      </c>
      <c r="F4221" s="3">
        <v>0.33100000000000002</v>
      </c>
      <c r="G4221">
        <v>21.342199999999998</v>
      </c>
      <c r="H4221">
        <v>0.4</v>
      </c>
    </row>
    <row r="4222" spans="1:8" x14ac:dyDescent="0.25">
      <c r="A4222" t="s">
        <v>4228</v>
      </c>
      <c r="B4222">
        <v>10215</v>
      </c>
      <c r="C4222">
        <v>7891150028425</v>
      </c>
      <c r="D4222">
        <v>22.12</v>
      </c>
      <c r="E4222">
        <v>11.32</v>
      </c>
      <c r="F4222" s="3">
        <v>0.48820000000000002</v>
      </c>
      <c r="G4222">
        <v>11.3209</v>
      </c>
      <c r="H4222">
        <v>0</v>
      </c>
    </row>
    <row r="4223" spans="1:8" x14ac:dyDescent="0.25">
      <c r="A4223" t="s">
        <v>4229</v>
      </c>
      <c r="B4223">
        <v>18507</v>
      </c>
      <c r="C4223">
        <v>7891150028463</v>
      </c>
      <c r="D4223">
        <v>29.9</v>
      </c>
      <c r="E4223">
        <v>20.07</v>
      </c>
      <c r="F4223" s="3">
        <v>0.32880000000000004</v>
      </c>
      <c r="G4223">
        <v>20.069199999999999</v>
      </c>
      <c r="H4223">
        <v>0.13300000000000001</v>
      </c>
    </row>
    <row r="4224" spans="1:8" x14ac:dyDescent="0.25">
      <c r="A4224" t="s">
        <v>4230</v>
      </c>
      <c r="B4224">
        <v>31950</v>
      </c>
      <c r="C4224">
        <v>7891150029316</v>
      </c>
      <c r="D4224">
        <v>49.9</v>
      </c>
      <c r="E4224">
        <v>35.880000000000003</v>
      </c>
      <c r="F4224" s="3">
        <v>0.27960000000000002</v>
      </c>
      <c r="G4224">
        <v>35.946800000000003</v>
      </c>
      <c r="H4224">
        <v>3.3000000000000002E-2</v>
      </c>
    </row>
    <row r="4225" spans="1:8" x14ac:dyDescent="0.25">
      <c r="A4225" t="s">
        <v>4231</v>
      </c>
      <c r="B4225">
        <v>10627</v>
      </c>
      <c r="C4225">
        <v>7891150028470</v>
      </c>
      <c r="D4225">
        <v>29.9</v>
      </c>
      <c r="E4225">
        <v>20.239999999999998</v>
      </c>
      <c r="F4225" s="3">
        <v>0.32319999999999999</v>
      </c>
      <c r="G4225">
        <v>20.237400000000001</v>
      </c>
      <c r="H4225">
        <v>0.1</v>
      </c>
    </row>
    <row r="4226" spans="1:8" x14ac:dyDescent="0.25">
      <c r="A4226" t="s">
        <v>4232</v>
      </c>
      <c r="B4226">
        <v>10636</v>
      </c>
      <c r="C4226">
        <v>7891150028449</v>
      </c>
      <c r="D4226">
        <v>22.12</v>
      </c>
      <c r="E4226">
        <v>11.32</v>
      </c>
      <c r="F4226" s="3">
        <v>0.48680000000000001</v>
      </c>
      <c r="G4226">
        <v>11.3512</v>
      </c>
      <c r="H4226">
        <v>6.7000000000000004E-2</v>
      </c>
    </row>
    <row r="4227" spans="1:8" x14ac:dyDescent="0.25">
      <c r="A4227" t="s">
        <v>4233</v>
      </c>
      <c r="B4227">
        <v>10638</v>
      </c>
      <c r="C4227">
        <v>7891150028456</v>
      </c>
      <c r="D4227">
        <v>29.9</v>
      </c>
      <c r="E4227">
        <v>18.02</v>
      </c>
      <c r="F4227" s="3">
        <v>0.39500000000000002</v>
      </c>
      <c r="G4227">
        <v>18.09</v>
      </c>
      <c r="H4227">
        <v>0.3</v>
      </c>
    </row>
    <row r="4228" spans="1:8" x14ac:dyDescent="0.25">
      <c r="A4228" t="s">
        <v>4234</v>
      </c>
      <c r="B4228">
        <v>68370</v>
      </c>
      <c r="C4228">
        <v>7899852023922</v>
      </c>
      <c r="D4228">
        <v>18.989999999999998</v>
      </c>
      <c r="E4228">
        <v>13.36</v>
      </c>
      <c r="F4228" s="3">
        <v>0.29120000000000001</v>
      </c>
      <c r="G4228">
        <v>13.4597</v>
      </c>
      <c r="H4228">
        <v>0.13300000000000001</v>
      </c>
    </row>
    <row r="4229" spans="1:8" x14ac:dyDescent="0.25">
      <c r="A4229" t="s">
        <v>4235</v>
      </c>
      <c r="B4229">
        <v>68371</v>
      </c>
      <c r="C4229">
        <v>7899852023984</v>
      </c>
      <c r="D4229">
        <v>18.989999999999998</v>
      </c>
      <c r="E4229">
        <v>13.28</v>
      </c>
      <c r="F4229" s="3">
        <v>0.30070000000000002</v>
      </c>
      <c r="G4229">
        <v>13.28</v>
      </c>
      <c r="H4229">
        <v>6.7000000000000004E-2</v>
      </c>
    </row>
    <row r="4230" spans="1:8" x14ac:dyDescent="0.25">
      <c r="A4230" t="s">
        <v>4236</v>
      </c>
      <c r="B4230">
        <v>68372</v>
      </c>
      <c r="C4230">
        <v>7899852023991</v>
      </c>
      <c r="D4230">
        <v>18.989999999999998</v>
      </c>
      <c r="E4230">
        <v>13.45</v>
      </c>
      <c r="F4230" s="3">
        <v>0.28070000000000001</v>
      </c>
      <c r="G4230">
        <v>13.6594</v>
      </c>
      <c r="H4230">
        <v>0.73299999999999998</v>
      </c>
    </row>
    <row r="4231" spans="1:8" x14ac:dyDescent="0.25">
      <c r="A4231" t="s">
        <v>4237</v>
      </c>
      <c r="B4231">
        <v>68369</v>
      </c>
      <c r="C4231">
        <v>7899852023946</v>
      </c>
      <c r="D4231">
        <v>25.99</v>
      </c>
      <c r="E4231">
        <v>18.18</v>
      </c>
      <c r="F4231" s="3">
        <v>0.30049999999999999</v>
      </c>
      <c r="G4231">
        <v>18.18</v>
      </c>
      <c r="H4231">
        <v>0.33300000000000002</v>
      </c>
    </row>
    <row r="4232" spans="1:8" x14ac:dyDescent="0.25">
      <c r="A4232" t="s">
        <v>4238</v>
      </c>
      <c r="B4232">
        <v>68367</v>
      </c>
      <c r="C4232">
        <v>7899852023977</v>
      </c>
      <c r="D4232">
        <v>25.99</v>
      </c>
      <c r="E4232">
        <v>18.18</v>
      </c>
      <c r="F4232" s="3">
        <v>0.30049999999999999</v>
      </c>
      <c r="G4232">
        <v>18.18</v>
      </c>
      <c r="H4232">
        <v>0.4</v>
      </c>
    </row>
    <row r="4233" spans="1:8" x14ac:dyDescent="0.25">
      <c r="A4233" t="s">
        <v>4239</v>
      </c>
      <c r="B4233">
        <v>55482</v>
      </c>
      <c r="C4233">
        <v>8715200813061</v>
      </c>
      <c r="D4233">
        <v>52.9</v>
      </c>
      <c r="E4233">
        <v>37.72</v>
      </c>
      <c r="F4233" s="3">
        <v>0.28689999999999999</v>
      </c>
      <c r="G4233">
        <v>37.722900000000003</v>
      </c>
      <c r="H4233">
        <v>0.13300000000000001</v>
      </c>
    </row>
    <row r="4234" spans="1:8" x14ac:dyDescent="0.25">
      <c r="A4234" t="s">
        <v>4240</v>
      </c>
      <c r="B4234">
        <v>26291</v>
      </c>
      <c r="C4234">
        <v>7898629610914</v>
      </c>
      <c r="D4234">
        <v>5.49</v>
      </c>
      <c r="E4234">
        <v>2</v>
      </c>
      <c r="F4234" s="3">
        <v>0.57689999999999997</v>
      </c>
      <c r="G4234">
        <v>1.8149</v>
      </c>
      <c r="H4234">
        <v>0.83299999999999996</v>
      </c>
    </row>
    <row r="4235" spans="1:8" x14ac:dyDescent="0.25">
      <c r="A4235" t="s">
        <v>4241</v>
      </c>
      <c r="B4235">
        <v>4781</v>
      </c>
      <c r="C4235">
        <v>7891095156092</v>
      </c>
      <c r="D4235">
        <v>7.99</v>
      </c>
      <c r="E4235">
        <v>4.2699999999999996</v>
      </c>
      <c r="F4235" s="3">
        <v>0.33850000000000002</v>
      </c>
      <c r="G4235">
        <v>3.1082999999999998</v>
      </c>
      <c r="H4235">
        <v>1.133</v>
      </c>
    </row>
    <row r="4236" spans="1:8" x14ac:dyDescent="0.25">
      <c r="A4236" t="s">
        <v>4242</v>
      </c>
      <c r="B4236">
        <v>26290</v>
      </c>
      <c r="C4236">
        <v>7898629610921</v>
      </c>
      <c r="D4236">
        <v>5.99</v>
      </c>
      <c r="E4236">
        <v>2.4</v>
      </c>
      <c r="F4236" s="3">
        <v>0.54530000000000001</v>
      </c>
      <c r="G4236">
        <v>2.1698</v>
      </c>
      <c r="H4236">
        <v>12.532999999999999</v>
      </c>
    </row>
    <row r="4237" spans="1:8" x14ac:dyDescent="0.25">
      <c r="A4237" t="s">
        <v>4243</v>
      </c>
      <c r="B4237">
        <v>19561</v>
      </c>
      <c r="C4237">
        <v>7891035500008</v>
      </c>
      <c r="D4237">
        <v>14.9</v>
      </c>
      <c r="E4237">
        <v>9.5500000000000007</v>
      </c>
      <c r="F4237" s="3">
        <v>0.26129999999999998</v>
      </c>
      <c r="G4237">
        <v>6.9465000000000003</v>
      </c>
      <c r="H4237">
        <v>1.5</v>
      </c>
    </row>
    <row r="4238" spans="1:8" x14ac:dyDescent="0.25">
      <c r="A4238" t="s">
        <v>4244</v>
      </c>
      <c r="B4238">
        <v>19562</v>
      </c>
      <c r="C4238">
        <v>7891035502231</v>
      </c>
      <c r="D4238">
        <v>14.9</v>
      </c>
      <c r="E4238">
        <v>8.8800000000000008</v>
      </c>
      <c r="F4238" s="3">
        <v>0.29530000000000001</v>
      </c>
      <c r="G4238">
        <v>6.4393000000000002</v>
      </c>
      <c r="H4238">
        <v>0.73299999999999998</v>
      </c>
    </row>
    <row r="4239" spans="1:8" x14ac:dyDescent="0.25">
      <c r="A4239" t="s">
        <v>4245</v>
      </c>
      <c r="B4239">
        <v>23775</v>
      </c>
      <c r="C4239">
        <v>7891035501005</v>
      </c>
      <c r="D4239">
        <v>26.9</v>
      </c>
      <c r="E4239">
        <v>18.329999999999998</v>
      </c>
      <c r="F4239" s="3">
        <v>0.2324</v>
      </c>
      <c r="G4239">
        <v>13.3193</v>
      </c>
      <c r="H4239">
        <v>0.6</v>
      </c>
    </row>
    <row r="4240" spans="1:8" x14ac:dyDescent="0.25">
      <c r="A4240" t="s">
        <v>4246</v>
      </c>
      <c r="B4240">
        <v>23799</v>
      </c>
      <c r="C4240">
        <v>7891035502606</v>
      </c>
      <c r="D4240">
        <v>26.9</v>
      </c>
      <c r="E4240">
        <v>18.350000000000001</v>
      </c>
      <c r="F4240" s="3">
        <v>0.23100000000000001</v>
      </c>
      <c r="G4240">
        <v>13.356</v>
      </c>
      <c r="H4240">
        <v>0.33300000000000002</v>
      </c>
    </row>
    <row r="4241" spans="1:8" x14ac:dyDescent="0.25">
      <c r="A4241" t="s">
        <v>4247</v>
      </c>
      <c r="B4241">
        <v>42152</v>
      </c>
      <c r="C4241">
        <v>7891035116544</v>
      </c>
      <c r="D4241">
        <v>21.5</v>
      </c>
      <c r="E4241">
        <v>15.6</v>
      </c>
      <c r="F4241" s="3">
        <v>0.1996</v>
      </c>
      <c r="G4241">
        <v>11.348800000000001</v>
      </c>
      <c r="H4241">
        <v>3.9670000000000001</v>
      </c>
    </row>
    <row r="4242" spans="1:8" x14ac:dyDescent="0.25">
      <c r="A4242" t="s">
        <v>4248</v>
      </c>
      <c r="B4242">
        <v>19563</v>
      </c>
      <c r="C4242">
        <v>7891035502583</v>
      </c>
      <c r="D4242">
        <v>14.9</v>
      </c>
      <c r="E4242">
        <v>9.5399999999999991</v>
      </c>
      <c r="F4242" s="3">
        <v>0.2616</v>
      </c>
      <c r="G4242">
        <v>6.9423000000000004</v>
      </c>
      <c r="H4242">
        <v>1.4330000000000001</v>
      </c>
    </row>
    <row r="4243" spans="1:8" x14ac:dyDescent="0.25">
      <c r="A4243" t="s">
        <v>4249</v>
      </c>
      <c r="B4243">
        <v>5867</v>
      </c>
      <c r="C4243">
        <v>7896098909997</v>
      </c>
      <c r="D4243">
        <v>6.9</v>
      </c>
      <c r="E4243">
        <v>4.5</v>
      </c>
      <c r="F4243" s="3">
        <v>0.25309999999999999</v>
      </c>
      <c r="G4243">
        <v>3.2734999999999999</v>
      </c>
      <c r="H4243">
        <v>8.4</v>
      </c>
    </row>
    <row r="4244" spans="1:8" x14ac:dyDescent="0.25">
      <c r="A4244" t="s">
        <v>4250</v>
      </c>
      <c r="B4244">
        <v>5869</v>
      </c>
      <c r="C4244">
        <v>7896098909980</v>
      </c>
      <c r="D4244">
        <v>6.9</v>
      </c>
      <c r="E4244">
        <v>4.57</v>
      </c>
      <c r="F4244" s="3">
        <v>0.24640000000000001</v>
      </c>
      <c r="G4244">
        <v>3.3193999999999999</v>
      </c>
      <c r="H4244">
        <v>8.6669999999999998</v>
      </c>
    </row>
    <row r="4245" spans="1:8" x14ac:dyDescent="0.25">
      <c r="A4245" t="s">
        <v>4251</v>
      </c>
      <c r="B4245">
        <v>66117</v>
      </c>
      <c r="C4245">
        <v>7896001000544</v>
      </c>
      <c r="D4245">
        <v>12.9</v>
      </c>
      <c r="E4245">
        <v>7.48</v>
      </c>
      <c r="F4245" s="3">
        <v>0.30120000000000002</v>
      </c>
      <c r="G4245">
        <v>5.4989999999999997</v>
      </c>
      <c r="H4245">
        <v>3.9670000000000001</v>
      </c>
    </row>
    <row r="4246" spans="1:8" x14ac:dyDescent="0.25">
      <c r="A4246" t="s">
        <v>4252</v>
      </c>
      <c r="B4246">
        <v>66116</v>
      </c>
      <c r="C4246">
        <v>7896001000551</v>
      </c>
      <c r="D4246">
        <v>12.9</v>
      </c>
      <c r="E4246">
        <v>7.61</v>
      </c>
      <c r="F4246" s="3">
        <v>0.29859999999999998</v>
      </c>
      <c r="G4246">
        <v>5.5334000000000003</v>
      </c>
      <c r="H4246">
        <v>7.5330000000000004</v>
      </c>
    </row>
    <row r="4247" spans="1:8" x14ac:dyDescent="0.25">
      <c r="A4247" t="s">
        <v>4253</v>
      </c>
      <c r="B4247">
        <v>66115</v>
      </c>
      <c r="C4247">
        <v>7896001000568</v>
      </c>
      <c r="D4247">
        <v>12.9</v>
      </c>
      <c r="E4247">
        <v>7.61</v>
      </c>
      <c r="F4247" s="3">
        <v>0.29849999999999999</v>
      </c>
      <c r="G4247">
        <v>5.5342000000000002</v>
      </c>
      <c r="H4247">
        <v>3.3330000000000002</v>
      </c>
    </row>
    <row r="4248" spans="1:8" x14ac:dyDescent="0.25">
      <c r="A4248" t="s">
        <v>4254</v>
      </c>
      <c r="B4248">
        <v>66122</v>
      </c>
      <c r="C4248">
        <v>7896001000575</v>
      </c>
      <c r="D4248">
        <v>13.9</v>
      </c>
      <c r="E4248">
        <v>8.43</v>
      </c>
      <c r="F4248" s="3">
        <v>0.28570000000000001</v>
      </c>
      <c r="G4248">
        <v>6.1410999999999998</v>
      </c>
      <c r="H4248">
        <v>0.86699999999999999</v>
      </c>
    </row>
    <row r="4249" spans="1:8" x14ac:dyDescent="0.25">
      <c r="A4249" t="s">
        <v>4255</v>
      </c>
      <c r="B4249">
        <v>66120</v>
      </c>
      <c r="C4249">
        <v>7896001000582</v>
      </c>
      <c r="D4249">
        <v>13.9</v>
      </c>
      <c r="E4249">
        <v>8.4700000000000006</v>
      </c>
      <c r="F4249" s="3">
        <v>0.28420000000000001</v>
      </c>
      <c r="G4249">
        <v>6.1619000000000002</v>
      </c>
      <c r="H4249">
        <v>0.96699999999999997</v>
      </c>
    </row>
    <row r="4250" spans="1:8" x14ac:dyDescent="0.25">
      <c r="A4250" t="s">
        <v>4256</v>
      </c>
      <c r="B4250">
        <v>66119</v>
      </c>
      <c r="C4250">
        <v>7896001000599</v>
      </c>
      <c r="D4250">
        <v>13.9</v>
      </c>
      <c r="E4250">
        <v>8.2899999999999991</v>
      </c>
      <c r="F4250" s="3">
        <v>0.29260000000000003</v>
      </c>
      <c r="G4250">
        <v>6.0446</v>
      </c>
      <c r="H4250">
        <v>0.46700000000000003</v>
      </c>
    </row>
    <row r="4251" spans="1:8" x14ac:dyDescent="0.25">
      <c r="A4251" t="s">
        <v>4257</v>
      </c>
      <c r="B4251">
        <v>5873</v>
      </c>
      <c r="C4251">
        <v>7891055126400</v>
      </c>
      <c r="D4251">
        <v>16.899999999999999</v>
      </c>
      <c r="E4251">
        <v>10.34</v>
      </c>
      <c r="F4251" s="3">
        <v>0.28249999999999997</v>
      </c>
      <c r="G4251">
        <v>7.5213000000000001</v>
      </c>
      <c r="H4251">
        <v>0</v>
      </c>
    </row>
    <row r="4252" spans="1:8" x14ac:dyDescent="0.25">
      <c r="A4252" t="s">
        <v>4258</v>
      </c>
      <c r="B4252">
        <v>5876</v>
      </c>
      <c r="C4252">
        <v>7891055126202</v>
      </c>
      <c r="D4252">
        <v>16.899999999999999</v>
      </c>
      <c r="E4252">
        <v>10.57</v>
      </c>
      <c r="F4252" s="3">
        <v>0.27250000000000002</v>
      </c>
      <c r="G4252">
        <v>7.6901000000000002</v>
      </c>
      <c r="H4252">
        <v>6.7000000000000004E-2</v>
      </c>
    </row>
    <row r="4253" spans="1:8" x14ac:dyDescent="0.25">
      <c r="A4253" t="s">
        <v>4259</v>
      </c>
      <c r="B4253">
        <v>3726</v>
      </c>
      <c r="C4253">
        <v>7896205774029</v>
      </c>
      <c r="D4253">
        <v>4.49</v>
      </c>
      <c r="E4253">
        <v>3.27</v>
      </c>
      <c r="F4253" s="3">
        <v>0.24640000000000001</v>
      </c>
      <c r="G4253">
        <v>3.0693000000000001</v>
      </c>
      <c r="H4253">
        <v>8.2330000000000005</v>
      </c>
    </row>
    <row r="4254" spans="1:8" x14ac:dyDescent="0.25">
      <c r="A4254" t="s">
        <v>4260</v>
      </c>
      <c r="B4254">
        <v>53616</v>
      </c>
      <c r="C4254">
        <v>7897942100041</v>
      </c>
      <c r="D4254">
        <v>11.9</v>
      </c>
      <c r="E4254">
        <v>6.9</v>
      </c>
      <c r="F4254" s="3">
        <v>0.39079999999999998</v>
      </c>
      <c r="G4254">
        <v>6.4169999999999998</v>
      </c>
      <c r="H4254">
        <v>1.8</v>
      </c>
    </row>
    <row r="4255" spans="1:8" x14ac:dyDescent="0.25">
      <c r="A4255" t="s">
        <v>4261</v>
      </c>
      <c r="B4255">
        <v>7808</v>
      </c>
      <c r="C4255">
        <v>7897942100034</v>
      </c>
      <c r="D4255">
        <v>10.9</v>
      </c>
      <c r="E4255">
        <v>6.3</v>
      </c>
      <c r="F4255" s="3">
        <v>0.39250000000000002</v>
      </c>
      <c r="G4255">
        <v>5.8590999999999998</v>
      </c>
      <c r="H4255">
        <v>0.83299999999999996</v>
      </c>
    </row>
    <row r="4256" spans="1:8" x14ac:dyDescent="0.25">
      <c r="A4256" t="s">
        <v>4262</v>
      </c>
      <c r="B4256">
        <v>7810</v>
      </c>
      <c r="C4256">
        <v>7897942100027</v>
      </c>
      <c r="D4256">
        <v>10.9</v>
      </c>
      <c r="E4256">
        <v>5.93</v>
      </c>
      <c r="F4256" s="3">
        <v>0.42880000000000001</v>
      </c>
      <c r="G4256">
        <v>5.4626999999999999</v>
      </c>
      <c r="H4256">
        <v>5</v>
      </c>
    </row>
    <row r="4257" spans="1:8" x14ac:dyDescent="0.25">
      <c r="A4257" t="s">
        <v>4263</v>
      </c>
      <c r="B4257">
        <v>7811</v>
      </c>
      <c r="C4257">
        <v>7897942100010</v>
      </c>
      <c r="D4257">
        <v>10.9</v>
      </c>
      <c r="E4257">
        <v>5.8</v>
      </c>
      <c r="F4257" s="3">
        <v>0.43509999999999999</v>
      </c>
      <c r="G4257">
        <v>5.3948999999999998</v>
      </c>
      <c r="H4257">
        <v>7.9</v>
      </c>
    </row>
    <row r="4258" spans="1:8" x14ac:dyDescent="0.25">
      <c r="A4258" t="s">
        <v>4264</v>
      </c>
      <c r="B4258">
        <v>65116</v>
      </c>
      <c r="C4258">
        <v>6929296559044</v>
      </c>
      <c r="D4258">
        <v>22.9</v>
      </c>
      <c r="E4258">
        <v>12.51</v>
      </c>
      <c r="F4258" s="3">
        <v>0.4143</v>
      </c>
      <c r="G4258">
        <v>11.81</v>
      </c>
      <c r="H4258">
        <v>0.83299999999999996</v>
      </c>
    </row>
    <row r="4259" spans="1:8" x14ac:dyDescent="0.25">
      <c r="A4259" t="s">
        <v>4265</v>
      </c>
      <c r="B4259">
        <v>53620</v>
      </c>
      <c r="C4259">
        <v>7897942100065</v>
      </c>
      <c r="D4259">
        <v>9.99</v>
      </c>
      <c r="E4259">
        <v>5.41</v>
      </c>
      <c r="F4259" s="3">
        <v>0.42799999999999999</v>
      </c>
      <c r="G4259">
        <v>5.0145999999999997</v>
      </c>
      <c r="H4259">
        <v>6.133</v>
      </c>
    </row>
    <row r="4260" spans="1:8" x14ac:dyDescent="0.25">
      <c r="A4260" t="s">
        <v>4266</v>
      </c>
      <c r="B4260">
        <v>30042</v>
      </c>
      <c r="C4260">
        <v>8076809542517</v>
      </c>
      <c r="D4260">
        <v>15.9</v>
      </c>
      <c r="E4260">
        <v>11.43</v>
      </c>
      <c r="F4260" s="3">
        <v>0.26129999999999998</v>
      </c>
      <c r="G4260">
        <v>10.632</v>
      </c>
      <c r="H4260">
        <v>1.333</v>
      </c>
    </row>
    <row r="4261" spans="1:8" x14ac:dyDescent="0.25">
      <c r="A4261" t="s">
        <v>4267</v>
      </c>
      <c r="B4261">
        <v>30046</v>
      </c>
      <c r="C4261">
        <v>8076809545440</v>
      </c>
      <c r="D4261">
        <v>24.9</v>
      </c>
      <c r="E4261">
        <v>15.75</v>
      </c>
      <c r="F4261" s="3">
        <v>0.3417</v>
      </c>
      <c r="G4261">
        <v>14.648400000000001</v>
      </c>
      <c r="H4261">
        <v>6.7000000000000004E-2</v>
      </c>
    </row>
    <row r="4262" spans="1:8" x14ac:dyDescent="0.25">
      <c r="A4262" t="s">
        <v>4268</v>
      </c>
      <c r="B4262">
        <v>30030</v>
      </c>
      <c r="C4262">
        <v>8076809519960</v>
      </c>
      <c r="D4262">
        <v>18.899999999999999</v>
      </c>
      <c r="E4262">
        <v>13.5</v>
      </c>
      <c r="F4262" s="3">
        <v>0.24030000000000001</v>
      </c>
      <c r="G4262">
        <v>13.034700000000001</v>
      </c>
      <c r="H4262">
        <v>0.4</v>
      </c>
    </row>
    <row r="4263" spans="1:8" x14ac:dyDescent="0.25">
      <c r="A4263" t="s">
        <v>4269</v>
      </c>
      <c r="B4263">
        <v>69218</v>
      </c>
      <c r="C4263">
        <v>8076809585149</v>
      </c>
      <c r="D4263">
        <v>14.9</v>
      </c>
      <c r="E4263">
        <v>10.220000000000001</v>
      </c>
      <c r="F4263" s="3">
        <v>0.2923</v>
      </c>
      <c r="G4263">
        <v>9.5022000000000002</v>
      </c>
      <c r="H4263">
        <v>3.4670000000000001</v>
      </c>
    </row>
    <row r="4264" spans="1:8" x14ac:dyDescent="0.25">
      <c r="A4264" t="s">
        <v>4270</v>
      </c>
      <c r="B4264">
        <v>30026</v>
      </c>
      <c r="C4264">
        <v>8076809581820</v>
      </c>
      <c r="D4264">
        <v>16.899999999999999</v>
      </c>
      <c r="E4264">
        <v>11.1</v>
      </c>
      <c r="F4264" s="3">
        <v>0.31950000000000001</v>
      </c>
      <c r="G4264">
        <v>10.3169</v>
      </c>
      <c r="H4264">
        <v>0.433</v>
      </c>
    </row>
    <row r="4265" spans="1:8" x14ac:dyDescent="0.25">
      <c r="A4265" t="s">
        <v>4271</v>
      </c>
      <c r="B4265">
        <v>67286</v>
      </c>
      <c r="C4265">
        <v>7898951850309</v>
      </c>
      <c r="D4265">
        <v>6.99</v>
      </c>
      <c r="E4265">
        <v>6.31</v>
      </c>
      <c r="F4265" s="3">
        <v>8.0700000000000008E-2</v>
      </c>
      <c r="G4265">
        <v>5.9370000000000003</v>
      </c>
      <c r="H4265">
        <v>6.4</v>
      </c>
    </row>
    <row r="4266" spans="1:8" x14ac:dyDescent="0.25">
      <c r="A4266" t="s">
        <v>4272</v>
      </c>
      <c r="B4266">
        <v>67285</v>
      </c>
      <c r="C4266">
        <v>7898951850293</v>
      </c>
      <c r="D4266">
        <v>6.99</v>
      </c>
      <c r="E4266">
        <v>6.33</v>
      </c>
      <c r="F4266" s="3">
        <v>8.5500000000000007E-2</v>
      </c>
      <c r="G4266">
        <v>5.9028</v>
      </c>
      <c r="H4266">
        <v>4.4669999999999996</v>
      </c>
    </row>
    <row r="4267" spans="1:8" x14ac:dyDescent="0.25">
      <c r="A4267" t="s">
        <v>4273</v>
      </c>
      <c r="B4267">
        <v>3628</v>
      </c>
      <c r="C4267">
        <v>8076800195057</v>
      </c>
      <c r="D4267">
        <v>14.9</v>
      </c>
      <c r="E4267">
        <v>9.98</v>
      </c>
      <c r="F4267" s="3">
        <v>0.29870000000000002</v>
      </c>
      <c r="G4267">
        <v>9.4064999999999994</v>
      </c>
      <c r="H4267">
        <v>6.9329999999999998</v>
      </c>
    </row>
    <row r="4268" spans="1:8" x14ac:dyDescent="0.25">
      <c r="A4268" t="s">
        <v>4274</v>
      </c>
      <c r="B4268">
        <v>30022</v>
      </c>
      <c r="C4268">
        <v>8076800315097</v>
      </c>
      <c r="D4268">
        <v>14.9</v>
      </c>
      <c r="E4268">
        <v>10.39</v>
      </c>
      <c r="F4268" s="3">
        <v>0.2651</v>
      </c>
      <c r="G4268">
        <v>9.9071999999999996</v>
      </c>
      <c r="H4268">
        <v>2.2000000000000002</v>
      </c>
    </row>
    <row r="4269" spans="1:8" x14ac:dyDescent="0.25">
      <c r="A4269" t="s">
        <v>4275</v>
      </c>
      <c r="B4269">
        <v>30025</v>
      </c>
      <c r="C4269">
        <v>8076804765591</v>
      </c>
      <c r="D4269">
        <v>15.9</v>
      </c>
      <c r="E4269">
        <v>10.52</v>
      </c>
      <c r="F4269" s="3">
        <v>0.31459999999999999</v>
      </c>
      <c r="G4269">
        <v>9.7855000000000008</v>
      </c>
      <c r="H4269">
        <v>3.3000000000000002E-2</v>
      </c>
    </row>
    <row r="4270" spans="1:8" x14ac:dyDescent="0.25">
      <c r="A4270" t="s">
        <v>4276</v>
      </c>
      <c r="B4270">
        <v>32389</v>
      </c>
      <c r="C4270">
        <v>8076809523776</v>
      </c>
      <c r="D4270">
        <v>27.9</v>
      </c>
      <c r="E4270">
        <v>20.97</v>
      </c>
      <c r="F4270" s="3">
        <v>0.21940000000000001</v>
      </c>
      <c r="G4270">
        <v>19.8262</v>
      </c>
      <c r="H4270">
        <v>2.367</v>
      </c>
    </row>
    <row r="4271" spans="1:8" x14ac:dyDescent="0.25">
      <c r="A4271" t="s">
        <v>4277</v>
      </c>
      <c r="B4271">
        <v>60696</v>
      </c>
      <c r="C4271">
        <v>8076809574631</v>
      </c>
      <c r="D4271">
        <v>24.9</v>
      </c>
      <c r="E4271">
        <v>17.809999999999999</v>
      </c>
      <c r="F4271" s="3">
        <v>0.24239999999999998</v>
      </c>
      <c r="G4271">
        <v>17.120999999999999</v>
      </c>
      <c r="H4271">
        <v>0.9</v>
      </c>
    </row>
    <row r="4272" spans="1:8" x14ac:dyDescent="0.25">
      <c r="A4272" t="s">
        <v>4278</v>
      </c>
      <c r="B4272">
        <v>30027</v>
      </c>
      <c r="C4272">
        <v>8076809532440</v>
      </c>
      <c r="D4272">
        <v>15.9</v>
      </c>
      <c r="E4272">
        <v>12.79</v>
      </c>
      <c r="F4272" s="3">
        <v>0.182</v>
      </c>
      <c r="G4272">
        <v>11.8925</v>
      </c>
      <c r="H4272">
        <v>6.7000000000000004E-2</v>
      </c>
    </row>
    <row r="4273" spans="1:8" x14ac:dyDescent="0.25">
      <c r="A4273" t="s">
        <v>4279</v>
      </c>
      <c r="B4273">
        <v>30023</v>
      </c>
      <c r="C4273">
        <v>8076800315264</v>
      </c>
      <c r="D4273">
        <v>15.9</v>
      </c>
      <c r="E4273">
        <v>11.62</v>
      </c>
      <c r="F4273" s="3">
        <v>0.25059999999999999</v>
      </c>
      <c r="G4273">
        <v>10.8027</v>
      </c>
      <c r="H4273">
        <v>0.76700000000000002</v>
      </c>
    </row>
    <row r="4274" spans="1:8" x14ac:dyDescent="0.25">
      <c r="A4274" t="s">
        <v>4280</v>
      </c>
      <c r="B4274">
        <v>30045</v>
      </c>
      <c r="C4274">
        <v>8076809500289</v>
      </c>
      <c r="D4274">
        <v>29.9</v>
      </c>
      <c r="E4274">
        <v>20.92</v>
      </c>
      <c r="F4274" s="3">
        <v>0.3004</v>
      </c>
      <c r="G4274">
        <v>20.9194</v>
      </c>
      <c r="H4274">
        <v>1.3</v>
      </c>
    </row>
    <row r="4275" spans="1:8" x14ac:dyDescent="0.25">
      <c r="A4275" t="s">
        <v>4281</v>
      </c>
      <c r="B4275">
        <v>60718</v>
      </c>
      <c r="C4275">
        <v>8004323413402</v>
      </c>
      <c r="D4275">
        <v>15.9</v>
      </c>
      <c r="E4275">
        <v>10.49</v>
      </c>
      <c r="F4275" s="3">
        <v>0.31640000000000001</v>
      </c>
      <c r="G4275">
        <v>9.7556999999999992</v>
      </c>
      <c r="H4275">
        <v>0.433</v>
      </c>
    </row>
    <row r="4276" spans="1:8" x14ac:dyDescent="0.25">
      <c r="A4276" t="s">
        <v>4282</v>
      </c>
      <c r="B4276">
        <v>60717</v>
      </c>
      <c r="C4276">
        <v>8004323111605</v>
      </c>
      <c r="D4276">
        <v>14.9</v>
      </c>
      <c r="E4276">
        <v>9.48</v>
      </c>
      <c r="F4276" s="3">
        <v>0.33829999999999999</v>
      </c>
      <c r="G4276">
        <v>8.8164999999999996</v>
      </c>
      <c r="H4276">
        <v>2.867</v>
      </c>
    </row>
    <row r="4277" spans="1:8" x14ac:dyDescent="0.25">
      <c r="A4277" t="s">
        <v>4283</v>
      </c>
      <c r="B4277">
        <v>65545</v>
      </c>
      <c r="C4277">
        <v>8004323110158</v>
      </c>
      <c r="D4277">
        <v>11.9</v>
      </c>
      <c r="E4277">
        <v>8.74</v>
      </c>
      <c r="F4277" s="3">
        <v>0.24780000000000002</v>
      </c>
      <c r="G4277">
        <v>8.1181999999999999</v>
      </c>
      <c r="H4277">
        <v>1.9330000000000001</v>
      </c>
    </row>
    <row r="4278" spans="1:8" x14ac:dyDescent="0.25">
      <c r="A4278" t="s">
        <v>4284</v>
      </c>
      <c r="B4278">
        <v>60719</v>
      </c>
      <c r="C4278">
        <v>8004323050867</v>
      </c>
      <c r="D4278">
        <v>19.899999999999999</v>
      </c>
      <c r="E4278">
        <v>14.62</v>
      </c>
      <c r="F4278" s="3">
        <v>0.24670000000000003</v>
      </c>
      <c r="G4278">
        <v>13.597</v>
      </c>
      <c r="H4278">
        <v>0.23300000000000001</v>
      </c>
    </row>
    <row r="4279" spans="1:8" x14ac:dyDescent="0.25">
      <c r="A4279" t="s">
        <v>4285</v>
      </c>
      <c r="B4279">
        <v>13251</v>
      </c>
      <c r="C4279">
        <v>8004323110707</v>
      </c>
      <c r="D4279">
        <v>11.9</v>
      </c>
      <c r="E4279">
        <v>8.68</v>
      </c>
      <c r="F4279" s="3">
        <v>0.25129999999999997</v>
      </c>
      <c r="G4279">
        <v>8.0771999999999995</v>
      </c>
      <c r="H4279">
        <v>1.633</v>
      </c>
    </row>
    <row r="4280" spans="1:8" x14ac:dyDescent="0.25">
      <c r="A4280" t="s">
        <v>4286</v>
      </c>
      <c r="B4280">
        <v>65546</v>
      </c>
      <c r="C4280">
        <v>8004323110349</v>
      </c>
      <c r="D4280">
        <v>11.9</v>
      </c>
      <c r="E4280">
        <v>8.7899999999999991</v>
      </c>
      <c r="F4280" s="3">
        <v>0.2429</v>
      </c>
      <c r="G4280">
        <v>8.1761999999999997</v>
      </c>
      <c r="H4280">
        <v>1.2669999999999999</v>
      </c>
    </row>
    <row r="4281" spans="1:8" x14ac:dyDescent="0.25">
      <c r="A4281" t="s">
        <v>4287</v>
      </c>
      <c r="B4281">
        <v>13250</v>
      </c>
      <c r="C4281">
        <v>8004323130378</v>
      </c>
      <c r="D4281">
        <v>11.9</v>
      </c>
      <c r="E4281">
        <v>8.19</v>
      </c>
      <c r="F4281" s="3">
        <v>0.30010000000000003</v>
      </c>
      <c r="G4281">
        <v>7.4954999999999998</v>
      </c>
      <c r="H4281">
        <v>1</v>
      </c>
    </row>
    <row r="4282" spans="1:8" x14ac:dyDescent="0.25">
      <c r="A4282" t="s">
        <v>4288</v>
      </c>
      <c r="B4282">
        <v>60710</v>
      </c>
      <c r="C4282">
        <v>8004323110318</v>
      </c>
      <c r="D4282">
        <v>11.9</v>
      </c>
      <c r="E4282">
        <v>8.76</v>
      </c>
      <c r="F4282" s="3">
        <v>0.2445</v>
      </c>
      <c r="G4282">
        <v>8.1576000000000004</v>
      </c>
      <c r="H4282">
        <v>1.7669999999999999</v>
      </c>
    </row>
    <row r="4283" spans="1:8" x14ac:dyDescent="0.25">
      <c r="A4283" t="s">
        <v>4289</v>
      </c>
      <c r="B4283">
        <v>8086</v>
      </c>
      <c r="C4283">
        <v>8004323212678</v>
      </c>
      <c r="D4283">
        <v>18.899999999999999</v>
      </c>
      <c r="E4283">
        <v>14.64</v>
      </c>
      <c r="F4283" s="3">
        <v>0.20960000000000001</v>
      </c>
      <c r="G4283">
        <v>13.615399999999999</v>
      </c>
      <c r="H4283">
        <v>1.633</v>
      </c>
    </row>
    <row r="4284" spans="1:8" x14ac:dyDescent="0.25">
      <c r="A4284" t="s">
        <v>4290</v>
      </c>
      <c r="B4284">
        <v>65544</v>
      </c>
      <c r="C4284">
        <v>8004323110141</v>
      </c>
      <c r="D4284">
        <v>11.9</v>
      </c>
      <c r="E4284">
        <v>8.2899999999999991</v>
      </c>
      <c r="F4284" s="3">
        <v>0.28079999999999999</v>
      </c>
      <c r="G4284">
        <v>7.7252999999999998</v>
      </c>
      <c r="H4284">
        <v>1.5</v>
      </c>
    </row>
    <row r="4285" spans="1:8" x14ac:dyDescent="0.25">
      <c r="A4285" t="s">
        <v>4291</v>
      </c>
      <c r="B4285">
        <v>13243</v>
      </c>
      <c r="C4285">
        <v>8004323312675</v>
      </c>
      <c r="D4285">
        <v>20.9</v>
      </c>
      <c r="E4285">
        <v>16.38</v>
      </c>
      <c r="F4285" s="3">
        <v>0.2014</v>
      </c>
      <c r="G4285">
        <v>15.2277</v>
      </c>
      <c r="H4285">
        <v>0.53300000000000003</v>
      </c>
    </row>
    <row r="4286" spans="1:8" x14ac:dyDescent="0.25">
      <c r="A4286" t="s">
        <v>4292</v>
      </c>
      <c r="B4286">
        <v>3660</v>
      </c>
      <c r="C4286">
        <v>8005121000405</v>
      </c>
      <c r="D4286">
        <v>8.99</v>
      </c>
      <c r="E4286">
        <v>7.84</v>
      </c>
      <c r="F4286" s="3">
        <v>0.12480000000000001</v>
      </c>
      <c r="G4286">
        <v>7.2392000000000003</v>
      </c>
      <c r="H4286">
        <v>2.9</v>
      </c>
    </row>
    <row r="4287" spans="1:8" x14ac:dyDescent="0.25">
      <c r="A4287" t="s">
        <v>4293</v>
      </c>
      <c r="B4287">
        <v>3666</v>
      </c>
      <c r="C4287">
        <v>8005121000276</v>
      </c>
      <c r="D4287">
        <v>8.99</v>
      </c>
      <c r="E4287">
        <v>7.48</v>
      </c>
      <c r="F4287" s="3">
        <v>0.2</v>
      </c>
      <c r="G4287">
        <v>6.5628000000000002</v>
      </c>
      <c r="H4287">
        <v>4.2670000000000003</v>
      </c>
    </row>
    <row r="4288" spans="1:8" x14ac:dyDescent="0.25">
      <c r="A4288" t="s">
        <v>4294</v>
      </c>
      <c r="B4288">
        <v>3668</v>
      </c>
      <c r="C4288">
        <v>8005121000177</v>
      </c>
      <c r="D4288">
        <v>8.99</v>
      </c>
      <c r="E4288">
        <v>7.84</v>
      </c>
      <c r="F4288" s="3">
        <v>0.1229</v>
      </c>
      <c r="G4288">
        <v>7.2563000000000004</v>
      </c>
      <c r="H4288">
        <v>1.9</v>
      </c>
    </row>
    <row r="4289" spans="1:8" x14ac:dyDescent="0.25">
      <c r="A4289" t="s">
        <v>4295</v>
      </c>
      <c r="B4289">
        <v>68574</v>
      </c>
      <c r="C4289">
        <v>7896005212844</v>
      </c>
      <c r="D4289">
        <v>4.29</v>
      </c>
      <c r="E4289">
        <v>3.23</v>
      </c>
      <c r="F4289" s="3">
        <v>0.22889999999999999</v>
      </c>
      <c r="G4289">
        <v>3.0078</v>
      </c>
      <c r="H4289">
        <v>2.867</v>
      </c>
    </row>
    <row r="4290" spans="1:8" x14ac:dyDescent="0.25">
      <c r="A4290" t="s">
        <v>4296</v>
      </c>
      <c r="B4290">
        <v>9418</v>
      </c>
      <c r="C4290">
        <v>7896005212745</v>
      </c>
      <c r="D4290">
        <v>8.49</v>
      </c>
      <c r="E4290">
        <v>6.47</v>
      </c>
      <c r="F4290" s="3">
        <v>0.2213</v>
      </c>
      <c r="G4290">
        <v>6.0166000000000004</v>
      </c>
      <c r="H4290">
        <v>3.77</v>
      </c>
    </row>
    <row r="4291" spans="1:8" x14ac:dyDescent="0.25">
      <c r="A4291" t="s">
        <v>4297</v>
      </c>
      <c r="B4291">
        <v>68573</v>
      </c>
      <c r="C4291">
        <v>7896005212806</v>
      </c>
      <c r="D4291">
        <v>4.29</v>
      </c>
      <c r="E4291">
        <v>3.23</v>
      </c>
      <c r="F4291" s="3">
        <v>0.22889999999999999</v>
      </c>
      <c r="G4291">
        <v>3.0078</v>
      </c>
      <c r="H4291">
        <v>2.1669999999999998</v>
      </c>
    </row>
    <row r="4292" spans="1:8" x14ac:dyDescent="0.25">
      <c r="A4292" t="s">
        <v>4298</v>
      </c>
      <c r="B4292">
        <v>11651</v>
      </c>
      <c r="C4292">
        <v>7896005212660</v>
      </c>
      <c r="D4292">
        <v>8.9</v>
      </c>
      <c r="E4292">
        <v>6.47</v>
      </c>
      <c r="F4292" s="3">
        <v>0.254</v>
      </c>
      <c r="G4292">
        <v>6.0163000000000002</v>
      </c>
      <c r="H4292">
        <v>0.2</v>
      </c>
    </row>
    <row r="4293" spans="1:8" x14ac:dyDescent="0.25">
      <c r="A4293" t="s">
        <v>4299</v>
      </c>
      <c r="B4293">
        <v>68572</v>
      </c>
      <c r="C4293">
        <v>7896005212653</v>
      </c>
      <c r="D4293">
        <v>8.49</v>
      </c>
      <c r="E4293">
        <v>5.94</v>
      </c>
      <c r="F4293" s="3">
        <v>0.27899999999999997</v>
      </c>
      <c r="G4293">
        <v>5.5266999999999999</v>
      </c>
      <c r="H4293">
        <v>0.13300000000000001</v>
      </c>
    </row>
    <row r="4294" spans="1:8" x14ac:dyDescent="0.25">
      <c r="A4294" t="s">
        <v>4300</v>
      </c>
      <c r="B4294">
        <v>12165</v>
      </c>
      <c r="C4294">
        <v>8076809521581</v>
      </c>
      <c r="D4294">
        <v>14.9</v>
      </c>
      <c r="E4294">
        <v>11.54</v>
      </c>
      <c r="F4294" s="3">
        <v>0.2059</v>
      </c>
      <c r="G4294">
        <v>10.789199999999999</v>
      </c>
      <c r="H4294">
        <v>3.4329999999999998</v>
      </c>
    </row>
    <row r="4295" spans="1:8" x14ac:dyDescent="0.25">
      <c r="A4295" t="s">
        <v>4301</v>
      </c>
      <c r="B4295">
        <v>61976</v>
      </c>
      <c r="C4295">
        <v>8033406264884</v>
      </c>
      <c r="D4295">
        <v>29.9</v>
      </c>
      <c r="E4295">
        <v>25.84</v>
      </c>
      <c r="F4295" s="3">
        <v>0.12640000000000001</v>
      </c>
      <c r="G4295">
        <v>24.028300000000002</v>
      </c>
      <c r="H4295">
        <v>0.33300000000000002</v>
      </c>
    </row>
    <row r="4296" spans="1:8" x14ac:dyDescent="0.25">
      <c r="A4296" t="s">
        <v>4302</v>
      </c>
      <c r="B4296">
        <v>61979</v>
      </c>
      <c r="C4296">
        <v>8033406265812</v>
      </c>
      <c r="D4296">
        <v>29.9</v>
      </c>
      <c r="E4296">
        <v>21.61</v>
      </c>
      <c r="F4296" s="3">
        <v>0.25800000000000001</v>
      </c>
      <c r="G4296">
        <v>20.093299999999999</v>
      </c>
      <c r="H4296">
        <v>6.7000000000000004E-2</v>
      </c>
    </row>
    <row r="4297" spans="1:8" x14ac:dyDescent="0.25">
      <c r="A4297" t="s">
        <v>4303</v>
      </c>
      <c r="B4297">
        <v>61765</v>
      </c>
      <c r="C4297">
        <v>8076809547956</v>
      </c>
      <c r="D4297">
        <v>15.9</v>
      </c>
      <c r="E4297">
        <v>11.37</v>
      </c>
      <c r="F4297" s="3">
        <v>0.25569999999999998</v>
      </c>
      <c r="G4297">
        <v>10.722099999999999</v>
      </c>
      <c r="H4297">
        <v>1.0669999999999999</v>
      </c>
    </row>
    <row r="4298" spans="1:8" x14ac:dyDescent="0.25">
      <c r="A4298" t="s">
        <v>4304</v>
      </c>
      <c r="B4298">
        <v>3361</v>
      </c>
      <c r="C4298">
        <v>7896022201302</v>
      </c>
      <c r="D4298">
        <v>10.49</v>
      </c>
      <c r="E4298">
        <v>7.95</v>
      </c>
      <c r="F4298" s="3">
        <v>0.2235</v>
      </c>
      <c r="G4298">
        <v>7.4107000000000003</v>
      </c>
      <c r="H4298">
        <v>2.1669999999999998</v>
      </c>
    </row>
    <row r="4299" spans="1:8" x14ac:dyDescent="0.25">
      <c r="A4299" t="s">
        <v>4305</v>
      </c>
      <c r="B4299">
        <v>67842</v>
      </c>
      <c r="C4299">
        <v>8005709280380</v>
      </c>
      <c r="D4299">
        <v>13.9</v>
      </c>
      <c r="E4299">
        <v>8.82</v>
      </c>
      <c r="F4299" s="3">
        <v>0.34009999999999996</v>
      </c>
      <c r="G4299">
        <v>8.1998999999999995</v>
      </c>
      <c r="H4299">
        <v>1.8</v>
      </c>
    </row>
    <row r="4300" spans="1:8" x14ac:dyDescent="0.25">
      <c r="A4300" t="s">
        <v>4306</v>
      </c>
      <c r="B4300">
        <v>67840</v>
      </c>
      <c r="C4300">
        <v>8005709280267</v>
      </c>
      <c r="D4300">
        <v>13.9</v>
      </c>
      <c r="E4300">
        <v>8.82</v>
      </c>
      <c r="F4300" s="3">
        <v>0.34009999999999996</v>
      </c>
      <c r="G4300">
        <v>8.1999999999999993</v>
      </c>
      <c r="H4300">
        <v>1.5669999999999999</v>
      </c>
    </row>
    <row r="4301" spans="1:8" x14ac:dyDescent="0.25">
      <c r="A4301" t="s">
        <v>4307</v>
      </c>
      <c r="B4301">
        <v>67837</v>
      </c>
      <c r="C4301">
        <v>8005709204614</v>
      </c>
      <c r="D4301">
        <v>13.9</v>
      </c>
      <c r="E4301">
        <v>8.82</v>
      </c>
      <c r="F4301" s="3">
        <v>0.34009999999999996</v>
      </c>
      <c r="G4301">
        <v>8.1999999999999993</v>
      </c>
      <c r="H4301">
        <v>0.86699999999999999</v>
      </c>
    </row>
    <row r="4302" spans="1:8" x14ac:dyDescent="0.25">
      <c r="A4302" t="s">
        <v>4308</v>
      </c>
      <c r="B4302">
        <v>66495</v>
      </c>
      <c r="C4302">
        <v>8005709200128</v>
      </c>
      <c r="D4302">
        <v>11.9</v>
      </c>
      <c r="E4302">
        <v>7.34</v>
      </c>
      <c r="F4302" s="3">
        <v>0.30599999999999999</v>
      </c>
      <c r="G4302">
        <v>7.4261999999999997</v>
      </c>
      <c r="H4302">
        <v>7.9</v>
      </c>
    </row>
    <row r="4303" spans="1:8" x14ac:dyDescent="0.25">
      <c r="A4303" t="s">
        <v>4309</v>
      </c>
      <c r="B4303">
        <v>66494</v>
      </c>
      <c r="C4303">
        <v>8005709201101</v>
      </c>
      <c r="D4303">
        <v>13.9</v>
      </c>
      <c r="E4303">
        <v>8.56</v>
      </c>
      <c r="F4303" s="3">
        <v>0.35810000000000003</v>
      </c>
      <c r="G4303">
        <v>7.9499000000000004</v>
      </c>
      <c r="H4303">
        <v>6.4329999999999998</v>
      </c>
    </row>
    <row r="4304" spans="1:8" x14ac:dyDescent="0.25">
      <c r="A4304" t="s">
        <v>4310</v>
      </c>
      <c r="B4304">
        <v>66486</v>
      </c>
      <c r="C4304">
        <v>8005709204027</v>
      </c>
      <c r="D4304">
        <v>11.9</v>
      </c>
      <c r="E4304">
        <v>7.41</v>
      </c>
      <c r="F4304" s="3">
        <v>0.31940000000000002</v>
      </c>
      <c r="G4304">
        <v>7.2664999999999997</v>
      </c>
      <c r="H4304">
        <v>12.532999999999999</v>
      </c>
    </row>
    <row r="4305" spans="1:8" x14ac:dyDescent="0.25">
      <c r="A4305" t="s">
        <v>4311</v>
      </c>
      <c r="B4305">
        <v>66493</v>
      </c>
      <c r="C4305">
        <v>8005709204959</v>
      </c>
      <c r="D4305">
        <v>13.9</v>
      </c>
      <c r="E4305">
        <v>8.31</v>
      </c>
      <c r="F4305" s="3">
        <v>0.36229999999999996</v>
      </c>
      <c r="G4305">
        <v>7.8913000000000002</v>
      </c>
      <c r="H4305">
        <v>6.2329999999999997</v>
      </c>
    </row>
    <row r="4306" spans="1:8" x14ac:dyDescent="0.25">
      <c r="A4306" t="s">
        <v>4312</v>
      </c>
      <c r="B4306">
        <v>66492</v>
      </c>
      <c r="C4306">
        <v>8005709205048</v>
      </c>
      <c r="D4306">
        <v>13.9</v>
      </c>
      <c r="E4306">
        <v>12.56</v>
      </c>
      <c r="F4306" s="3">
        <v>8.9700000000000002E-2</v>
      </c>
      <c r="G4306">
        <v>11.68</v>
      </c>
      <c r="H4306">
        <v>0</v>
      </c>
    </row>
    <row r="4307" spans="1:8" x14ac:dyDescent="0.25">
      <c r="A4307" t="s">
        <v>4313</v>
      </c>
      <c r="B4307">
        <v>67836</v>
      </c>
      <c r="C4307">
        <v>8005709201156</v>
      </c>
      <c r="D4307">
        <v>13.9</v>
      </c>
      <c r="E4307">
        <v>8.82</v>
      </c>
      <c r="F4307" s="3">
        <v>0.34009999999999996</v>
      </c>
      <c r="G4307">
        <v>8.1999999999999993</v>
      </c>
      <c r="H4307">
        <v>0.6</v>
      </c>
    </row>
    <row r="4308" spans="1:8" x14ac:dyDescent="0.25">
      <c r="A4308" t="s">
        <v>4314</v>
      </c>
      <c r="B4308">
        <v>66491</v>
      </c>
      <c r="C4308">
        <v>8005709201279</v>
      </c>
      <c r="D4308">
        <v>19.899999999999999</v>
      </c>
      <c r="E4308">
        <v>10.26</v>
      </c>
      <c r="F4308" s="3">
        <v>0.44679999999999997</v>
      </c>
      <c r="G4308">
        <v>9.6158000000000001</v>
      </c>
      <c r="H4308">
        <v>3.2669999999999999</v>
      </c>
    </row>
    <row r="4309" spans="1:8" x14ac:dyDescent="0.25">
      <c r="A4309" t="s">
        <v>4315</v>
      </c>
      <c r="B4309">
        <v>66490</v>
      </c>
      <c r="C4309">
        <v>8005709204812</v>
      </c>
      <c r="D4309">
        <v>13.9</v>
      </c>
      <c r="E4309">
        <v>8.64</v>
      </c>
      <c r="F4309" s="3">
        <v>0.35590000000000005</v>
      </c>
      <c r="G4309">
        <v>7.9802999999999997</v>
      </c>
      <c r="H4309">
        <v>5.4669999999999996</v>
      </c>
    </row>
    <row r="4310" spans="1:8" x14ac:dyDescent="0.25">
      <c r="A4310" t="s">
        <v>4316</v>
      </c>
      <c r="B4310">
        <v>66489</v>
      </c>
      <c r="C4310">
        <v>8005709204805</v>
      </c>
      <c r="D4310">
        <v>13.9</v>
      </c>
      <c r="E4310">
        <v>8.57</v>
      </c>
      <c r="F4310" s="3">
        <v>0.3569</v>
      </c>
      <c r="G4310">
        <v>7.9657999999999998</v>
      </c>
      <c r="H4310">
        <v>3.5329999999999999</v>
      </c>
    </row>
    <row r="4311" spans="1:8" x14ac:dyDescent="0.25">
      <c r="A4311" t="s">
        <v>4317</v>
      </c>
      <c r="B4311">
        <v>66487</v>
      </c>
      <c r="C4311">
        <v>8005709204041</v>
      </c>
      <c r="D4311">
        <v>11.9</v>
      </c>
      <c r="E4311">
        <v>7.32</v>
      </c>
      <c r="F4311" s="3">
        <v>0.2984</v>
      </c>
      <c r="G4311">
        <v>7.5156000000000001</v>
      </c>
      <c r="H4311">
        <v>9.1329999999999991</v>
      </c>
    </row>
    <row r="4312" spans="1:8" x14ac:dyDescent="0.25">
      <c r="A4312" t="s">
        <v>4318</v>
      </c>
      <c r="B4312">
        <v>67843</v>
      </c>
      <c r="C4312">
        <v>8005709204836</v>
      </c>
      <c r="D4312">
        <v>13.9</v>
      </c>
      <c r="E4312">
        <v>8.82</v>
      </c>
      <c r="F4312" s="3">
        <v>0.34009999999999996</v>
      </c>
      <c r="G4312">
        <v>8.1999999999999993</v>
      </c>
      <c r="H4312">
        <v>2.7669999999999999</v>
      </c>
    </row>
    <row r="4313" spans="1:8" x14ac:dyDescent="0.25">
      <c r="A4313" t="s">
        <v>4319</v>
      </c>
      <c r="B4313">
        <v>67841</v>
      </c>
      <c r="C4313">
        <v>8005709200401</v>
      </c>
      <c r="D4313">
        <v>13.9</v>
      </c>
      <c r="E4313">
        <v>4.41</v>
      </c>
      <c r="F4313" s="3">
        <v>0.63490000000000002</v>
      </c>
      <c r="G4313">
        <v>4.1021000000000001</v>
      </c>
      <c r="H4313">
        <v>0.5</v>
      </c>
    </row>
    <row r="4314" spans="1:8" x14ac:dyDescent="0.25">
      <c r="A4314" t="s">
        <v>4320</v>
      </c>
      <c r="B4314">
        <v>3627</v>
      </c>
      <c r="C4314">
        <v>8076800195019</v>
      </c>
      <c r="D4314">
        <v>14.9</v>
      </c>
      <c r="E4314">
        <v>10.01</v>
      </c>
      <c r="F4314" s="3">
        <v>0.29670000000000002</v>
      </c>
      <c r="G4314">
        <v>9.4356000000000009</v>
      </c>
      <c r="H4314">
        <v>6.0670000000000002</v>
      </c>
    </row>
    <row r="4315" spans="1:8" x14ac:dyDescent="0.25">
      <c r="A4315" t="s">
        <v>4321</v>
      </c>
      <c r="B4315">
        <v>3630</v>
      </c>
      <c r="C4315">
        <v>8076809583367</v>
      </c>
      <c r="D4315">
        <v>15.9</v>
      </c>
      <c r="E4315">
        <v>11.43</v>
      </c>
      <c r="F4315" s="3">
        <v>0.25609999999999999</v>
      </c>
      <c r="G4315">
        <v>10.7158</v>
      </c>
      <c r="H4315">
        <v>4.4329999999999998</v>
      </c>
    </row>
    <row r="4316" spans="1:8" x14ac:dyDescent="0.25">
      <c r="A4316" t="s">
        <v>4322</v>
      </c>
      <c r="B4316">
        <v>3634</v>
      </c>
      <c r="C4316">
        <v>8076802085981</v>
      </c>
      <c r="D4316">
        <v>15.9</v>
      </c>
      <c r="E4316">
        <v>11.31</v>
      </c>
      <c r="F4316" s="3">
        <v>0.2636</v>
      </c>
      <c r="G4316">
        <v>10.5954</v>
      </c>
      <c r="H4316">
        <v>4.4669999999999996</v>
      </c>
    </row>
    <row r="4317" spans="1:8" x14ac:dyDescent="0.25">
      <c r="A4317" t="s">
        <v>4323</v>
      </c>
      <c r="B4317">
        <v>3625</v>
      </c>
      <c r="C4317">
        <v>8076800195132</v>
      </c>
      <c r="D4317">
        <v>14.9</v>
      </c>
      <c r="E4317">
        <v>9.99</v>
      </c>
      <c r="F4317" s="3">
        <v>0.30320000000000003</v>
      </c>
      <c r="G4317">
        <v>9.3398000000000003</v>
      </c>
      <c r="H4317">
        <v>3.5670000000000002</v>
      </c>
    </row>
    <row r="4318" spans="1:8" x14ac:dyDescent="0.25">
      <c r="A4318" t="s">
        <v>4324</v>
      </c>
      <c r="B4318">
        <v>12162</v>
      </c>
      <c r="C4318">
        <v>8076809501415</v>
      </c>
      <c r="D4318">
        <v>19.899999999999999</v>
      </c>
      <c r="E4318">
        <v>13.61</v>
      </c>
      <c r="F4318" s="3">
        <v>0.27179999999999999</v>
      </c>
      <c r="G4318">
        <v>13.098100000000001</v>
      </c>
      <c r="H4318">
        <v>0.3</v>
      </c>
    </row>
    <row r="4319" spans="1:8" x14ac:dyDescent="0.25">
      <c r="A4319" t="s">
        <v>4325</v>
      </c>
      <c r="B4319">
        <v>12163</v>
      </c>
      <c r="C4319">
        <v>8076809521567</v>
      </c>
      <c r="D4319">
        <v>15.9</v>
      </c>
      <c r="E4319">
        <v>11.56</v>
      </c>
      <c r="F4319" s="3">
        <v>0.251</v>
      </c>
      <c r="G4319">
        <v>10.7966</v>
      </c>
      <c r="H4319">
        <v>1.8</v>
      </c>
    </row>
    <row r="4320" spans="1:8" x14ac:dyDescent="0.25">
      <c r="A4320" t="s">
        <v>4326</v>
      </c>
      <c r="B4320">
        <v>3637</v>
      </c>
      <c r="C4320">
        <v>8076802085738</v>
      </c>
      <c r="D4320">
        <v>15.9</v>
      </c>
      <c r="E4320">
        <v>11.46</v>
      </c>
      <c r="F4320" s="3">
        <v>0.25440000000000002</v>
      </c>
      <c r="G4320">
        <v>10.7422</v>
      </c>
      <c r="H4320">
        <v>3.7</v>
      </c>
    </row>
    <row r="4321" spans="1:8" x14ac:dyDescent="0.25">
      <c r="A4321" t="s">
        <v>4327</v>
      </c>
      <c r="B4321">
        <v>3640</v>
      </c>
      <c r="C4321">
        <v>8076802085899</v>
      </c>
      <c r="D4321">
        <v>15.9</v>
      </c>
      <c r="E4321">
        <v>11.42</v>
      </c>
      <c r="F4321" s="3">
        <v>0.25989999999999996</v>
      </c>
      <c r="G4321">
        <v>10.655200000000001</v>
      </c>
      <c r="H4321">
        <v>2.5329999999999999</v>
      </c>
    </row>
    <row r="4322" spans="1:8" x14ac:dyDescent="0.25">
      <c r="A4322" t="s">
        <v>4328</v>
      </c>
      <c r="B4322">
        <v>3641</v>
      </c>
      <c r="C4322">
        <v>8076800195033</v>
      </c>
      <c r="D4322">
        <v>14.9</v>
      </c>
      <c r="E4322">
        <v>10.210000000000001</v>
      </c>
      <c r="F4322" s="3">
        <v>0.29239999999999999</v>
      </c>
      <c r="G4322">
        <v>9.5009999999999994</v>
      </c>
      <c r="H4322">
        <v>4.7</v>
      </c>
    </row>
    <row r="4323" spans="1:8" x14ac:dyDescent="0.25">
      <c r="A4323" t="s">
        <v>4329</v>
      </c>
      <c r="B4323">
        <v>3642</v>
      </c>
      <c r="C4323">
        <v>8076808150072</v>
      </c>
      <c r="D4323">
        <v>14.9</v>
      </c>
      <c r="E4323">
        <v>10.130000000000001</v>
      </c>
      <c r="F4323" s="3">
        <v>0.29880000000000001</v>
      </c>
      <c r="G4323">
        <v>9.4055</v>
      </c>
      <c r="H4323">
        <v>4.4329999999999998</v>
      </c>
    </row>
    <row r="4324" spans="1:8" x14ac:dyDescent="0.25">
      <c r="A4324" t="s">
        <v>4330</v>
      </c>
      <c r="B4324">
        <v>8076</v>
      </c>
      <c r="C4324">
        <v>8004323212654</v>
      </c>
      <c r="D4324">
        <v>18.899999999999999</v>
      </c>
      <c r="E4324">
        <v>14.56</v>
      </c>
      <c r="F4324" s="3">
        <v>0.21</v>
      </c>
      <c r="G4324">
        <v>13.607200000000001</v>
      </c>
      <c r="H4324">
        <v>0.86699999999999999</v>
      </c>
    </row>
    <row r="4325" spans="1:8" x14ac:dyDescent="0.25">
      <c r="A4325" t="s">
        <v>4331</v>
      </c>
      <c r="B4325">
        <v>8078</v>
      </c>
      <c r="C4325">
        <v>8004323212685</v>
      </c>
      <c r="D4325">
        <v>18.899999999999999</v>
      </c>
      <c r="E4325">
        <v>14.57</v>
      </c>
      <c r="F4325" s="3">
        <v>0.21190000000000001</v>
      </c>
      <c r="G4325">
        <v>13.572100000000001</v>
      </c>
      <c r="H4325">
        <v>0.46700000000000003</v>
      </c>
    </row>
    <row r="4326" spans="1:8" x14ac:dyDescent="0.25">
      <c r="A4326" t="s">
        <v>4332</v>
      </c>
      <c r="B4326">
        <v>8081</v>
      </c>
      <c r="C4326">
        <v>8004323212708</v>
      </c>
      <c r="D4326">
        <v>18.899999999999999</v>
      </c>
      <c r="E4326">
        <v>14.6</v>
      </c>
      <c r="F4326" s="3">
        <v>0.21079999999999999</v>
      </c>
      <c r="G4326">
        <v>13.5929</v>
      </c>
      <c r="H4326">
        <v>1.4670000000000001</v>
      </c>
    </row>
    <row r="4327" spans="1:8" x14ac:dyDescent="0.25">
      <c r="A4327" t="s">
        <v>4333</v>
      </c>
      <c r="B4327">
        <v>8751</v>
      </c>
      <c r="C4327">
        <v>8005121000061</v>
      </c>
      <c r="D4327">
        <v>8.99</v>
      </c>
      <c r="E4327">
        <v>6.91</v>
      </c>
      <c r="F4327" s="3">
        <v>0.24329999999999999</v>
      </c>
      <c r="G4327">
        <v>6.1730999999999998</v>
      </c>
      <c r="H4327">
        <v>2.2669999999999999</v>
      </c>
    </row>
    <row r="4328" spans="1:8" x14ac:dyDescent="0.25">
      <c r="A4328" t="s">
        <v>4334</v>
      </c>
      <c r="B4328">
        <v>3671</v>
      </c>
      <c r="C4328">
        <v>8005121000085</v>
      </c>
      <c r="D4328">
        <v>8.99</v>
      </c>
      <c r="E4328">
        <v>7.69</v>
      </c>
      <c r="F4328" s="3">
        <v>0.14499999999999999</v>
      </c>
      <c r="G4328">
        <v>7.0568</v>
      </c>
      <c r="H4328">
        <v>4.9669999999999996</v>
      </c>
    </row>
    <row r="4329" spans="1:8" x14ac:dyDescent="0.25">
      <c r="A4329" t="s">
        <v>4335</v>
      </c>
      <c r="B4329">
        <v>65733</v>
      </c>
      <c r="C4329">
        <v>7896005224229</v>
      </c>
      <c r="D4329">
        <v>8.49</v>
      </c>
      <c r="E4329">
        <v>6.61</v>
      </c>
      <c r="F4329" s="3">
        <v>0.17760000000000001</v>
      </c>
      <c r="G4329">
        <v>6.3878000000000004</v>
      </c>
      <c r="H4329">
        <v>1.833</v>
      </c>
    </row>
    <row r="4330" spans="1:8" x14ac:dyDescent="0.25">
      <c r="A4330" t="s">
        <v>4336</v>
      </c>
      <c r="B4330">
        <v>9130</v>
      </c>
      <c r="C4330">
        <v>7897721411498</v>
      </c>
      <c r="D4330">
        <v>8.49</v>
      </c>
      <c r="E4330">
        <v>6.04</v>
      </c>
      <c r="F4330" s="3">
        <v>0.26850000000000002</v>
      </c>
      <c r="G4330">
        <v>5.6158999999999999</v>
      </c>
      <c r="H4330">
        <v>3.3330000000000002</v>
      </c>
    </row>
    <row r="4331" spans="1:8" x14ac:dyDescent="0.25">
      <c r="A4331" t="s">
        <v>4337</v>
      </c>
      <c r="B4331">
        <v>9133</v>
      </c>
      <c r="C4331">
        <v>7897721411276</v>
      </c>
      <c r="D4331">
        <v>8.49</v>
      </c>
      <c r="E4331">
        <v>6.05</v>
      </c>
      <c r="F4331" s="3">
        <v>0.26729999999999998</v>
      </c>
      <c r="G4331">
        <v>5.6265999999999998</v>
      </c>
      <c r="H4331">
        <v>1.133</v>
      </c>
    </row>
    <row r="4332" spans="1:8" x14ac:dyDescent="0.25">
      <c r="A4332" t="s">
        <v>4338</v>
      </c>
      <c r="B4332">
        <v>9132</v>
      </c>
      <c r="C4332">
        <v>7897721411887</v>
      </c>
      <c r="D4332">
        <v>8.49</v>
      </c>
      <c r="E4332">
        <v>5.91</v>
      </c>
      <c r="F4332" s="3">
        <v>0.2797</v>
      </c>
      <c r="G4332">
        <v>5.5206999999999997</v>
      </c>
      <c r="H4332">
        <v>3.5329999999999999</v>
      </c>
    </row>
    <row r="4333" spans="1:8" x14ac:dyDescent="0.25">
      <c r="A4333" t="s">
        <v>4339</v>
      </c>
      <c r="B4333">
        <v>65734</v>
      </c>
      <c r="C4333">
        <v>7896005224250</v>
      </c>
      <c r="D4333">
        <v>8.49</v>
      </c>
      <c r="E4333">
        <v>7.33</v>
      </c>
      <c r="F4333" s="3">
        <v>0.12960000000000002</v>
      </c>
      <c r="G4333">
        <v>6.7952000000000004</v>
      </c>
      <c r="H4333">
        <v>1.4</v>
      </c>
    </row>
    <row r="4334" spans="1:8" x14ac:dyDescent="0.25">
      <c r="A4334" t="s">
        <v>4340</v>
      </c>
      <c r="B4334">
        <v>9411</v>
      </c>
      <c r="C4334">
        <v>7897721411283</v>
      </c>
      <c r="D4334">
        <v>8.49</v>
      </c>
      <c r="E4334">
        <v>7.06</v>
      </c>
      <c r="F4334" s="3">
        <v>0.14580000000000001</v>
      </c>
      <c r="G4334">
        <v>6.6581999999999999</v>
      </c>
      <c r="H4334">
        <v>1.867</v>
      </c>
    </row>
    <row r="4335" spans="1:8" x14ac:dyDescent="0.25">
      <c r="A4335" t="s">
        <v>4341</v>
      </c>
      <c r="B4335">
        <v>9063</v>
      </c>
      <c r="C4335">
        <v>7896005277195</v>
      </c>
      <c r="D4335">
        <v>8.49</v>
      </c>
      <c r="E4335">
        <v>5.85</v>
      </c>
      <c r="F4335" s="3">
        <v>0.29239999999999999</v>
      </c>
      <c r="G4335">
        <v>5.4131</v>
      </c>
      <c r="H4335">
        <v>2.1669999999999998</v>
      </c>
    </row>
    <row r="4336" spans="1:8" x14ac:dyDescent="0.25">
      <c r="A4336" t="s">
        <v>4342</v>
      </c>
      <c r="B4336">
        <v>65731</v>
      </c>
      <c r="C4336">
        <v>7896005224243</v>
      </c>
      <c r="D4336">
        <v>8.49</v>
      </c>
      <c r="E4336">
        <v>6.8</v>
      </c>
      <c r="F4336" s="3">
        <v>0.18539999999999998</v>
      </c>
      <c r="G4336">
        <v>6.3220999999999998</v>
      </c>
      <c r="H4336">
        <v>1.133</v>
      </c>
    </row>
    <row r="4337" spans="1:8" x14ac:dyDescent="0.25">
      <c r="A4337" t="s">
        <v>4343</v>
      </c>
      <c r="B4337">
        <v>13847</v>
      </c>
      <c r="C4337">
        <v>7897721411252</v>
      </c>
      <c r="D4337">
        <v>8.49</v>
      </c>
      <c r="E4337">
        <v>5.94</v>
      </c>
      <c r="F4337" s="3">
        <v>0.27989999999999998</v>
      </c>
      <c r="G4337">
        <v>5.5198</v>
      </c>
      <c r="H4337">
        <v>3.9</v>
      </c>
    </row>
    <row r="4338" spans="1:8" x14ac:dyDescent="0.25">
      <c r="A4338" t="s">
        <v>4344</v>
      </c>
      <c r="B4338">
        <v>65735</v>
      </c>
      <c r="C4338">
        <v>7896005224281</v>
      </c>
      <c r="D4338">
        <v>10.9</v>
      </c>
      <c r="E4338">
        <v>7.23</v>
      </c>
      <c r="F4338" s="3">
        <v>0.32030000000000003</v>
      </c>
      <c r="G4338">
        <v>6.6460999999999997</v>
      </c>
      <c r="H4338">
        <v>1.167</v>
      </c>
    </row>
    <row r="4339" spans="1:8" x14ac:dyDescent="0.25">
      <c r="A4339" t="s">
        <v>4345</v>
      </c>
      <c r="B4339">
        <v>3378</v>
      </c>
      <c r="C4339">
        <v>7896022202620</v>
      </c>
      <c r="D4339">
        <v>8.49</v>
      </c>
      <c r="E4339">
        <v>6.59</v>
      </c>
      <c r="F4339" s="3">
        <v>0.20809999999999998</v>
      </c>
      <c r="G4339">
        <v>6.1289999999999996</v>
      </c>
      <c r="H4339">
        <v>2.2330000000000001</v>
      </c>
    </row>
    <row r="4340" spans="1:8" x14ac:dyDescent="0.25">
      <c r="A4340" t="s">
        <v>4346</v>
      </c>
      <c r="B4340">
        <v>3373</v>
      </c>
      <c r="C4340">
        <v>7896022200046</v>
      </c>
      <c r="D4340">
        <v>8.49</v>
      </c>
      <c r="E4340">
        <v>6.34</v>
      </c>
      <c r="F4340" s="3">
        <v>0.22699999999999998</v>
      </c>
      <c r="G4340">
        <v>5.9683000000000002</v>
      </c>
      <c r="H4340">
        <v>2.5329999999999999</v>
      </c>
    </row>
    <row r="4341" spans="1:8" x14ac:dyDescent="0.25">
      <c r="A4341" t="s">
        <v>4347</v>
      </c>
      <c r="B4341">
        <v>3416</v>
      </c>
      <c r="C4341">
        <v>7896022202606</v>
      </c>
      <c r="D4341">
        <v>8.99</v>
      </c>
      <c r="E4341">
        <v>6.59</v>
      </c>
      <c r="F4341" s="3">
        <v>0.24840000000000001</v>
      </c>
      <c r="G4341">
        <v>6.1276999999999999</v>
      </c>
      <c r="H4341">
        <v>3.9329999999999998</v>
      </c>
    </row>
    <row r="4342" spans="1:8" x14ac:dyDescent="0.25">
      <c r="A4342" t="s">
        <v>4348</v>
      </c>
      <c r="B4342">
        <v>3431</v>
      </c>
      <c r="C4342">
        <v>7896022200077</v>
      </c>
      <c r="D4342">
        <v>8.99</v>
      </c>
      <c r="E4342">
        <v>6.59</v>
      </c>
      <c r="F4342" s="3">
        <v>0.24829999999999999</v>
      </c>
      <c r="G4342">
        <v>6.1287000000000003</v>
      </c>
      <c r="H4342">
        <v>0.6</v>
      </c>
    </row>
    <row r="4343" spans="1:8" x14ac:dyDescent="0.25">
      <c r="A4343" t="s">
        <v>4349</v>
      </c>
      <c r="B4343">
        <v>3393</v>
      </c>
      <c r="C4343">
        <v>7896022200060</v>
      </c>
      <c r="D4343">
        <v>8.99</v>
      </c>
      <c r="E4343">
        <v>6.59</v>
      </c>
      <c r="F4343" s="3">
        <v>0.24829999999999999</v>
      </c>
      <c r="G4343">
        <v>6.1284000000000001</v>
      </c>
      <c r="H4343">
        <v>3.4329999999999998</v>
      </c>
    </row>
    <row r="4344" spans="1:8" x14ac:dyDescent="0.25">
      <c r="A4344" t="s">
        <v>4350</v>
      </c>
      <c r="B4344">
        <v>68073</v>
      </c>
      <c r="C4344">
        <v>4002861774010</v>
      </c>
      <c r="D4344">
        <v>44.9</v>
      </c>
      <c r="E4344">
        <v>35.9</v>
      </c>
      <c r="F4344" s="3">
        <v>0.18640000000000001</v>
      </c>
      <c r="G4344">
        <v>33.389400000000002</v>
      </c>
      <c r="H4344">
        <v>3.3000000000000002E-2</v>
      </c>
    </row>
    <row r="4345" spans="1:8" x14ac:dyDescent="0.25">
      <c r="A4345" t="s">
        <v>4351</v>
      </c>
      <c r="B4345">
        <v>68074</v>
      </c>
      <c r="C4345">
        <v>4002861654558</v>
      </c>
      <c r="D4345">
        <v>39.9</v>
      </c>
      <c r="E4345">
        <v>32.11</v>
      </c>
      <c r="F4345" s="3">
        <v>0.18160000000000001</v>
      </c>
      <c r="G4345">
        <v>29.8613</v>
      </c>
      <c r="H4345">
        <v>6.7000000000000004E-2</v>
      </c>
    </row>
    <row r="4346" spans="1:8" x14ac:dyDescent="0.25">
      <c r="A4346" t="s">
        <v>4352</v>
      </c>
      <c r="B4346">
        <v>39650</v>
      </c>
      <c r="C4346">
        <v>8809061676566</v>
      </c>
      <c r="D4346">
        <v>29.9</v>
      </c>
      <c r="E4346">
        <v>20</v>
      </c>
      <c r="F4346" s="3">
        <v>0.33110000000000001</v>
      </c>
      <c r="G4346">
        <v>20</v>
      </c>
      <c r="H4346">
        <v>0.4</v>
      </c>
    </row>
    <row r="4347" spans="1:8" x14ac:dyDescent="0.25">
      <c r="A4347" t="s">
        <v>4353</v>
      </c>
      <c r="B4347">
        <v>13895</v>
      </c>
      <c r="C4347">
        <v>6935684202706</v>
      </c>
      <c r="D4347">
        <v>24.9</v>
      </c>
      <c r="E4347">
        <v>13.13</v>
      </c>
      <c r="F4347" s="3">
        <v>0.43469999999999998</v>
      </c>
      <c r="G4347">
        <v>12.333399999999999</v>
      </c>
      <c r="H4347">
        <v>2.5329999999999999</v>
      </c>
    </row>
    <row r="4348" spans="1:8" x14ac:dyDescent="0.25">
      <c r="A4348" t="s">
        <v>4354</v>
      </c>
      <c r="B4348">
        <v>3573</v>
      </c>
      <c r="C4348">
        <v>7891079000205</v>
      </c>
      <c r="D4348">
        <v>2.99</v>
      </c>
      <c r="E4348">
        <v>1.99</v>
      </c>
      <c r="F4348" s="3">
        <v>0.33439999999999998</v>
      </c>
      <c r="G4348">
        <v>1.9901</v>
      </c>
      <c r="H4348">
        <v>140.733</v>
      </c>
    </row>
    <row r="4349" spans="1:8" x14ac:dyDescent="0.25">
      <c r="A4349" t="s">
        <v>4355</v>
      </c>
      <c r="B4349">
        <v>3577</v>
      </c>
      <c r="C4349">
        <v>7891079000229</v>
      </c>
      <c r="D4349">
        <v>2.99</v>
      </c>
      <c r="E4349">
        <v>1.99</v>
      </c>
      <c r="F4349" s="3">
        <v>0.33439999999999998</v>
      </c>
      <c r="G4349">
        <v>1.99</v>
      </c>
      <c r="H4349">
        <v>249.86699999999999</v>
      </c>
    </row>
    <row r="4350" spans="1:8" x14ac:dyDescent="0.25">
      <c r="A4350" t="s">
        <v>4356</v>
      </c>
      <c r="B4350">
        <v>3575</v>
      </c>
      <c r="C4350">
        <v>7891079000212</v>
      </c>
      <c r="D4350">
        <v>2.99</v>
      </c>
      <c r="E4350">
        <v>1.99</v>
      </c>
      <c r="F4350" s="3">
        <v>0.33439999999999998</v>
      </c>
      <c r="G4350">
        <v>1.99</v>
      </c>
      <c r="H4350">
        <v>27.8</v>
      </c>
    </row>
    <row r="4351" spans="1:8" x14ac:dyDescent="0.25">
      <c r="A4351" t="s">
        <v>4357</v>
      </c>
      <c r="B4351">
        <v>3457</v>
      </c>
      <c r="C4351">
        <v>7891079001028</v>
      </c>
      <c r="D4351">
        <v>2.99</v>
      </c>
      <c r="E4351">
        <v>1.99</v>
      </c>
      <c r="F4351" s="3">
        <v>0.33380000000000004</v>
      </c>
      <c r="G4351">
        <v>1.9921</v>
      </c>
      <c r="H4351">
        <v>43.366999999999997</v>
      </c>
    </row>
    <row r="4352" spans="1:8" x14ac:dyDescent="0.25">
      <c r="A4352" t="s">
        <v>4358</v>
      </c>
      <c r="B4352">
        <v>3468</v>
      </c>
      <c r="C4352">
        <v>7891079011515</v>
      </c>
      <c r="D4352">
        <v>10.9</v>
      </c>
      <c r="E4352">
        <v>7.99</v>
      </c>
      <c r="F4352" s="3">
        <v>0.26700000000000002</v>
      </c>
      <c r="G4352">
        <v>7.99</v>
      </c>
      <c r="H4352">
        <v>6</v>
      </c>
    </row>
    <row r="4353" spans="1:8" x14ac:dyDescent="0.25">
      <c r="A4353" t="s">
        <v>4359</v>
      </c>
      <c r="B4353">
        <v>64716</v>
      </c>
      <c r="C4353">
        <v>8801043157711</v>
      </c>
      <c r="D4353">
        <v>13.9</v>
      </c>
      <c r="E4353">
        <v>8</v>
      </c>
      <c r="F4353" s="3">
        <v>0.42450000000000004</v>
      </c>
      <c r="G4353">
        <v>8</v>
      </c>
      <c r="H4353">
        <v>2.0329999999999999</v>
      </c>
    </row>
    <row r="4354" spans="1:8" x14ac:dyDescent="0.25">
      <c r="A4354" t="s">
        <v>4360</v>
      </c>
      <c r="B4354">
        <v>39828</v>
      </c>
      <c r="C4354">
        <v>8801043150620</v>
      </c>
      <c r="D4354">
        <v>13.9</v>
      </c>
      <c r="E4354">
        <v>8</v>
      </c>
      <c r="F4354" s="3">
        <v>0.42450000000000004</v>
      </c>
      <c r="G4354">
        <v>8</v>
      </c>
      <c r="H4354">
        <v>3.3000000000000002E-2</v>
      </c>
    </row>
    <row r="4355" spans="1:8" x14ac:dyDescent="0.25">
      <c r="A4355" t="s">
        <v>4361</v>
      </c>
      <c r="B4355">
        <v>64717</v>
      </c>
      <c r="C4355">
        <v>8801043157735</v>
      </c>
      <c r="D4355">
        <v>13.9</v>
      </c>
      <c r="E4355">
        <v>8</v>
      </c>
      <c r="F4355" s="3">
        <v>0.42450000000000004</v>
      </c>
      <c r="G4355">
        <v>8</v>
      </c>
      <c r="H4355">
        <v>2.1669999999999998</v>
      </c>
    </row>
    <row r="4356" spans="1:8" x14ac:dyDescent="0.25">
      <c r="A4356" t="s">
        <v>4362</v>
      </c>
      <c r="B4356">
        <v>64718</v>
      </c>
      <c r="C4356">
        <v>8801043157766</v>
      </c>
      <c r="D4356">
        <v>13.9</v>
      </c>
      <c r="E4356">
        <v>8</v>
      </c>
      <c r="F4356" s="3">
        <v>0.42450000000000004</v>
      </c>
      <c r="G4356">
        <v>8</v>
      </c>
      <c r="H4356">
        <v>1.367</v>
      </c>
    </row>
    <row r="4357" spans="1:8" x14ac:dyDescent="0.25">
      <c r="A4357" t="s">
        <v>4363</v>
      </c>
      <c r="B4357">
        <v>64719</v>
      </c>
      <c r="C4357">
        <v>8801043157728</v>
      </c>
      <c r="D4357">
        <v>14.9</v>
      </c>
      <c r="E4357">
        <v>9</v>
      </c>
      <c r="F4357" s="3">
        <v>0.39600000000000002</v>
      </c>
      <c r="G4357">
        <v>9</v>
      </c>
      <c r="H4357">
        <v>1.1000000000000001</v>
      </c>
    </row>
    <row r="4358" spans="1:8" x14ac:dyDescent="0.25">
      <c r="A4358" t="s">
        <v>4364</v>
      </c>
      <c r="B4358">
        <v>19185</v>
      </c>
      <c r="C4358">
        <v>8801043029315</v>
      </c>
      <c r="D4358">
        <v>13.9</v>
      </c>
      <c r="E4358">
        <v>8</v>
      </c>
      <c r="F4358" s="3">
        <v>0.42450000000000004</v>
      </c>
      <c r="G4358">
        <v>8</v>
      </c>
      <c r="H4358">
        <v>0.5</v>
      </c>
    </row>
    <row r="4359" spans="1:8" x14ac:dyDescent="0.25">
      <c r="A4359" t="s">
        <v>4365</v>
      </c>
      <c r="B4359">
        <v>64724</v>
      </c>
      <c r="C4359">
        <v>8801043029384</v>
      </c>
      <c r="D4359">
        <v>13.9</v>
      </c>
      <c r="E4359">
        <v>7.29</v>
      </c>
      <c r="F4359" s="3">
        <v>0.48899999999999999</v>
      </c>
      <c r="G4359">
        <v>7.1025</v>
      </c>
      <c r="H4359">
        <v>1</v>
      </c>
    </row>
    <row r="4360" spans="1:8" x14ac:dyDescent="0.25">
      <c r="A4360" t="s">
        <v>4366</v>
      </c>
      <c r="B4360">
        <v>19187</v>
      </c>
      <c r="C4360">
        <v>8801043263108</v>
      </c>
      <c r="D4360">
        <v>12.9</v>
      </c>
      <c r="E4360">
        <v>7.5</v>
      </c>
      <c r="F4360" s="3">
        <v>0.41859999999999997</v>
      </c>
      <c r="G4360">
        <v>7.5</v>
      </c>
      <c r="H4360">
        <v>2.4670000000000001</v>
      </c>
    </row>
    <row r="4361" spans="1:8" x14ac:dyDescent="0.25">
      <c r="A4361" t="s">
        <v>4367</v>
      </c>
      <c r="B4361">
        <v>64726</v>
      </c>
      <c r="C4361">
        <v>8801043055659</v>
      </c>
      <c r="D4361">
        <v>14.9</v>
      </c>
      <c r="E4361">
        <v>9</v>
      </c>
      <c r="F4361" s="3">
        <v>0.39600000000000002</v>
      </c>
      <c r="G4361">
        <v>9</v>
      </c>
      <c r="H4361">
        <v>1.167</v>
      </c>
    </row>
    <row r="4362" spans="1:8" x14ac:dyDescent="0.25">
      <c r="A4362" t="s">
        <v>4368</v>
      </c>
      <c r="B4362">
        <v>64728</v>
      </c>
      <c r="C4362">
        <v>8801043055604</v>
      </c>
      <c r="D4362">
        <v>15.9</v>
      </c>
      <c r="E4362">
        <v>9</v>
      </c>
      <c r="F4362" s="3">
        <v>0.434</v>
      </c>
      <c r="G4362">
        <v>9</v>
      </c>
      <c r="H4362">
        <v>1.5</v>
      </c>
    </row>
    <row r="4363" spans="1:8" x14ac:dyDescent="0.25">
      <c r="A4363" t="s">
        <v>4369</v>
      </c>
      <c r="B4363">
        <v>64741</v>
      </c>
      <c r="C4363">
        <v>648436100057</v>
      </c>
      <c r="D4363">
        <v>14.9</v>
      </c>
      <c r="E4363">
        <v>9</v>
      </c>
      <c r="F4363" s="3">
        <v>0.39600000000000002</v>
      </c>
      <c r="G4363">
        <v>9</v>
      </c>
      <c r="H4363">
        <v>0.5</v>
      </c>
    </row>
    <row r="4364" spans="1:8" x14ac:dyDescent="0.25">
      <c r="A4364" t="s">
        <v>4370</v>
      </c>
      <c r="B4364">
        <v>64744</v>
      </c>
      <c r="C4364">
        <v>648436100859</v>
      </c>
      <c r="D4364">
        <v>21.9</v>
      </c>
      <c r="E4364">
        <v>13.98</v>
      </c>
      <c r="F4364" s="3">
        <v>0.36119999999999997</v>
      </c>
      <c r="G4364">
        <v>13.9887</v>
      </c>
      <c r="H4364">
        <v>0.53300000000000003</v>
      </c>
    </row>
    <row r="4365" spans="1:8" x14ac:dyDescent="0.25">
      <c r="A4365" t="s">
        <v>4371</v>
      </c>
      <c r="B4365">
        <v>64747</v>
      </c>
      <c r="C4365">
        <v>648436122295</v>
      </c>
      <c r="D4365">
        <v>14.9</v>
      </c>
      <c r="E4365">
        <v>9</v>
      </c>
      <c r="F4365" s="3">
        <v>0.39600000000000002</v>
      </c>
      <c r="G4365">
        <v>9</v>
      </c>
      <c r="H4365">
        <v>0.5</v>
      </c>
    </row>
    <row r="4366" spans="1:8" x14ac:dyDescent="0.25">
      <c r="A4366" t="s">
        <v>4372</v>
      </c>
      <c r="B4366">
        <v>64738</v>
      </c>
      <c r="C4366">
        <v>8801073112278</v>
      </c>
      <c r="D4366">
        <v>19.899999999999999</v>
      </c>
      <c r="E4366">
        <v>12</v>
      </c>
      <c r="F4366" s="3">
        <v>0.39700000000000002</v>
      </c>
      <c r="G4366">
        <v>12</v>
      </c>
      <c r="H4366">
        <v>0.16700000000000001</v>
      </c>
    </row>
    <row r="4367" spans="1:8" x14ac:dyDescent="0.25">
      <c r="A4367" t="s">
        <v>4373</v>
      </c>
      <c r="B4367">
        <v>3632</v>
      </c>
      <c r="C4367">
        <v>8076809529457</v>
      </c>
      <c r="D4367">
        <v>16.899999999999999</v>
      </c>
      <c r="E4367">
        <v>12.5</v>
      </c>
      <c r="F4367" s="3">
        <v>0.2505</v>
      </c>
      <c r="G4367">
        <v>11.4832</v>
      </c>
      <c r="H4367">
        <v>1.167</v>
      </c>
    </row>
    <row r="4368" spans="1:8" x14ac:dyDescent="0.25">
      <c r="A4368" t="s">
        <v>4374</v>
      </c>
      <c r="B4368">
        <v>12167</v>
      </c>
      <c r="C4368">
        <v>8076809529433</v>
      </c>
      <c r="D4368">
        <v>16.899999999999999</v>
      </c>
      <c r="E4368">
        <v>12.2</v>
      </c>
      <c r="F4368" s="3">
        <v>0.22320000000000001</v>
      </c>
      <c r="G4368">
        <v>11.944800000000001</v>
      </c>
      <c r="H4368">
        <v>0.36699999999999999</v>
      </c>
    </row>
    <row r="4369" spans="1:8" x14ac:dyDescent="0.25">
      <c r="A4369" t="s">
        <v>4375</v>
      </c>
      <c r="B4369">
        <v>12168</v>
      </c>
      <c r="C4369">
        <v>8076809529419</v>
      </c>
      <c r="D4369">
        <v>16.899999999999999</v>
      </c>
      <c r="E4369">
        <v>10.45</v>
      </c>
      <c r="F4369" s="3">
        <v>0.33130000000000004</v>
      </c>
      <c r="G4369">
        <v>10.1174</v>
      </c>
      <c r="H4369">
        <v>0.3</v>
      </c>
    </row>
    <row r="4370" spans="1:8" x14ac:dyDescent="0.25">
      <c r="A4370" t="s">
        <v>4376</v>
      </c>
      <c r="B4370">
        <v>17863</v>
      </c>
      <c r="C4370">
        <v>7896005213186</v>
      </c>
      <c r="D4370">
        <v>8.49</v>
      </c>
      <c r="E4370">
        <v>6.01</v>
      </c>
      <c r="F4370" s="3">
        <v>0.27200000000000002</v>
      </c>
      <c r="G4370">
        <v>5.5868000000000002</v>
      </c>
      <c r="H4370">
        <v>2.133</v>
      </c>
    </row>
    <row r="4371" spans="1:8" x14ac:dyDescent="0.25">
      <c r="A4371" t="s">
        <v>4377</v>
      </c>
      <c r="B4371">
        <v>60194</v>
      </c>
      <c r="C4371">
        <v>7898943090249</v>
      </c>
      <c r="D4371">
        <v>8.99</v>
      </c>
      <c r="E4371">
        <v>5.93</v>
      </c>
      <c r="F4371" s="3">
        <v>0.31739999999999996</v>
      </c>
      <c r="G4371">
        <v>5.5072000000000001</v>
      </c>
      <c r="H4371">
        <v>0.33300000000000002</v>
      </c>
    </row>
    <row r="4372" spans="1:8" x14ac:dyDescent="0.25">
      <c r="A4372" t="s">
        <v>4378</v>
      </c>
      <c r="B4372">
        <v>60195</v>
      </c>
      <c r="C4372">
        <v>7898943090348</v>
      </c>
      <c r="D4372">
        <v>8.99</v>
      </c>
      <c r="E4372">
        <v>5.56</v>
      </c>
      <c r="F4372" s="3">
        <v>0.33490000000000003</v>
      </c>
      <c r="G4372">
        <v>5.3497000000000003</v>
      </c>
      <c r="H4372">
        <v>0.56699999999999995</v>
      </c>
    </row>
    <row r="4373" spans="1:8" x14ac:dyDescent="0.25">
      <c r="A4373" t="s">
        <v>4379</v>
      </c>
      <c r="B4373">
        <v>60193</v>
      </c>
      <c r="C4373">
        <v>7898943090218</v>
      </c>
      <c r="D4373">
        <v>8.99</v>
      </c>
      <c r="E4373">
        <v>5.69</v>
      </c>
      <c r="F4373" s="3">
        <v>0.3407</v>
      </c>
      <c r="G4373">
        <v>5.2983000000000002</v>
      </c>
      <c r="H4373">
        <v>0.53300000000000003</v>
      </c>
    </row>
    <row r="4374" spans="1:8" x14ac:dyDescent="0.25">
      <c r="A4374" t="s">
        <v>4380</v>
      </c>
      <c r="B4374">
        <v>60191</v>
      </c>
      <c r="C4374">
        <v>7898943090300</v>
      </c>
      <c r="D4374">
        <v>8.99</v>
      </c>
      <c r="E4374">
        <v>4.7</v>
      </c>
      <c r="F4374" s="3">
        <v>0.44020000000000004</v>
      </c>
      <c r="G4374">
        <v>4.4038000000000004</v>
      </c>
      <c r="H4374">
        <v>6.7000000000000004E-2</v>
      </c>
    </row>
    <row r="4375" spans="1:8" x14ac:dyDescent="0.25">
      <c r="A4375" t="s">
        <v>4381</v>
      </c>
      <c r="B4375">
        <v>66015</v>
      </c>
      <c r="C4375">
        <v>7896022207571</v>
      </c>
      <c r="D4375">
        <v>6.49</v>
      </c>
      <c r="E4375">
        <v>4.1900000000000004</v>
      </c>
      <c r="F4375" s="3">
        <v>0.3296</v>
      </c>
      <c r="G4375">
        <v>3.8967000000000001</v>
      </c>
      <c r="H4375">
        <v>2.6</v>
      </c>
    </row>
    <row r="4376" spans="1:8" x14ac:dyDescent="0.25">
      <c r="A4376" t="s">
        <v>4382</v>
      </c>
      <c r="B4376">
        <v>66014</v>
      </c>
      <c r="C4376">
        <v>7896022207564</v>
      </c>
      <c r="D4376">
        <v>6.49</v>
      </c>
      <c r="E4376">
        <v>4.1900000000000004</v>
      </c>
      <c r="F4376" s="3">
        <v>0.3296</v>
      </c>
      <c r="G4376">
        <v>3.8967000000000001</v>
      </c>
      <c r="H4376">
        <v>3.4329999999999998</v>
      </c>
    </row>
    <row r="4377" spans="1:8" x14ac:dyDescent="0.25">
      <c r="A4377" t="s">
        <v>4383</v>
      </c>
      <c r="B4377">
        <v>66013</v>
      </c>
      <c r="C4377">
        <v>7896022207557</v>
      </c>
      <c r="D4377">
        <v>6.49</v>
      </c>
      <c r="E4377">
        <v>4.1900000000000004</v>
      </c>
      <c r="F4377" s="3">
        <v>0.3296</v>
      </c>
      <c r="G4377">
        <v>3.8967000000000001</v>
      </c>
      <c r="H4377">
        <v>2.633</v>
      </c>
    </row>
    <row r="4378" spans="1:8" x14ac:dyDescent="0.25">
      <c r="A4378" t="s">
        <v>4384</v>
      </c>
      <c r="B4378">
        <v>22401</v>
      </c>
      <c r="C4378">
        <v>7896205788224</v>
      </c>
      <c r="D4378">
        <v>3.99</v>
      </c>
      <c r="E4378">
        <v>3.01</v>
      </c>
      <c r="F4378" s="3">
        <v>0.2278</v>
      </c>
      <c r="G4378">
        <v>2.8018000000000001</v>
      </c>
      <c r="H4378">
        <v>2.9</v>
      </c>
    </row>
    <row r="4379" spans="1:8" x14ac:dyDescent="0.25">
      <c r="A4379" t="s">
        <v>4385</v>
      </c>
      <c r="B4379">
        <v>3725</v>
      </c>
      <c r="C4379">
        <v>7896205788255</v>
      </c>
      <c r="D4379">
        <v>3.99</v>
      </c>
      <c r="E4379">
        <v>2.99</v>
      </c>
      <c r="F4379" s="3">
        <v>0.23260000000000003</v>
      </c>
      <c r="G4379">
        <v>2.7825000000000002</v>
      </c>
      <c r="H4379">
        <v>3.7330000000000001</v>
      </c>
    </row>
    <row r="4380" spans="1:8" x14ac:dyDescent="0.25">
      <c r="A4380" t="s">
        <v>4386</v>
      </c>
      <c r="B4380">
        <v>3729</v>
      </c>
      <c r="C4380">
        <v>7896205788040</v>
      </c>
      <c r="D4380">
        <v>3.99</v>
      </c>
      <c r="E4380">
        <v>2.9</v>
      </c>
      <c r="F4380" s="3">
        <v>0.25280000000000002</v>
      </c>
      <c r="G4380">
        <v>2.7021999999999999</v>
      </c>
      <c r="H4380">
        <v>42.667000000000002</v>
      </c>
    </row>
    <row r="4381" spans="1:8" x14ac:dyDescent="0.25">
      <c r="A4381" t="s">
        <v>4387</v>
      </c>
      <c r="B4381">
        <v>3730</v>
      </c>
      <c r="C4381">
        <v>7896205788033</v>
      </c>
      <c r="D4381">
        <v>3.99</v>
      </c>
      <c r="E4381">
        <v>2.88</v>
      </c>
      <c r="F4381" s="3">
        <v>0.24690000000000001</v>
      </c>
      <c r="G4381">
        <v>2.7256</v>
      </c>
      <c r="H4381">
        <v>19.567</v>
      </c>
    </row>
    <row r="4382" spans="1:8" x14ac:dyDescent="0.25">
      <c r="A4382" t="s">
        <v>4388</v>
      </c>
      <c r="B4382">
        <v>3731</v>
      </c>
      <c r="C4382">
        <v>7896205788132</v>
      </c>
      <c r="D4382">
        <v>3.99</v>
      </c>
      <c r="E4382">
        <v>2.93</v>
      </c>
      <c r="F4382" s="3">
        <v>0.24410000000000001</v>
      </c>
      <c r="G4382">
        <v>2.7366000000000001</v>
      </c>
      <c r="H4382">
        <v>9.1329999999999991</v>
      </c>
    </row>
    <row r="4383" spans="1:8" x14ac:dyDescent="0.25">
      <c r="A4383" t="s">
        <v>4389</v>
      </c>
      <c r="B4383">
        <v>3605</v>
      </c>
      <c r="C4383">
        <v>7896205788064</v>
      </c>
      <c r="D4383">
        <v>3.99</v>
      </c>
      <c r="E4383">
        <v>2.95</v>
      </c>
      <c r="F4383" s="3">
        <v>0.24280000000000002</v>
      </c>
      <c r="G4383">
        <v>2.7421000000000002</v>
      </c>
      <c r="H4383">
        <v>14.733000000000001</v>
      </c>
    </row>
    <row r="4384" spans="1:8" x14ac:dyDescent="0.25">
      <c r="A4384" t="s">
        <v>4390</v>
      </c>
      <c r="B4384">
        <v>3608</v>
      </c>
      <c r="C4384">
        <v>7896205788057</v>
      </c>
      <c r="D4384">
        <v>3.99</v>
      </c>
      <c r="E4384">
        <v>3.01</v>
      </c>
      <c r="F4384" s="3">
        <v>0.22940000000000002</v>
      </c>
      <c r="G4384">
        <v>2.7953000000000001</v>
      </c>
      <c r="H4384">
        <v>7.867</v>
      </c>
    </row>
    <row r="4385" spans="1:8" x14ac:dyDescent="0.25">
      <c r="A4385" t="s">
        <v>4391</v>
      </c>
      <c r="B4385">
        <v>3610</v>
      </c>
      <c r="C4385">
        <v>7896205754434</v>
      </c>
      <c r="D4385">
        <v>3.99</v>
      </c>
      <c r="E4385">
        <v>2.82</v>
      </c>
      <c r="F4385" s="3">
        <v>0.27360000000000001</v>
      </c>
      <c r="G4385">
        <v>2.6192000000000002</v>
      </c>
      <c r="H4385">
        <v>4</v>
      </c>
    </row>
    <row r="4386" spans="1:8" x14ac:dyDescent="0.25">
      <c r="A4386" t="s">
        <v>4392</v>
      </c>
      <c r="B4386">
        <v>3613</v>
      </c>
      <c r="C4386">
        <v>7896205788095</v>
      </c>
      <c r="D4386">
        <v>4.29</v>
      </c>
      <c r="E4386">
        <v>3.3</v>
      </c>
      <c r="F4386" s="3">
        <v>0.20530000000000001</v>
      </c>
      <c r="G4386">
        <v>3.1089000000000002</v>
      </c>
      <c r="H4386">
        <v>1.7330000000000001</v>
      </c>
    </row>
    <row r="4387" spans="1:8" x14ac:dyDescent="0.25">
      <c r="A4387" t="s">
        <v>4393</v>
      </c>
      <c r="B4387">
        <v>3616</v>
      </c>
      <c r="C4387">
        <v>7896205788187</v>
      </c>
      <c r="D4387">
        <v>3.99</v>
      </c>
      <c r="E4387">
        <v>2.98</v>
      </c>
      <c r="F4387" s="3">
        <v>0.23230000000000001</v>
      </c>
      <c r="G4387">
        <v>2.7835999999999999</v>
      </c>
      <c r="H4387">
        <v>5.3</v>
      </c>
    </row>
    <row r="4388" spans="1:8" x14ac:dyDescent="0.25">
      <c r="A4388" t="s">
        <v>4394</v>
      </c>
      <c r="B4388">
        <v>3617</v>
      </c>
      <c r="C4388">
        <v>7896205788156</v>
      </c>
      <c r="D4388">
        <v>3.99</v>
      </c>
      <c r="E4388">
        <v>2.95</v>
      </c>
      <c r="F4388" s="3">
        <v>0.23920000000000002</v>
      </c>
      <c r="G4388">
        <v>2.7564000000000002</v>
      </c>
      <c r="H4388">
        <v>24.1</v>
      </c>
    </row>
    <row r="4389" spans="1:8" x14ac:dyDescent="0.25">
      <c r="A4389" t="s">
        <v>4395</v>
      </c>
      <c r="B4389">
        <v>3619</v>
      </c>
      <c r="C4389">
        <v>7896205788217</v>
      </c>
      <c r="D4389">
        <v>3.99</v>
      </c>
      <c r="E4389">
        <v>2.96</v>
      </c>
      <c r="F4389" s="3">
        <v>0.23989999999999997</v>
      </c>
      <c r="G4389">
        <v>2.7534999999999998</v>
      </c>
      <c r="H4389">
        <v>18.933</v>
      </c>
    </row>
    <row r="4390" spans="1:8" x14ac:dyDescent="0.25">
      <c r="A4390" t="s">
        <v>4396</v>
      </c>
      <c r="B4390">
        <v>30050</v>
      </c>
      <c r="C4390">
        <v>7898951850132</v>
      </c>
      <c r="D4390">
        <v>5.29</v>
      </c>
      <c r="E4390">
        <v>4</v>
      </c>
      <c r="F4390" s="3">
        <v>0.22539999999999999</v>
      </c>
      <c r="G4390">
        <v>3.7244999999999999</v>
      </c>
      <c r="H4390">
        <v>6.4669999999999996</v>
      </c>
    </row>
    <row r="4391" spans="1:8" x14ac:dyDescent="0.25">
      <c r="A4391" t="s">
        <v>4397</v>
      </c>
      <c r="B4391">
        <v>12161</v>
      </c>
      <c r="C4391">
        <v>7898951850064</v>
      </c>
      <c r="D4391">
        <v>5.28</v>
      </c>
      <c r="E4391">
        <v>4</v>
      </c>
      <c r="F4391" s="3">
        <v>0.22420000000000001</v>
      </c>
      <c r="G4391">
        <v>3.7242000000000002</v>
      </c>
      <c r="H4391">
        <v>44.2</v>
      </c>
    </row>
    <row r="4392" spans="1:8" x14ac:dyDescent="0.25">
      <c r="A4392" t="s">
        <v>4398</v>
      </c>
      <c r="B4392">
        <v>22923</v>
      </c>
      <c r="C4392">
        <v>7898951850071</v>
      </c>
      <c r="D4392">
        <v>5.29</v>
      </c>
      <c r="E4392">
        <v>4</v>
      </c>
      <c r="F4392" s="3">
        <v>0.22559999999999999</v>
      </c>
      <c r="G4392">
        <v>3.7242999999999999</v>
      </c>
      <c r="H4392">
        <v>24.567</v>
      </c>
    </row>
    <row r="4393" spans="1:8" x14ac:dyDescent="0.25">
      <c r="A4393" t="s">
        <v>4399</v>
      </c>
      <c r="B4393">
        <v>30052</v>
      </c>
      <c r="C4393">
        <v>7898951850255</v>
      </c>
      <c r="D4393">
        <v>5.25</v>
      </c>
      <c r="E4393">
        <v>4</v>
      </c>
      <c r="F4393" s="3">
        <v>0.22109999999999999</v>
      </c>
      <c r="G4393">
        <v>3.7242999999999999</v>
      </c>
      <c r="H4393">
        <v>23.4</v>
      </c>
    </row>
    <row r="4394" spans="1:8" x14ac:dyDescent="0.25">
      <c r="A4394" t="s">
        <v>4400</v>
      </c>
      <c r="B4394">
        <v>22922</v>
      </c>
      <c r="C4394">
        <v>7898951850088</v>
      </c>
      <c r="D4394">
        <v>5.28</v>
      </c>
      <c r="E4394">
        <v>4</v>
      </c>
      <c r="F4394" s="3">
        <v>0.2243</v>
      </c>
      <c r="G4394">
        <v>3.7242999999999999</v>
      </c>
      <c r="H4394">
        <v>22.933</v>
      </c>
    </row>
    <row r="4395" spans="1:8" x14ac:dyDescent="0.25">
      <c r="A4395" t="s">
        <v>4401</v>
      </c>
      <c r="B4395">
        <v>30048</v>
      </c>
      <c r="C4395">
        <v>7898951850101</v>
      </c>
      <c r="D4395">
        <v>5.29</v>
      </c>
      <c r="E4395">
        <v>4</v>
      </c>
      <c r="F4395" s="3">
        <v>0.22600000000000001</v>
      </c>
      <c r="G4395">
        <v>3.7244000000000002</v>
      </c>
      <c r="H4395">
        <v>5.9329999999999998</v>
      </c>
    </row>
    <row r="4396" spans="1:8" x14ac:dyDescent="0.25">
      <c r="A4396" t="s">
        <v>4402</v>
      </c>
      <c r="B4396">
        <v>12166</v>
      </c>
      <c r="C4396">
        <v>7898951850118</v>
      </c>
      <c r="D4396">
        <v>5.26</v>
      </c>
      <c r="E4396">
        <v>3.89</v>
      </c>
      <c r="F4396" s="3">
        <v>0.23829999999999998</v>
      </c>
      <c r="G4396">
        <v>3.6395</v>
      </c>
      <c r="H4396">
        <v>48.732999999999997</v>
      </c>
    </row>
    <row r="4397" spans="1:8" x14ac:dyDescent="0.25">
      <c r="A4397" t="s">
        <v>4403</v>
      </c>
      <c r="B4397">
        <v>14133</v>
      </c>
      <c r="C4397">
        <v>7898951850095</v>
      </c>
      <c r="D4397">
        <v>5.27</v>
      </c>
      <c r="E4397">
        <v>4</v>
      </c>
      <c r="F4397" s="3">
        <v>0.22289999999999999</v>
      </c>
      <c r="G4397">
        <v>3.7244999999999999</v>
      </c>
      <c r="H4397">
        <v>29.067</v>
      </c>
    </row>
    <row r="4398" spans="1:8" x14ac:dyDescent="0.25">
      <c r="A4398" t="s">
        <v>4404</v>
      </c>
      <c r="B4398">
        <v>13171</v>
      </c>
      <c r="C4398">
        <v>7897721410132</v>
      </c>
      <c r="D4398">
        <v>4.29</v>
      </c>
      <c r="E4398">
        <v>3.01</v>
      </c>
      <c r="F4398" s="3">
        <v>0.27789999999999998</v>
      </c>
      <c r="G4398">
        <v>2.7974000000000001</v>
      </c>
      <c r="H4398">
        <v>4.3</v>
      </c>
    </row>
    <row r="4399" spans="1:8" x14ac:dyDescent="0.25">
      <c r="A4399" t="s">
        <v>4405</v>
      </c>
      <c r="B4399">
        <v>9121</v>
      </c>
      <c r="C4399">
        <v>7896005286579</v>
      </c>
      <c r="D4399">
        <v>4.29</v>
      </c>
      <c r="E4399">
        <v>2.88</v>
      </c>
      <c r="F4399" s="3">
        <v>0.3054</v>
      </c>
      <c r="G4399">
        <v>2.6796000000000002</v>
      </c>
      <c r="H4399">
        <v>42.866999999999997</v>
      </c>
    </row>
    <row r="4400" spans="1:8" x14ac:dyDescent="0.25">
      <c r="A4400" t="s">
        <v>4406</v>
      </c>
      <c r="B4400">
        <v>9069</v>
      </c>
      <c r="C4400">
        <v>7896005286609</v>
      </c>
      <c r="D4400">
        <v>4.99</v>
      </c>
      <c r="E4400">
        <v>3.85</v>
      </c>
      <c r="F4400" s="3">
        <v>0.217</v>
      </c>
      <c r="G4400">
        <v>3.5581</v>
      </c>
      <c r="H4400">
        <v>5.2</v>
      </c>
    </row>
    <row r="4401" spans="1:8" x14ac:dyDescent="0.25">
      <c r="A4401" t="s">
        <v>4407</v>
      </c>
      <c r="B4401">
        <v>9432</v>
      </c>
      <c r="C4401">
        <v>7896005286593</v>
      </c>
      <c r="D4401">
        <v>4.29</v>
      </c>
      <c r="E4401">
        <v>3.02</v>
      </c>
      <c r="F4401" s="3">
        <v>0.2833</v>
      </c>
      <c r="G4401">
        <v>2.7746</v>
      </c>
      <c r="H4401">
        <v>45.366999999999997</v>
      </c>
    </row>
    <row r="4402" spans="1:8" x14ac:dyDescent="0.25">
      <c r="A4402" t="s">
        <v>4408</v>
      </c>
      <c r="B4402">
        <v>9431</v>
      </c>
      <c r="C4402">
        <v>7896005281710</v>
      </c>
      <c r="D4402">
        <v>4.29</v>
      </c>
      <c r="E4402">
        <v>2.82</v>
      </c>
      <c r="F4402" s="3">
        <v>0.32200000000000001</v>
      </c>
      <c r="G4402">
        <v>2.6084000000000001</v>
      </c>
      <c r="H4402">
        <v>17.899999999999999</v>
      </c>
    </row>
    <row r="4403" spans="1:8" x14ac:dyDescent="0.25">
      <c r="A4403" t="s">
        <v>4409</v>
      </c>
      <c r="B4403">
        <v>9129</v>
      </c>
      <c r="C4403">
        <v>7897721410002</v>
      </c>
      <c r="D4403">
        <v>4.49</v>
      </c>
      <c r="E4403">
        <v>3.42</v>
      </c>
      <c r="F4403" s="3">
        <v>0.22579999999999997</v>
      </c>
      <c r="G4403">
        <v>3.1621000000000001</v>
      </c>
      <c r="H4403">
        <v>10.132999999999999</v>
      </c>
    </row>
    <row r="4404" spans="1:8" x14ac:dyDescent="0.25">
      <c r="A4404" t="s">
        <v>4410</v>
      </c>
      <c r="B4404">
        <v>65730</v>
      </c>
      <c r="C4404">
        <v>7896005224274</v>
      </c>
      <c r="D4404">
        <v>4.99</v>
      </c>
      <c r="E4404">
        <v>3.41</v>
      </c>
      <c r="F4404" s="3">
        <v>0.2964</v>
      </c>
      <c r="G4404">
        <v>3.1616</v>
      </c>
      <c r="H4404">
        <v>1.0669999999999999</v>
      </c>
    </row>
    <row r="4405" spans="1:8" x14ac:dyDescent="0.25">
      <c r="A4405" t="s">
        <v>4411</v>
      </c>
      <c r="B4405">
        <v>3365</v>
      </c>
      <c r="C4405">
        <v>7896022200268</v>
      </c>
      <c r="D4405">
        <v>4.49</v>
      </c>
      <c r="E4405">
        <v>3.09</v>
      </c>
      <c r="F4405" s="3">
        <v>0.29010000000000002</v>
      </c>
      <c r="G4405">
        <v>2.8733</v>
      </c>
      <c r="H4405">
        <v>8.0670000000000002</v>
      </c>
    </row>
    <row r="4406" spans="1:8" x14ac:dyDescent="0.25">
      <c r="A4406" t="s">
        <v>4412</v>
      </c>
      <c r="B4406">
        <v>3369</v>
      </c>
      <c r="C4406">
        <v>7896022200299</v>
      </c>
      <c r="D4406">
        <v>4.49</v>
      </c>
      <c r="E4406">
        <v>3.09</v>
      </c>
      <c r="F4406" s="3">
        <v>0.29010000000000002</v>
      </c>
      <c r="G4406">
        <v>2.8732000000000002</v>
      </c>
      <c r="H4406">
        <v>7.2</v>
      </c>
    </row>
    <row r="4407" spans="1:8" x14ac:dyDescent="0.25">
      <c r="A4407" t="s">
        <v>4413</v>
      </c>
      <c r="B4407">
        <v>3367</v>
      </c>
      <c r="C4407">
        <v>7896022203719</v>
      </c>
      <c r="D4407">
        <v>5.49</v>
      </c>
      <c r="E4407">
        <v>3.98</v>
      </c>
      <c r="F4407" s="3">
        <v>0.25590000000000002</v>
      </c>
      <c r="G4407">
        <v>3.7010000000000001</v>
      </c>
      <c r="H4407">
        <v>6.3</v>
      </c>
    </row>
    <row r="4408" spans="1:8" x14ac:dyDescent="0.25">
      <c r="A4408" t="s">
        <v>4414</v>
      </c>
      <c r="B4408">
        <v>3370</v>
      </c>
      <c r="C4408">
        <v>7896022203702</v>
      </c>
      <c r="D4408">
        <v>5.49</v>
      </c>
      <c r="E4408">
        <v>3.98</v>
      </c>
      <c r="F4408" s="3">
        <v>0.25590000000000002</v>
      </c>
      <c r="G4408">
        <v>3.7010000000000001</v>
      </c>
      <c r="H4408">
        <v>2.8330000000000002</v>
      </c>
    </row>
    <row r="4409" spans="1:8" x14ac:dyDescent="0.25">
      <c r="A4409" t="s">
        <v>4415</v>
      </c>
      <c r="B4409">
        <v>62910</v>
      </c>
      <c r="C4409">
        <v>7898152998879</v>
      </c>
      <c r="D4409">
        <v>12.9</v>
      </c>
      <c r="E4409">
        <v>10.77</v>
      </c>
      <c r="F4409" s="3">
        <v>0.1671</v>
      </c>
      <c r="G4409">
        <v>9.8420000000000005</v>
      </c>
      <c r="H4409">
        <v>0.5</v>
      </c>
    </row>
    <row r="4410" spans="1:8" x14ac:dyDescent="0.25">
      <c r="A4410" t="s">
        <v>4416</v>
      </c>
      <c r="B4410">
        <v>62914</v>
      </c>
      <c r="C4410">
        <v>7898152998886</v>
      </c>
      <c r="D4410">
        <v>0</v>
      </c>
      <c r="E4410">
        <v>7.19</v>
      </c>
      <c r="F4410" s="3">
        <v>0</v>
      </c>
      <c r="G4410">
        <v>6.6830999999999996</v>
      </c>
      <c r="H4410">
        <v>0.13300000000000001</v>
      </c>
    </row>
    <row r="4411" spans="1:8" x14ac:dyDescent="0.25">
      <c r="A4411" t="s">
        <v>4417</v>
      </c>
      <c r="B4411">
        <v>62911</v>
      </c>
      <c r="C4411">
        <v>7898152998916</v>
      </c>
      <c r="D4411">
        <v>12.9</v>
      </c>
      <c r="E4411">
        <v>10.28</v>
      </c>
      <c r="F4411" s="3">
        <v>0.18729999999999999</v>
      </c>
      <c r="G4411">
        <v>9.5814000000000004</v>
      </c>
      <c r="H4411">
        <v>0.7</v>
      </c>
    </row>
    <row r="4412" spans="1:8" x14ac:dyDescent="0.25">
      <c r="A4412" t="s">
        <v>4418</v>
      </c>
      <c r="B4412">
        <v>62913</v>
      </c>
      <c r="C4412">
        <v>7898152998893</v>
      </c>
      <c r="D4412">
        <v>12.9</v>
      </c>
      <c r="E4412">
        <v>10.35</v>
      </c>
      <c r="F4412" s="3">
        <v>0.2051</v>
      </c>
      <c r="G4412">
        <v>9.3511000000000006</v>
      </c>
      <c r="H4412">
        <v>0.9</v>
      </c>
    </row>
    <row r="4413" spans="1:8" x14ac:dyDescent="0.25">
      <c r="A4413" t="s">
        <v>4419</v>
      </c>
      <c r="B4413">
        <v>35602</v>
      </c>
      <c r="C4413">
        <v>7898152990408</v>
      </c>
      <c r="D4413">
        <v>20.9</v>
      </c>
      <c r="E4413">
        <v>16.649999999999999</v>
      </c>
      <c r="F4413" s="3">
        <v>0.1893</v>
      </c>
      <c r="G4413">
        <v>15.4811</v>
      </c>
      <c r="H4413">
        <v>1.633</v>
      </c>
    </row>
    <row r="4414" spans="1:8" x14ac:dyDescent="0.25">
      <c r="A4414" t="s">
        <v>4420</v>
      </c>
      <c r="B4414">
        <v>3493</v>
      </c>
      <c r="C4414">
        <v>7898152990170</v>
      </c>
      <c r="D4414">
        <v>9.9</v>
      </c>
      <c r="E4414">
        <v>7.9</v>
      </c>
      <c r="F4414" s="3">
        <v>0.18600000000000003</v>
      </c>
      <c r="G4414">
        <v>7.3654000000000002</v>
      </c>
      <c r="H4414">
        <v>4.633</v>
      </c>
    </row>
    <row r="4415" spans="1:8" x14ac:dyDescent="0.25">
      <c r="A4415" t="s">
        <v>4421</v>
      </c>
      <c r="B4415">
        <v>3496</v>
      </c>
      <c r="C4415">
        <v>7898152991580</v>
      </c>
      <c r="D4415">
        <v>9.9</v>
      </c>
      <c r="E4415">
        <v>7.67</v>
      </c>
      <c r="F4415" s="3">
        <v>0.22800000000000001</v>
      </c>
      <c r="G4415">
        <v>6.9503000000000004</v>
      </c>
      <c r="H4415">
        <v>2.5</v>
      </c>
    </row>
    <row r="4416" spans="1:8" x14ac:dyDescent="0.25">
      <c r="A4416" t="s">
        <v>4422</v>
      </c>
      <c r="B4416">
        <v>3500</v>
      </c>
      <c r="C4416">
        <v>7898152990156</v>
      </c>
      <c r="D4416">
        <v>9.9</v>
      </c>
      <c r="E4416">
        <v>7.56</v>
      </c>
      <c r="F4416" s="3">
        <v>0.20910000000000001</v>
      </c>
      <c r="G4416">
        <v>7.1372</v>
      </c>
      <c r="H4416">
        <v>1.667</v>
      </c>
    </row>
    <row r="4417" spans="1:8" x14ac:dyDescent="0.25">
      <c r="A4417" t="s">
        <v>4423</v>
      </c>
      <c r="B4417">
        <v>33565</v>
      </c>
      <c r="C4417">
        <v>7898152997018</v>
      </c>
      <c r="D4417">
        <v>9.9</v>
      </c>
      <c r="E4417">
        <v>7.35</v>
      </c>
      <c r="F4417" s="3">
        <v>0.2397</v>
      </c>
      <c r="G4417">
        <v>6.8335999999999997</v>
      </c>
      <c r="H4417">
        <v>1.167</v>
      </c>
    </row>
    <row r="4418" spans="1:8" x14ac:dyDescent="0.25">
      <c r="A4418" t="s">
        <v>4424</v>
      </c>
      <c r="B4418">
        <v>37884</v>
      </c>
      <c r="C4418">
        <v>7898152995748</v>
      </c>
      <c r="D4418">
        <v>17.899999999999999</v>
      </c>
      <c r="E4418">
        <v>13.99</v>
      </c>
      <c r="F4418" s="3">
        <v>0.20399999999999999</v>
      </c>
      <c r="G4418">
        <v>12.9963</v>
      </c>
      <c r="H4418">
        <v>0.66700000000000004</v>
      </c>
    </row>
    <row r="4419" spans="1:8" x14ac:dyDescent="0.25">
      <c r="A4419" t="s">
        <v>4425</v>
      </c>
      <c r="B4419">
        <v>18662</v>
      </c>
      <c r="C4419">
        <v>7898152996325</v>
      </c>
      <c r="D4419">
        <v>19.899999999999999</v>
      </c>
      <c r="E4419">
        <v>15.42</v>
      </c>
      <c r="F4419" s="3">
        <v>0.21379999999999999</v>
      </c>
      <c r="G4419">
        <v>14.2532</v>
      </c>
      <c r="H4419">
        <v>1.9</v>
      </c>
    </row>
    <row r="4420" spans="1:8" x14ac:dyDescent="0.25">
      <c r="A4420" t="s">
        <v>4426</v>
      </c>
      <c r="B4420">
        <v>3498</v>
      </c>
      <c r="C4420">
        <v>7898152996165</v>
      </c>
      <c r="D4420">
        <v>9.9</v>
      </c>
      <c r="E4420">
        <v>8.07</v>
      </c>
      <c r="F4420" s="3">
        <v>0.1711</v>
      </c>
      <c r="G4420">
        <v>7.5133999999999999</v>
      </c>
      <c r="H4420">
        <v>2.7330000000000001</v>
      </c>
    </row>
    <row r="4421" spans="1:8" x14ac:dyDescent="0.25">
      <c r="A4421" t="s">
        <v>4427</v>
      </c>
      <c r="B4421">
        <v>33567</v>
      </c>
      <c r="C4421">
        <v>7898152990149</v>
      </c>
      <c r="D4421">
        <v>9.9</v>
      </c>
      <c r="E4421">
        <v>8.17</v>
      </c>
      <c r="F4421" s="3">
        <v>0.16200000000000001</v>
      </c>
      <c r="G4421">
        <v>7.6035000000000004</v>
      </c>
      <c r="H4421">
        <v>3.6</v>
      </c>
    </row>
    <row r="4422" spans="1:8" x14ac:dyDescent="0.25">
      <c r="A4422" t="s">
        <v>4428</v>
      </c>
      <c r="B4422">
        <v>9070</v>
      </c>
      <c r="C4422">
        <v>7897721410057</v>
      </c>
      <c r="D4422">
        <v>5.99</v>
      </c>
      <c r="E4422">
        <v>4.21</v>
      </c>
      <c r="F4422" s="3">
        <v>0.2772</v>
      </c>
      <c r="G4422">
        <v>3.9104999999999999</v>
      </c>
      <c r="H4422">
        <v>3.0329999999999999</v>
      </c>
    </row>
    <row r="4423" spans="1:8" x14ac:dyDescent="0.25">
      <c r="A4423" t="s">
        <v>4429</v>
      </c>
      <c r="B4423">
        <v>11671</v>
      </c>
      <c r="C4423">
        <v>7897721410071</v>
      </c>
      <c r="D4423">
        <v>4.49</v>
      </c>
      <c r="E4423">
        <v>3.41</v>
      </c>
      <c r="F4423" s="3">
        <v>0.223</v>
      </c>
      <c r="G4423">
        <v>3.1745000000000001</v>
      </c>
      <c r="H4423">
        <v>2.367</v>
      </c>
    </row>
    <row r="4424" spans="1:8" x14ac:dyDescent="0.25">
      <c r="A4424" t="s">
        <v>4430</v>
      </c>
      <c r="B4424">
        <v>11672</v>
      </c>
      <c r="C4424">
        <v>7897721410095</v>
      </c>
      <c r="D4424">
        <v>4.49</v>
      </c>
      <c r="E4424">
        <v>3.45</v>
      </c>
      <c r="F4424" s="3">
        <v>0.2155</v>
      </c>
      <c r="G4424">
        <v>3.2081</v>
      </c>
      <c r="H4424">
        <v>1.9670000000000001</v>
      </c>
    </row>
    <row r="4425" spans="1:8" x14ac:dyDescent="0.25">
      <c r="A4425" t="s">
        <v>4431</v>
      </c>
      <c r="B4425">
        <v>9065</v>
      </c>
      <c r="C4425">
        <v>7896005277201</v>
      </c>
      <c r="D4425">
        <v>7.99</v>
      </c>
      <c r="E4425">
        <v>6.02</v>
      </c>
      <c r="F4425" s="3">
        <v>0.2288</v>
      </c>
      <c r="G4425">
        <v>5.6029999999999998</v>
      </c>
      <c r="H4425">
        <v>0.9</v>
      </c>
    </row>
    <row r="4426" spans="1:8" x14ac:dyDescent="0.25">
      <c r="A4426" t="s">
        <v>4432</v>
      </c>
      <c r="B4426">
        <v>3506</v>
      </c>
      <c r="C4426">
        <v>7896022204846</v>
      </c>
      <c r="D4426">
        <v>4.49</v>
      </c>
      <c r="E4426">
        <v>3.05</v>
      </c>
      <c r="F4426" s="3">
        <v>0.29289999999999999</v>
      </c>
      <c r="G4426">
        <v>2.8607</v>
      </c>
      <c r="H4426">
        <v>1.833</v>
      </c>
    </row>
    <row r="4427" spans="1:8" x14ac:dyDescent="0.25">
      <c r="A4427" t="s">
        <v>4433</v>
      </c>
      <c r="B4427">
        <v>3362</v>
      </c>
      <c r="C4427">
        <v>7896022200220</v>
      </c>
      <c r="D4427">
        <v>4.49</v>
      </c>
      <c r="E4427">
        <v>3.09</v>
      </c>
      <c r="F4427" s="3">
        <v>0.29039999999999999</v>
      </c>
      <c r="G4427">
        <v>2.8719000000000001</v>
      </c>
      <c r="H4427">
        <v>6.367</v>
      </c>
    </row>
    <row r="4428" spans="1:8" x14ac:dyDescent="0.25">
      <c r="A4428" t="s">
        <v>4434</v>
      </c>
      <c r="B4428">
        <v>3363</v>
      </c>
      <c r="C4428">
        <v>7896022200145</v>
      </c>
      <c r="D4428">
        <v>4.49</v>
      </c>
      <c r="E4428">
        <v>3.08</v>
      </c>
      <c r="F4428" s="3">
        <v>0.2954</v>
      </c>
      <c r="G4428">
        <v>2.8492000000000002</v>
      </c>
      <c r="H4428">
        <v>5.5670000000000002</v>
      </c>
    </row>
    <row r="4429" spans="1:8" x14ac:dyDescent="0.25">
      <c r="A4429" t="s">
        <v>4435</v>
      </c>
      <c r="B4429">
        <v>3380</v>
      </c>
      <c r="C4429">
        <v>7896022200282</v>
      </c>
      <c r="D4429">
        <v>4.29</v>
      </c>
      <c r="E4429">
        <v>3.09</v>
      </c>
      <c r="F4429" s="3">
        <v>0.26090000000000002</v>
      </c>
      <c r="G4429">
        <v>2.8706999999999998</v>
      </c>
      <c r="H4429">
        <v>33.466999999999999</v>
      </c>
    </row>
    <row r="4430" spans="1:8" x14ac:dyDescent="0.25">
      <c r="A4430" t="s">
        <v>4436</v>
      </c>
      <c r="B4430">
        <v>3383</v>
      </c>
      <c r="C4430">
        <v>7896022200275</v>
      </c>
      <c r="D4430">
        <v>4.29</v>
      </c>
      <c r="E4430">
        <v>3.08</v>
      </c>
      <c r="F4430" s="3">
        <v>0.26219999999999999</v>
      </c>
      <c r="G4430">
        <v>2.8650000000000002</v>
      </c>
      <c r="H4430">
        <v>4.9669999999999996</v>
      </c>
    </row>
    <row r="4431" spans="1:8" x14ac:dyDescent="0.25">
      <c r="A4431" t="s">
        <v>4437</v>
      </c>
      <c r="B4431">
        <v>11851</v>
      </c>
      <c r="C4431">
        <v>7896022204853</v>
      </c>
      <c r="D4431">
        <v>4.29</v>
      </c>
      <c r="E4431">
        <v>3.09</v>
      </c>
      <c r="F4431" s="3">
        <v>0.26100000000000001</v>
      </c>
      <c r="G4431">
        <v>2.8702000000000001</v>
      </c>
      <c r="H4431">
        <v>8.4</v>
      </c>
    </row>
    <row r="4432" spans="1:8" x14ac:dyDescent="0.25">
      <c r="A4432" t="s">
        <v>4438</v>
      </c>
      <c r="B4432">
        <v>3400</v>
      </c>
      <c r="C4432">
        <v>7896022200138</v>
      </c>
      <c r="D4432">
        <v>5.29</v>
      </c>
      <c r="E4432">
        <v>3.98</v>
      </c>
      <c r="F4432" s="3">
        <v>0.2306</v>
      </c>
      <c r="G4432">
        <v>3.7</v>
      </c>
      <c r="H4432">
        <v>2.2669999999999999</v>
      </c>
    </row>
    <row r="4433" spans="1:8" x14ac:dyDescent="0.25">
      <c r="A4433" t="s">
        <v>4439</v>
      </c>
      <c r="B4433">
        <v>3402</v>
      </c>
      <c r="C4433">
        <v>7896022201340</v>
      </c>
      <c r="D4433">
        <v>9.99</v>
      </c>
      <c r="E4433">
        <v>6.59</v>
      </c>
      <c r="F4433" s="3">
        <v>0.3165</v>
      </c>
      <c r="G4433">
        <v>6.1284999999999998</v>
      </c>
      <c r="H4433">
        <v>3.1669999999999998</v>
      </c>
    </row>
    <row r="4434" spans="1:8" x14ac:dyDescent="0.25">
      <c r="A4434" t="s">
        <v>4440</v>
      </c>
      <c r="B4434">
        <v>3407</v>
      </c>
      <c r="C4434">
        <v>7896022203634</v>
      </c>
      <c r="D4434">
        <v>9.99</v>
      </c>
      <c r="E4434">
        <v>6.59</v>
      </c>
      <c r="F4434" s="3">
        <v>0.31659999999999999</v>
      </c>
      <c r="G4434">
        <v>6.1280999999999999</v>
      </c>
      <c r="H4434">
        <v>2.4329999999999998</v>
      </c>
    </row>
    <row r="4435" spans="1:8" x14ac:dyDescent="0.25">
      <c r="A4435" t="s">
        <v>4441</v>
      </c>
      <c r="B4435">
        <v>13174</v>
      </c>
      <c r="C4435">
        <v>7896022203610</v>
      </c>
      <c r="D4435">
        <v>4.29</v>
      </c>
      <c r="E4435">
        <v>3.09</v>
      </c>
      <c r="F4435" s="3">
        <v>0.26030000000000003</v>
      </c>
      <c r="G4435">
        <v>2.8730000000000002</v>
      </c>
      <c r="H4435">
        <v>10.3</v>
      </c>
    </row>
    <row r="4436" spans="1:8" x14ac:dyDescent="0.25">
      <c r="A4436" t="s">
        <v>4442</v>
      </c>
      <c r="B4436">
        <v>3419</v>
      </c>
      <c r="C4436">
        <v>7896022200244</v>
      </c>
      <c r="D4436">
        <v>5.49</v>
      </c>
      <c r="E4436">
        <v>3.98</v>
      </c>
      <c r="F4436" s="3">
        <v>0.25590000000000002</v>
      </c>
      <c r="G4436">
        <v>3.7010000000000001</v>
      </c>
      <c r="H4436">
        <v>6.7670000000000003</v>
      </c>
    </row>
    <row r="4437" spans="1:8" x14ac:dyDescent="0.25">
      <c r="A4437" t="s">
        <v>4443</v>
      </c>
      <c r="B4437">
        <v>3420</v>
      </c>
      <c r="C4437">
        <v>7896022200251</v>
      </c>
      <c r="D4437">
        <v>5.49</v>
      </c>
      <c r="E4437">
        <v>3.98</v>
      </c>
      <c r="F4437" s="3">
        <v>0.25590000000000002</v>
      </c>
      <c r="G4437">
        <v>3.7010000000000001</v>
      </c>
      <c r="H4437">
        <v>3.9670000000000001</v>
      </c>
    </row>
    <row r="4438" spans="1:8" x14ac:dyDescent="0.25">
      <c r="A4438" t="s">
        <v>4444</v>
      </c>
      <c r="B4438">
        <v>3422</v>
      </c>
      <c r="C4438">
        <v>7896022200152</v>
      </c>
      <c r="D4438">
        <v>4.29</v>
      </c>
      <c r="E4438">
        <v>3.09</v>
      </c>
      <c r="F4438" s="3">
        <v>0.26</v>
      </c>
      <c r="G4438">
        <v>2.8742000000000001</v>
      </c>
      <c r="H4438">
        <v>7.0670000000000002</v>
      </c>
    </row>
    <row r="4439" spans="1:8" x14ac:dyDescent="0.25">
      <c r="A4439" t="s">
        <v>4445</v>
      </c>
      <c r="B4439">
        <v>3425</v>
      </c>
      <c r="C4439">
        <v>7896022200206</v>
      </c>
      <c r="D4439">
        <v>4.29</v>
      </c>
      <c r="E4439">
        <v>3.07</v>
      </c>
      <c r="F4439" s="3">
        <v>0.26590000000000003</v>
      </c>
      <c r="G4439">
        <v>2.8492000000000002</v>
      </c>
      <c r="H4439">
        <v>29.266999999999999</v>
      </c>
    </row>
    <row r="4440" spans="1:8" x14ac:dyDescent="0.25">
      <c r="A4440" t="s">
        <v>4446</v>
      </c>
      <c r="B4440">
        <v>3427</v>
      </c>
      <c r="C4440">
        <v>7896022200213</v>
      </c>
      <c r="D4440">
        <v>4.29</v>
      </c>
      <c r="E4440">
        <v>3.07</v>
      </c>
      <c r="F4440" s="3">
        <v>0.2641</v>
      </c>
      <c r="G4440">
        <v>2.8569</v>
      </c>
      <c r="H4440">
        <v>18.533000000000001</v>
      </c>
    </row>
    <row r="4441" spans="1:8" x14ac:dyDescent="0.25">
      <c r="A4441" t="s">
        <v>4447</v>
      </c>
      <c r="B4441">
        <v>3436</v>
      </c>
      <c r="C4441">
        <v>7896022200022</v>
      </c>
      <c r="D4441">
        <v>8.99</v>
      </c>
      <c r="E4441">
        <v>6.59</v>
      </c>
      <c r="F4441" s="3">
        <v>0.24840000000000001</v>
      </c>
      <c r="G4441">
        <v>6.1276000000000002</v>
      </c>
      <c r="H4441">
        <v>2.5670000000000002</v>
      </c>
    </row>
    <row r="4442" spans="1:8" x14ac:dyDescent="0.25">
      <c r="A4442" t="s">
        <v>4448</v>
      </c>
      <c r="B4442">
        <v>3439</v>
      </c>
      <c r="C4442">
        <v>7896022200039</v>
      </c>
      <c r="D4442">
        <v>8.99</v>
      </c>
      <c r="E4442">
        <v>6.59</v>
      </c>
      <c r="F4442" s="3">
        <v>0.24840000000000001</v>
      </c>
      <c r="G4442">
        <v>6.1276999999999999</v>
      </c>
      <c r="H4442">
        <v>2.633</v>
      </c>
    </row>
    <row r="4443" spans="1:8" x14ac:dyDescent="0.25">
      <c r="A4443" t="s">
        <v>4449</v>
      </c>
      <c r="B4443">
        <v>11855</v>
      </c>
      <c r="C4443">
        <v>7896022204174</v>
      </c>
      <c r="D4443">
        <v>7.49</v>
      </c>
      <c r="E4443">
        <v>5.5</v>
      </c>
      <c r="F4443" s="3">
        <v>0.24739999999999998</v>
      </c>
      <c r="G4443">
        <v>5.1128</v>
      </c>
      <c r="H4443">
        <v>3.8</v>
      </c>
    </row>
    <row r="4444" spans="1:8" x14ac:dyDescent="0.25">
      <c r="A4444" t="s">
        <v>4450</v>
      </c>
      <c r="B4444">
        <v>12111</v>
      </c>
      <c r="C4444">
        <v>7896022204150</v>
      </c>
      <c r="D4444">
        <v>7.49</v>
      </c>
      <c r="E4444">
        <v>5.5</v>
      </c>
      <c r="F4444" s="3">
        <v>0.2477</v>
      </c>
      <c r="G4444">
        <v>5.1101999999999999</v>
      </c>
      <c r="H4444">
        <v>5.8330000000000002</v>
      </c>
    </row>
    <row r="4445" spans="1:8" x14ac:dyDescent="0.25">
      <c r="A4445" t="s">
        <v>4451</v>
      </c>
      <c r="B4445">
        <v>11856</v>
      </c>
      <c r="C4445">
        <v>7896022204143</v>
      </c>
      <c r="D4445">
        <v>7.49</v>
      </c>
      <c r="E4445">
        <v>5.49</v>
      </c>
      <c r="F4445" s="3">
        <v>0.24829999999999999</v>
      </c>
      <c r="G4445">
        <v>5.1062000000000003</v>
      </c>
      <c r="H4445">
        <v>1.4670000000000001</v>
      </c>
    </row>
    <row r="4446" spans="1:8" x14ac:dyDescent="0.25">
      <c r="A4446" t="s">
        <v>4452</v>
      </c>
      <c r="B4446">
        <v>8984</v>
      </c>
      <c r="C4446">
        <v>8009452227036</v>
      </c>
      <c r="D4446">
        <v>24.9</v>
      </c>
      <c r="E4446">
        <v>19.809999999999999</v>
      </c>
      <c r="F4446" s="3">
        <v>0.19010000000000002</v>
      </c>
      <c r="G4446">
        <v>18.424099999999999</v>
      </c>
      <c r="H4446">
        <v>0.16700000000000001</v>
      </c>
    </row>
    <row r="4447" spans="1:8" x14ac:dyDescent="0.25">
      <c r="A4447" t="s">
        <v>4453</v>
      </c>
      <c r="B4447">
        <v>8985</v>
      </c>
      <c r="C4447">
        <v>8009452273514</v>
      </c>
      <c r="D4447">
        <v>29.9</v>
      </c>
      <c r="E4447">
        <v>21.7</v>
      </c>
      <c r="F4447" s="3">
        <v>0.25509999999999999</v>
      </c>
      <c r="G4447">
        <v>20.180800000000001</v>
      </c>
      <c r="H4447">
        <v>0.1</v>
      </c>
    </row>
    <row r="4448" spans="1:8" x14ac:dyDescent="0.25">
      <c r="A4448" t="s">
        <v>4454</v>
      </c>
      <c r="B4448">
        <v>8986</v>
      </c>
      <c r="C4448">
        <v>8009452227074</v>
      </c>
      <c r="D4448">
        <v>24.9</v>
      </c>
      <c r="E4448">
        <v>20.75</v>
      </c>
      <c r="F4448" s="3">
        <v>0.15090000000000001</v>
      </c>
      <c r="G4448">
        <v>19.3993</v>
      </c>
      <c r="H4448">
        <v>0.2</v>
      </c>
    </row>
    <row r="4449" spans="1:8" x14ac:dyDescent="0.25">
      <c r="A4449" t="s">
        <v>4455</v>
      </c>
      <c r="B4449">
        <v>63607</v>
      </c>
      <c r="C4449">
        <v>8009452227012</v>
      </c>
      <c r="D4449">
        <v>25.9</v>
      </c>
      <c r="E4449">
        <v>21.08</v>
      </c>
      <c r="F4449" s="3">
        <v>0.17309999999999998</v>
      </c>
      <c r="G4449">
        <v>19.604600000000001</v>
      </c>
      <c r="H4449">
        <v>0.23300000000000001</v>
      </c>
    </row>
    <row r="4450" spans="1:8" x14ac:dyDescent="0.25">
      <c r="A4450" t="s">
        <v>4456</v>
      </c>
      <c r="B4450">
        <v>67654</v>
      </c>
      <c r="C4450">
        <v>7896196065373</v>
      </c>
      <c r="D4450">
        <v>21.9</v>
      </c>
      <c r="E4450">
        <v>16.73</v>
      </c>
      <c r="F4450" s="3">
        <v>0.23600000000000002</v>
      </c>
      <c r="G4450">
        <v>16.730599999999999</v>
      </c>
      <c r="H4450">
        <v>0.6</v>
      </c>
    </row>
    <row r="4451" spans="1:8" x14ac:dyDescent="0.25">
      <c r="A4451" t="s">
        <v>4457</v>
      </c>
      <c r="B4451">
        <v>67652</v>
      </c>
      <c r="C4451">
        <v>7896196062600</v>
      </c>
      <c r="D4451">
        <v>21.9</v>
      </c>
      <c r="E4451">
        <v>16.73</v>
      </c>
      <c r="F4451" s="3">
        <v>0.23600000000000002</v>
      </c>
      <c r="G4451">
        <v>16.730499999999999</v>
      </c>
      <c r="H4451">
        <v>0.86699999999999999</v>
      </c>
    </row>
    <row r="4452" spans="1:8" x14ac:dyDescent="0.25">
      <c r="A4452" t="s">
        <v>4458</v>
      </c>
      <c r="B4452">
        <v>67653</v>
      </c>
      <c r="C4452">
        <v>7896196062594</v>
      </c>
      <c r="D4452">
        <v>21.9</v>
      </c>
      <c r="E4452">
        <v>16.73</v>
      </c>
      <c r="F4452" s="3">
        <v>0.2361</v>
      </c>
      <c r="G4452">
        <v>16.730499999999999</v>
      </c>
      <c r="H4452">
        <v>0.76700000000000002</v>
      </c>
    </row>
    <row r="4453" spans="1:8" x14ac:dyDescent="0.25">
      <c r="A4453" t="s">
        <v>4459</v>
      </c>
      <c r="B4453">
        <v>66312</v>
      </c>
      <c r="C4453">
        <v>4002861593017</v>
      </c>
      <c r="D4453">
        <v>21.9</v>
      </c>
      <c r="E4453">
        <v>14.85</v>
      </c>
      <c r="F4453" s="3">
        <v>0.2999</v>
      </c>
      <c r="G4453">
        <v>13.799300000000001</v>
      </c>
      <c r="H4453">
        <v>0.433</v>
      </c>
    </row>
    <row r="4454" spans="1:8" x14ac:dyDescent="0.25">
      <c r="A4454" t="s">
        <v>4460</v>
      </c>
      <c r="B4454">
        <v>3325</v>
      </c>
      <c r="C4454">
        <v>7896482400024</v>
      </c>
      <c r="D4454">
        <v>10.9</v>
      </c>
      <c r="E4454">
        <v>7.13</v>
      </c>
      <c r="F4454" s="3">
        <v>0.31950000000000001</v>
      </c>
      <c r="G4454">
        <v>6.6543999999999999</v>
      </c>
      <c r="H4454">
        <v>2.367</v>
      </c>
    </row>
    <row r="4455" spans="1:8" x14ac:dyDescent="0.25">
      <c r="A4455" t="s">
        <v>4461</v>
      </c>
      <c r="B4455">
        <v>3326</v>
      </c>
      <c r="C4455">
        <v>7896482400031</v>
      </c>
      <c r="D4455">
        <v>10.9</v>
      </c>
      <c r="E4455">
        <v>7.11</v>
      </c>
      <c r="F4455" s="3">
        <v>0.32250000000000001</v>
      </c>
      <c r="G4455">
        <v>6.6212999999999997</v>
      </c>
      <c r="H4455">
        <v>1.7669999999999999</v>
      </c>
    </row>
    <row r="4456" spans="1:8" x14ac:dyDescent="0.25">
      <c r="A4456" t="s">
        <v>4462</v>
      </c>
      <c r="B4456">
        <v>3327</v>
      </c>
      <c r="C4456">
        <v>7898077980911</v>
      </c>
      <c r="D4456">
        <v>18.899999999999999</v>
      </c>
      <c r="E4456">
        <v>11.43</v>
      </c>
      <c r="F4456" s="3">
        <v>0.36759999999999998</v>
      </c>
      <c r="G4456">
        <v>10.63</v>
      </c>
      <c r="H4456">
        <v>1.3</v>
      </c>
    </row>
    <row r="4457" spans="1:8" x14ac:dyDescent="0.25">
      <c r="A4457" t="s">
        <v>4463</v>
      </c>
      <c r="B4457">
        <v>19420</v>
      </c>
      <c r="C4457">
        <v>3083680002929</v>
      </c>
      <c r="D4457">
        <v>22.9</v>
      </c>
      <c r="E4457">
        <v>17.97</v>
      </c>
      <c r="F4457" s="3">
        <v>0.19519999999999998</v>
      </c>
      <c r="G4457">
        <v>16.311699999999998</v>
      </c>
      <c r="H4457">
        <v>0.36699999999999999</v>
      </c>
    </row>
    <row r="4458" spans="1:8" x14ac:dyDescent="0.25">
      <c r="A4458" t="s">
        <v>4464</v>
      </c>
      <c r="B4458">
        <v>9445</v>
      </c>
      <c r="C4458">
        <v>7891700206921</v>
      </c>
      <c r="D4458">
        <v>5</v>
      </c>
      <c r="E4458">
        <v>5.59</v>
      </c>
      <c r="F4458" s="3">
        <v>-0.10730000000000001</v>
      </c>
      <c r="G4458">
        <v>5.0753000000000004</v>
      </c>
      <c r="H4458">
        <v>7.633</v>
      </c>
    </row>
    <row r="4459" spans="1:8" x14ac:dyDescent="0.25">
      <c r="A4459" t="s">
        <v>4465</v>
      </c>
      <c r="B4459">
        <v>67871</v>
      </c>
      <c r="C4459">
        <v>3077311621054</v>
      </c>
      <c r="D4459">
        <v>25.9</v>
      </c>
      <c r="E4459">
        <v>17.440000000000001</v>
      </c>
      <c r="F4459" s="3">
        <v>0.29630000000000001</v>
      </c>
      <c r="G4459">
        <v>15.83</v>
      </c>
      <c r="H4459">
        <v>0.13300000000000001</v>
      </c>
    </row>
    <row r="4460" spans="1:8" x14ac:dyDescent="0.25">
      <c r="A4460" t="s">
        <v>4466</v>
      </c>
      <c r="B4460">
        <v>67649</v>
      </c>
      <c r="C4460">
        <v>3077316921050</v>
      </c>
      <c r="D4460">
        <v>25.9</v>
      </c>
      <c r="E4460">
        <v>17.440000000000001</v>
      </c>
      <c r="F4460" s="3">
        <v>0.29630000000000001</v>
      </c>
      <c r="G4460">
        <v>15.83</v>
      </c>
      <c r="H4460">
        <v>0</v>
      </c>
    </row>
    <row r="4461" spans="1:8" x14ac:dyDescent="0.25">
      <c r="A4461" t="s">
        <v>4467</v>
      </c>
      <c r="B4461">
        <v>10051</v>
      </c>
      <c r="C4461">
        <v>7896102594041</v>
      </c>
      <c r="D4461">
        <v>12.99</v>
      </c>
      <c r="E4461">
        <v>9.2799999999999994</v>
      </c>
      <c r="F4461" s="3">
        <v>0.25590000000000002</v>
      </c>
      <c r="G4461">
        <v>8.4639000000000006</v>
      </c>
      <c r="H4461">
        <v>9.9329999999999998</v>
      </c>
    </row>
    <row r="4462" spans="1:8" x14ac:dyDescent="0.25">
      <c r="A4462" t="s">
        <v>4468</v>
      </c>
      <c r="B4462">
        <v>62232</v>
      </c>
      <c r="C4462">
        <v>7896102502077</v>
      </c>
      <c r="D4462">
        <v>13.99</v>
      </c>
      <c r="E4462">
        <v>10.95</v>
      </c>
      <c r="F4462" s="3">
        <v>0.184</v>
      </c>
      <c r="G4462">
        <v>10.122400000000001</v>
      </c>
      <c r="H4462">
        <v>9.5670000000000002</v>
      </c>
    </row>
    <row r="4463" spans="1:8" x14ac:dyDescent="0.25">
      <c r="A4463" t="s">
        <v>4469</v>
      </c>
      <c r="B4463">
        <v>65382</v>
      </c>
      <c r="C4463">
        <v>7896102502589</v>
      </c>
      <c r="D4463">
        <v>13.99</v>
      </c>
      <c r="E4463">
        <v>10.220000000000001</v>
      </c>
      <c r="F4463" s="3">
        <v>0.24440000000000001</v>
      </c>
      <c r="G4463">
        <v>9.2771000000000008</v>
      </c>
      <c r="H4463">
        <v>6.1669999999999998</v>
      </c>
    </row>
    <row r="4464" spans="1:8" x14ac:dyDescent="0.25">
      <c r="A4464" t="s">
        <v>4470</v>
      </c>
      <c r="B4464">
        <v>50380</v>
      </c>
      <c r="C4464">
        <v>7896102583182</v>
      </c>
      <c r="D4464">
        <v>15.99</v>
      </c>
      <c r="E4464">
        <v>11.48</v>
      </c>
      <c r="F4464" s="3">
        <v>0.2571</v>
      </c>
      <c r="G4464">
        <v>10.399900000000001</v>
      </c>
      <c r="H4464">
        <v>35.1</v>
      </c>
    </row>
    <row r="4465" spans="1:8" x14ac:dyDescent="0.25">
      <c r="A4465" t="s">
        <v>4471</v>
      </c>
      <c r="B4465">
        <v>60372</v>
      </c>
      <c r="C4465">
        <v>7896102582949</v>
      </c>
      <c r="D4465">
        <v>19.899999999999999</v>
      </c>
      <c r="E4465">
        <v>14.6</v>
      </c>
      <c r="F4465" s="3">
        <v>0.2414</v>
      </c>
      <c r="G4465">
        <v>13.2555</v>
      </c>
      <c r="H4465">
        <v>6.867</v>
      </c>
    </row>
    <row r="4466" spans="1:8" x14ac:dyDescent="0.25">
      <c r="A4466" t="s">
        <v>4472</v>
      </c>
      <c r="B4466">
        <v>6542</v>
      </c>
      <c r="C4466">
        <v>7894000050027</v>
      </c>
      <c r="D4466">
        <v>7.99</v>
      </c>
      <c r="E4466">
        <v>6.22</v>
      </c>
      <c r="F4466" s="3">
        <v>0.20149999999999998</v>
      </c>
      <c r="G4466">
        <v>5.6406000000000001</v>
      </c>
      <c r="H4466">
        <v>67.533000000000001</v>
      </c>
    </row>
    <row r="4467" spans="1:8" x14ac:dyDescent="0.25">
      <c r="A4467" t="s">
        <v>4473</v>
      </c>
      <c r="B4467">
        <v>68129</v>
      </c>
      <c r="C4467">
        <v>7891150099371</v>
      </c>
      <c r="D4467">
        <v>10.38</v>
      </c>
      <c r="E4467">
        <v>10.130000000000001</v>
      </c>
      <c r="F4467" s="3">
        <v>2.2000000000000002E-2</v>
      </c>
      <c r="G4467">
        <v>9.1920999999999999</v>
      </c>
      <c r="H4467">
        <v>13.933</v>
      </c>
    </row>
    <row r="4468" spans="1:8" x14ac:dyDescent="0.25">
      <c r="A4468" t="s">
        <v>4474</v>
      </c>
      <c r="B4468">
        <v>62413</v>
      </c>
      <c r="C4468">
        <v>7891150089501</v>
      </c>
      <c r="D4468">
        <v>10.99</v>
      </c>
      <c r="E4468">
        <v>10.130000000000001</v>
      </c>
      <c r="F4468" s="3">
        <v>7.1099999999999997E-2</v>
      </c>
      <c r="G4468">
        <v>9.1920999999999999</v>
      </c>
      <c r="H4468">
        <v>9.8000000000000007</v>
      </c>
    </row>
    <row r="4469" spans="1:8" x14ac:dyDescent="0.25">
      <c r="A4469" t="s">
        <v>4475</v>
      </c>
      <c r="B4469">
        <v>66801</v>
      </c>
      <c r="C4469">
        <v>7891150096462</v>
      </c>
      <c r="D4469">
        <v>10.99</v>
      </c>
      <c r="E4469">
        <v>10.130000000000001</v>
      </c>
      <c r="F4469" s="3">
        <v>7.1199999999999999E-2</v>
      </c>
      <c r="G4469">
        <v>9.1910000000000007</v>
      </c>
      <c r="H4469">
        <v>9.1</v>
      </c>
    </row>
    <row r="4470" spans="1:8" x14ac:dyDescent="0.25">
      <c r="A4470" t="s">
        <v>4476</v>
      </c>
      <c r="B4470">
        <v>59206</v>
      </c>
      <c r="C4470">
        <v>7891150079908</v>
      </c>
      <c r="D4470">
        <v>10.99</v>
      </c>
      <c r="E4470">
        <v>10.119999999999999</v>
      </c>
      <c r="F4470" s="3">
        <v>7.1800000000000003E-2</v>
      </c>
      <c r="G4470">
        <v>9.1841000000000008</v>
      </c>
      <c r="H4470">
        <v>3.7</v>
      </c>
    </row>
    <row r="4471" spans="1:8" x14ac:dyDescent="0.25">
      <c r="A4471" t="s">
        <v>4477</v>
      </c>
      <c r="B4471">
        <v>63935</v>
      </c>
      <c r="C4471">
        <v>7891150090835</v>
      </c>
      <c r="D4471">
        <v>10.99</v>
      </c>
      <c r="E4471">
        <v>10.130000000000001</v>
      </c>
      <c r="F4471" s="3">
        <v>7.1099999999999997E-2</v>
      </c>
      <c r="G4471">
        <v>9.1920999999999999</v>
      </c>
      <c r="H4471">
        <v>14.4</v>
      </c>
    </row>
    <row r="4472" spans="1:8" x14ac:dyDescent="0.25">
      <c r="A4472" t="s">
        <v>4478</v>
      </c>
      <c r="B4472">
        <v>15621</v>
      </c>
      <c r="C4472">
        <v>7891150027800</v>
      </c>
      <c r="D4472">
        <v>10.99</v>
      </c>
      <c r="E4472">
        <v>10.130000000000001</v>
      </c>
      <c r="F4472" s="3">
        <v>7.1199999999999999E-2</v>
      </c>
      <c r="G4472">
        <v>9.1913999999999998</v>
      </c>
      <c r="H4472">
        <v>8.3670000000000009</v>
      </c>
    </row>
    <row r="4473" spans="1:8" x14ac:dyDescent="0.25">
      <c r="A4473" t="s">
        <v>4479</v>
      </c>
      <c r="B4473">
        <v>59205</v>
      </c>
      <c r="C4473">
        <v>7891150094864</v>
      </c>
      <c r="D4473">
        <v>10.99</v>
      </c>
      <c r="E4473">
        <v>9.1999999999999993</v>
      </c>
      <c r="F4473" s="3">
        <v>0.1497</v>
      </c>
      <c r="G4473">
        <v>8.3286999999999995</v>
      </c>
      <c r="H4473">
        <v>0.7</v>
      </c>
    </row>
    <row r="4474" spans="1:8" x14ac:dyDescent="0.25">
      <c r="A4474" t="s">
        <v>4480</v>
      </c>
      <c r="B4474">
        <v>6546</v>
      </c>
      <c r="C4474">
        <v>7894000050720</v>
      </c>
      <c r="D4474">
        <v>13.99</v>
      </c>
      <c r="E4474">
        <v>10.220000000000001</v>
      </c>
      <c r="F4474" s="3">
        <v>0.24440000000000001</v>
      </c>
      <c r="G4474">
        <v>9.2767999999999997</v>
      </c>
      <c r="H4474">
        <v>20.6</v>
      </c>
    </row>
    <row r="4475" spans="1:8" x14ac:dyDescent="0.25">
      <c r="A4475" t="s">
        <v>4481</v>
      </c>
      <c r="B4475">
        <v>6547</v>
      </c>
      <c r="C4475">
        <v>7894000050539</v>
      </c>
      <c r="D4475">
        <v>13.99</v>
      </c>
      <c r="E4475">
        <v>10.23</v>
      </c>
      <c r="F4475" s="3">
        <v>0.24359999999999998</v>
      </c>
      <c r="G4475">
        <v>9.2875999999999994</v>
      </c>
      <c r="H4475">
        <v>6.8330000000000002</v>
      </c>
    </row>
    <row r="4476" spans="1:8" x14ac:dyDescent="0.25">
      <c r="A4476" t="s">
        <v>4482</v>
      </c>
      <c r="B4476">
        <v>6548</v>
      </c>
      <c r="C4476">
        <v>7894000050034</v>
      </c>
      <c r="D4476">
        <v>13.49</v>
      </c>
      <c r="E4476">
        <v>10.23</v>
      </c>
      <c r="F4476" s="3">
        <v>0.21899999999999997</v>
      </c>
      <c r="G4476">
        <v>9.2874999999999996</v>
      </c>
      <c r="H4476">
        <v>21.766999999999999</v>
      </c>
    </row>
    <row r="4477" spans="1:8" x14ac:dyDescent="0.25">
      <c r="A4477" t="s">
        <v>4483</v>
      </c>
      <c r="B4477">
        <v>58342</v>
      </c>
      <c r="C4477">
        <v>7891150078611</v>
      </c>
      <c r="D4477">
        <v>22.9</v>
      </c>
      <c r="E4477">
        <v>15.33</v>
      </c>
      <c r="F4477" s="3">
        <v>0.2404</v>
      </c>
      <c r="G4477">
        <v>11.154199999999999</v>
      </c>
      <c r="H4477">
        <v>2.367</v>
      </c>
    </row>
    <row r="4478" spans="1:8" x14ac:dyDescent="0.25">
      <c r="A4478" t="s">
        <v>4484</v>
      </c>
      <c r="B4478">
        <v>61588</v>
      </c>
      <c r="C4478">
        <v>7891150072053</v>
      </c>
      <c r="D4478">
        <v>13.99</v>
      </c>
      <c r="E4478">
        <v>10.23</v>
      </c>
      <c r="F4478" s="3">
        <v>0.2437</v>
      </c>
      <c r="G4478">
        <v>9.2867999999999995</v>
      </c>
      <c r="H4478">
        <v>45.8</v>
      </c>
    </row>
    <row r="4479" spans="1:8" x14ac:dyDescent="0.25">
      <c r="A4479" t="s">
        <v>4485</v>
      </c>
      <c r="B4479">
        <v>61828</v>
      </c>
      <c r="C4479">
        <v>7891150080546</v>
      </c>
      <c r="D4479">
        <v>15.49</v>
      </c>
      <c r="E4479">
        <v>11.32</v>
      </c>
      <c r="F4479" s="3">
        <v>0.24399999999999999</v>
      </c>
      <c r="G4479">
        <v>10.276999999999999</v>
      </c>
      <c r="H4479">
        <v>11.5</v>
      </c>
    </row>
    <row r="4480" spans="1:8" x14ac:dyDescent="0.25">
      <c r="A4480" t="s">
        <v>4486</v>
      </c>
      <c r="B4480">
        <v>30059</v>
      </c>
      <c r="C4480">
        <v>7891031412022</v>
      </c>
      <c r="D4480">
        <v>0</v>
      </c>
      <c r="E4480">
        <v>6.9</v>
      </c>
      <c r="F4480" s="3">
        <v>0</v>
      </c>
      <c r="G4480">
        <v>6.2603</v>
      </c>
      <c r="H4480">
        <v>2.2999999999999998</v>
      </c>
    </row>
    <row r="4481" spans="1:8" x14ac:dyDescent="0.25">
      <c r="A4481" t="s">
        <v>4487</v>
      </c>
      <c r="B4481">
        <v>66885</v>
      </c>
      <c r="C4481">
        <v>49843330</v>
      </c>
      <c r="D4481">
        <v>29.9</v>
      </c>
      <c r="E4481">
        <v>17.5</v>
      </c>
      <c r="F4481" s="3">
        <v>0.3765</v>
      </c>
      <c r="G4481">
        <v>15.8773</v>
      </c>
      <c r="H4481">
        <v>1.6140000000000001</v>
      </c>
    </row>
    <row r="4482" spans="1:8" x14ac:dyDescent="0.25">
      <c r="A4482" t="s">
        <v>4488</v>
      </c>
      <c r="B4482">
        <v>67759</v>
      </c>
      <c r="C4482">
        <v>7898965052140</v>
      </c>
      <c r="D4482">
        <v>18.899999999999999</v>
      </c>
      <c r="E4482">
        <v>14.08</v>
      </c>
      <c r="F4482" s="3">
        <v>0.23129999999999998</v>
      </c>
      <c r="G4482">
        <v>12.780799999999999</v>
      </c>
      <c r="H4482">
        <v>1.5</v>
      </c>
    </row>
    <row r="4483" spans="1:8" x14ac:dyDescent="0.25">
      <c r="A4483" t="s">
        <v>4489</v>
      </c>
      <c r="B4483">
        <v>58341</v>
      </c>
      <c r="C4483">
        <v>7891150078185</v>
      </c>
      <c r="D4483">
        <v>16.989999999999998</v>
      </c>
      <c r="E4483">
        <v>11.35</v>
      </c>
      <c r="F4483" s="3">
        <v>0.30130000000000001</v>
      </c>
      <c r="G4483">
        <v>10.2997</v>
      </c>
      <c r="H4483">
        <v>3.6</v>
      </c>
    </row>
    <row r="4484" spans="1:8" x14ac:dyDescent="0.25">
      <c r="A4484" t="s">
        <v>4490</v>
      </c>
      <c r="B4484">
        <v>67917</v>
      </c>
      <c r="C4484">
        <v>7896659100047</v>
      </c>
      <c r="D4484">
        <v>12.9</v>
      </c>
      <c r="E4484">
        <v>6.58</v>
      </c>
      <c r="F4484" s="3">
        <v>0.44479999999999997</v>
      </c>
      <c r="G4484">
        <v>5.9695</v>
      </c>
      <c r="H4484">
        <v>0.23300000000000001</v>
      </c>
    </row>
    <row r="4485" spans="1:8" x14ac:dyDescent="0.25">
      <c r="A4485" t="s">
        <v>4491</v>
      </c>
      <c r="B4485">
        <v>6575</v>
      </c>
      <c r="C4485">
        <v>7897122600149</v>
      </c>
      <c r="D4485">
        <v>14.7</v>
      </c>
      <c r="E4485">
        <v>10.71</v>
      </c>
      <c r="F4485" s="3">
        <v>0.23190000000000002</v>
      </c>
      <c r="G4485">
        <v>8.6446000000000005</v>
      </c>
      <c r="H4485">
        <v>0.76700000000000002</v>
      </c>
    </row>
    <row r="4486" spans="1:8" x14ac:dyDescent="0.25">
      <c r="A4486" t="s">
        <v>4492</v>
      </c>
      <c r="B4486">
        <v>6576</v>
      </c>
      <c r="C4486">
        <v>7897122600200</v>
      </c>
      <c r="D4486">
        <v>19.899999999999999</v>
      </c>
      <c r="E4486">
        <v>12.59</v>
      </c>
      <c r="F4486" s="3">
        <v>0.3009</v>
      </c>
      <c r="G4486">
        <v>10.3307</v>
      </c>
      <c r="H4486">
        <v>0.8</v>
      </c>
    </row>
    <row r="4487" spans="1:8" x14ac:dyDescent="0.25">
      <c r="A4487" t="s">
        <v>4493</v>
      </c>
      <c r="B4487">
        <v>6004</v>
      </c>
      <c r="C4487">
        <v>7891048044278</v>
      </c>
      <c r="D4487">
        <v>12.9</v>
      </c>
      <c r="E4487">
        <v>7.08</v>
      </c>
      <c r="F4487" s="3">
        <v>0.32719999999999999</v>
      </c>
      <c r="G4487">
        <v>5.1632999999999996</v>
      </c>
      <c r="H4487">
        <v>0.86699999999999999</v>
      </c>
    </row>
    <row r="4488" spans="1:8" x14ac:dyDescent="0.25">
      <c r="A4488" t="s">
        <v>4494</v>
      </c>
      <c r="B4488">
        <v>26241</v>
      </c>
      <c r="C4488">
        <v>7898629611027</v>
      </c>
      <c r="D4488">
        <v>4.49</v>
      </c>
      <c r="E4488">
        <v>1.5</v>
      </c>
      <c r="F4488" s="3">
        <v>0.60429999999999995</v>
      </c>
      <c r="G4488">
        <v>1.3612</v>
      </c>
      <c r="H4488">
        <v>1.0329999999999999</v>
      </c>
    </row>
    <row r="4489" spans="1:8" x14ac:dyDescent="0.25">
      <c r="A4489" t="s">
        <v>4495</v>
      </c>
      <c r="B4489">
        <v>4784</v>
      </c>
      <c r="C4489">
        <v>7891095156108</v>
      </c>
      <c r="D4489">
        <v>4.49</v>
      </c>
      <c r="E4489">
        <v>1.77</v>
      </c>
      <c r="F4489" s="3">
        <v>0.44140000000000001</v>
      </c>
      <c r="G4489">
        <v>1.2846</v>
      </c>
      <c r="H4489">
        <v>3.4</v>
      </c>
    </row>
    <row r="4490" spans="1:8" x14ac:dyDescent="0.25">
      <c r="A4490" t="s">
        <v>4496</v>
      </c>
      <c r="B4490">
        <v>26246</v>
      </c>
      <c r="C4490">
        <v>7898629611034</v>
      </c>
      <c r="D4490">
        <v>5.49</v>
      </c>
      <c r="E4490">
        <v>1.5</v>
      </c>
      <c r="F4490" s="3">
        <v>0.72680000000000011</v>
      </c>
      <c r="G4490">
        <v>1.5</v>
      </c>
      <c r="H4490">
        <v>0.36699999999999999</v>
      </c>
    </row>
    <row r="4491" spans="1:8" x14ac:dyDescent="0.25">
      <c r="A4491" t="s">
        <v>4497</v>
      </c>
      <c r="B4491">
        <v>67780</v>
      </c>
      <c r="C4491">
        <v>8027785987168</v>
      </c>
      <c r="D4491" s="1">
        <v>1400</v>
      </c>
      <c r="E4491">
        <v>0</v>
      </c>
      <c r="F4491" s="3">
        <v>0.72750000000000004</v>
      </c>
      <c r="G4491">
        <v>0</v>
      </c>
      <c r="H4491">
        <v>0</v>
      </c>
    </row>
    <row r="4492" spans="1:8" x14ac:dyDescent="0.25">
      <c r="A4492" t="s">
        <v>4498</v>
      </c>
      <c r="B4492">
        <v>67569</v>
      </c>
      <c r="C4492">
        <v>8027785172922</v>
      </c>
      <c r="D4492">
        <v>499</v>
      </c>
      <c r="E4492">
        <v>0</v>
      </c>
      <c r="F4492" s="3">
        <v>0.72750000000000004</v>
      </c>
      <c r="G4492">
        <v>0</v>
      </c>
      <c r="H4492">
        <v>0</v>
      </c>
    </row>
    <row r="4493" spans="1:8" x14ac:dyDescent="0.25">
      <c r="A4493" t="s">
        <v>4499</v>
      </c>
      <c r="B4493">
        <v>59484</v>
      </c>
      <c r="C4493">
        <v>7896045101382</v>
      </c>
      <c r="D4493">
        <v>599</v>
      </c>
      <c r="E4493">
        <v>555.52</v>
      </c>
      <c r="F4493" s="3">
        <v>6.59E-2</v>
      </c>
      <c r="G4493">
        <v>504.13220000000001</v>
      </c>
      <c r="H4493">
        <v>1</v>
      </c>
    </row>
    <row r="4494" spans="1:8" x14ac:dyDescent="0.25">
      <c r="A4494" t="s">
        <v>4500</v>
      </c>
      <c r="B4494">
        <v>59485</v>
      </c>
      <c r="C4494">
        <v>7896045101399</v>
      </c>
      <c r="D4494">
        <v>599</v>
      </c>
      <c r="E4494">
        <v>482.79</v>
      </c>
      <c r="F4494" s="3">
        <v>0.1981</v>
      </c>
      <c r="G4494">
        <v>424.93419999999998</v>
      </c>
      <c r="H4494">
        <v>0</v>
      </c>
    </row>
    <row r="4495" spans="1:8" x14ac:dyDescent="0.25">
      <c r="A4495" t="s">
        <v>4501</v>
      </c>
      <c r="B4495">
        <v>63151</v>
      </c>
      <c r="C4495">
        <v>7896045101498</v>
      </c>
      <c r="D4495">
        <v>699</v>
      </c>
      <c r="E4495">
        <v>506.78</v>
      </c>
      <c r="F4495" s="3">
        <v>0.24960000000000002</v>
      </c>
      <c r="G4495">
        <v>459.9</v>
      </c>
      <c r="H4495">
        <v>0</v>
      </c>
    </row>
    <row r="4496" spans="1:8" x14ac:dyDescent="0.25">
      <c r="A4496" t="s">
        <v>4502</v>
      </c>
      <c r="B4496">
        <v>6009</v>
      </c>
      <c r="C4496">
        <v>7891048051054</v>
      </c>
      <c r="D4496">
        <v>4.99</v>
      </c>
      <c r="E4496">
        <v>3.26</v>
      </c>
      <c r="F4496" s="3">
        <v>0.25290000000000001</v>
      </c>
      <c r="G4496">
        <v>2.3685</v>
      </c>
      <c r="H4496">
        <v>6.1</v>
      </c>
    </row>
    <row r="4497" spans="1:8" x14ac:dyDescent="0.25">
      <c r="A4497" t="s">
        <v>4503</v>
      </c>
      <c r="B4497">
        <v>44346</v>
      </c>
      <c r="C4497">
        <v>7898629571918</v>
      </c>
      <c r="D4497">
        <v>7.49</v>
      </c>
      <c r="E4497">
        <v>4.5</v>
      </c>
      <c r="F4497" s="3">
        <v>0.2883</v>
      </c>
      <c r="G4497">
        <v>3.2898000000000001</v>
      </c>
      <c r="H4497">
        <v>4.9000000000000004</v>
      </c>
    </row>
    <row r="4498" spans="1:8" x14ac:dyDescent="0.25">
      <c r="A4498" t="s">
        <v>4504</v>
      </c>
      <c r="B4498">
        <v>44348</v>
      </c>
      <c r="C4498">
        <v>7898629571772</v>
      </c>
      <c r="D4498">
        <v>7.49</v>
      </c>
      <c r="E4498">
        <v>4.47</v>
      </c>
      <c r="F4498" s="3">
        <v>0.29100000000000004</v>
      </c>
      <c r="G4498">
        <v>3.2692000000000001</v>
      </c>
      <c r="H4498">
        <v>5.0999999999999996</v>
      </c>
    </row>
    <row r="4499" spans="1:8" x14ac:dyDescent="0.25">
      <c r="A4499" t="s">
        <v>4505</v>
      </c>
      <c r="B4499">
        <v>66855</v>
      </c>
      <c r="C4499">
        <v>7898629571765</v>
      </c>
      <c r="D4499">
        <v>7.49</v>
      </c>
      <c r="E4499">
        <v>4.5199999999999996</v>
      </c>
      <c r="F4499" s="3">
        <v>0.28489999999999999</v>
      </c>
      <c r="G4499">
        <v>3.3147000000000002</v>
      </c>
      <c r="H4499">
        <v>3.9670000000000001</v>
      </c>
    </row>
    <row r="4500" spans="1:8" x14ac:dyDescent="0.25">
      <c r="A4500" t="s">
        <v>4506</v>
      </c>
      <c r="B4500">
        <v>44349</v>
      </c>
      <c r="C4500">
        <v>7898629571789</v>
      </c>
      <c r="D4500">
        <v>7.49</v>
      </c>
      <c r="E4500">
        <v>4.4400000000000004</v>
      </c>
      <c r="F4500" s="3">
        <v>0.29510000000000003</v>
      </c>
      <c r="G4500">
        <v>3.2383000000000002</v>
      </c>
      <c r="H4500">
        <v>3.2</v>
      </c>
    </row>
    <row r="4501" spans="1:8" x14ac:dyDescent="0.25">
      <c r="A4501" t="s">
        <v>4507</v>
      </c>
      <c r="B4501">
        <v>61795</v>
      </c>
      <c r="C4501">
        <v>7891150080768</v>
      </c>
      <c r="D4501">
        <v>30.9</v>
      </c>
      <c r="E4501">
        <v>21.18</v>
      </c>
      <c r="F4501" s="3">
        <v>0.31440000000000001</v>
      </c>
      <c r="G4501">
        <v>21.184899999999999</v>
      </c>
      <c r="H4501">
        <v>0.13300000000000001</v>
      </c>
    </row>
    <row r="4502" spans="1:8" x14ac:dyDescent="0.25">
      <c r="A4502" t="s">
        <v>4508</v>
      </c>
      <c r="B4502">
        <v>61794</v>
      </c>
      <c r="C4502">
        <v>7891150080744</v>
      </c>
      <c r="D4502">
        <v>30.9</v>
      </c>
      <c r="E4502">
        <v>21.35</v>
      </c>
      <c r="F4502" s="3">
        <v>0.29760000000000003</v>
      </c>
      <c r="G4502">
        <v>21.703700000000001</v>
      </c>
      <c r="H4502">
        <v>0.3</v>
      </c>
    </row>
    <row r="4503" spans="1:8" x14ac:dyDescent="0.25">
      <c r="A4503" t="s">
        <v>4509</v>
      </c>
      <c r="B4503">
        <v>57190</v>
      </c>
      <c r="C4503">
        <v>609963003686</v>
      </c>
      <c r="D4503">
        <v>10.9</v>
      </c>
      <c r="E4503">
        <v>5.07</v>
      </c>
      <c r="F4503" s="3">
        <v>0.38900000000000001</v>
      </c>
      <c r="G4503">
        <v>3.69</v>
      </c>
      <c r="H4503">
        <v>0</v>
      </c>
    </row>
    <row r="4504" spans="1:8" x14ac:dyDescent="0.25">
      <c r="A4504" t="s">
        <v>4510</v>
      </c>
      <c r="B4504">
        <v>7706</v>
      </c>
      <c r="C4504">
        <v>7898097961020</v>
      </c>
      <c r="D4504">
        <v>9.99</v>
      </c>
      <c r="E4504">
        <v>6.12</v>
      </c>
      <c r="F4504" s="3">
        <v>0.35950000000000004</v>
      </c>
      <c r="G4504">
        <v>5.6992000000000003</v>
      </c>
      <c r="H4504">
        <v>4.7</v>
      </c>
    </row>
    <row r="4505" spans="1:8" x14ac:dyDescent="0.25">
      <c r="A4505" t="s">
        <v>4511</v>
      </c>
      <c r="B4505">
        <v>16140</v>
      </c>
      <c r="C4505">
        <v>7898097961013</v>
      </c>
      <c r="D4505">
        <v>21.9</v>
      </c>
      <c r="E4505">
        <v>15.63</v>
      </c>
      <c r="F4505" s="3">
        <v>0.2661</v>
      </c>
      <c r="G4505">
        <v>14.5402</v>
      </c>
      <c r="H4505">
        <v>1.9330000000000001</v>
      </c>
    </row>
    <row r="4506" spans="1:8" x14ac:dyDescent="0.25">
      <c r="A4506" t="s">
        <v>4512</v>
      </c>
      <c r="B4506">
        <v>31368</v>
      </c>
      <c r="C4506">
        <v>7898097960207</v>
      </c>
      <c r="D4506">
        <v>5.29</v>
      </c>
      <c r="E4506">
        <v>3.65</v>
      </c>
      <c r="F4506" s="3">
        <v>0.30920000000000003</v>
      </c>
      <c r="G4506">
        <v>3.6545000000000001</v>
      </c>
      <c r="H4506">
        <v>1.7330000000000001</v>
      </c>
    </row>
    <row r="4507" spans="1:8" x14ac:dyDescent="0.25">
      <c r="A4507" t="s">
        <v>4513</v>
      </c>
      <c r="B4507">
        <v>31370</v>
      </c>
      <c r="C4507">
        <v>7898097960191</v>
      </c>
      <c r="D4507">
        <v>5.29</v>
      </c>
      <c r="E4507">
        <v>3.65</v>
      </c>
      <c r="F4507" s="3">
        <v>0.30859999999999999</v>
      </c>
      <c r="G4507">
        <v>3.6577000000000002</v>
      </c>
      <c r="H4507">
        <v>2.2999999999999998</v>
      </c>
    </row>
    <row r="4508" spans="1:8" x14ac:dyDescent="0.25">
      <c r="A4508" t="s">
        <v>4514</v>
      </c>
      <c r="B4508">
        <v>31371</v>
      </c>
      <c r="C4508">
        <v>7898097960214</v>
      </c>
      <c r="D4508">
        <v>5.29</v>
      </c>
      <c r="E4508">
        <v>3.65</v>
      </c>
      <c r="F4508" s="3">
        <v>0.30920000000000003</v>
      </c>
      <c r="G4508">
        <v>3.6543000000000001</v>
      </c>
      <c r="H4508">
        <v>1.867</v>
      </c>
    </row>
    <row r="4509" spans="1:8" x14ac:dyDescent="0.25">
      <c r="A4509" t="s">
        <v>4515</v>
      </c>
      <c r="B4509">
        <v>50677</v>
      </c>
      <c r="C4509">
        <v>7896038314195</v>
      </c>
      <c r="D4509">
        <v>7.9</v>
      </c>
      <c r="E4509">
        <v>3.88</v>
      </c>
      <c r="F4509" s="3">
        <v>0.3619</v>
      </c>
      <c r="G4509">
        <v>4.4882999999999997</v>
      </c>
      <c r="H4509">
        <v>4.43</v>
      </c>
    </row>
    <row r="4510" spans="1:8" x14ac:dyDescent="0.25">
      <c r="A4510" t="s">
        <v>4516</v>
      </c>
      <c r="B4510">
        <v>37226</v>
      </c>
      <c r="C4510">
        <v>7896038311194</v>
      </c>
      <c r="D4510">
        <v>7.9</v>
      </c>
      <c r="E4510">
        <v>4.8499999999999996</v>
      </c>
      <c r="F4510" s="3">
        <v>0.35859999999999997</v>
      </c>
      <c r="G4510">
        <v>4.5138999999999996</v>
      </c>
      <c r="H4510">
        <v>5.8330000000000002</v>
      </c>
    </row>
    <row r="4511" spans="1:8" x14ac:dyDescent="0.25">
      <c r="A4511" t="s">
        <v>4517</v>
      </c>
      <c r="B4511">
        <v>37227</v>
      </c>
      <c r="C4511">
        <v>7896038306190</v>
      </c>
      <c r="D4511">
        <v>7.9</v>
      </c>
      <c r="E4511">
        <v>4.8499999999999996</v>
      </c>
      <c r="F4511" s="3">
        <v>0.35859999999999997</v>
      </c>
      <c r="G4511">
        <v>4.5141</v>
      </c>
      <c r="H4511">
        <v>4.867</v>
      </c>
    </row>
    <row r="4512" spans="1:8" x14ac:dyDescent="0.25">
      <c r="A4512" t="s">
        <v>4518</v>
      </c>
      <c r="B4512">
        <v>50676</v>
      </c>
      <c r="C4512">
        <v>7896038313198</v>
      </c>
      <c r="D4512">
        <v>5.9</v>
      </c>
      <c r="E4512">
        <v>3.52</v>
      </c>
      <c r="F4512" s="3">
        <v>0.375</v>
      </c>
      <c r="G4512">
        <v>3.2745000000000002</v>
      </c>
      <c r="H4512">
        <v>13.8</v>
      </c>
    </row>
    <row r="4513" spans="1:8" x14ac:dyDescent="0.25">
      <c r="A4513" t="s">
        <v>4519</v>
      </c>
      <c r="B4513">
        <v>64730</v>
      </c>
      <c r="C4513">
        <v>7896038312191</v>
      </c>
      <c r="D4513">
        <v>5.9</v>
      </c>
      <c r="E4513">
        <v>3.52</v>
      </c>
      <c r="F4513" s="3">
        <v>0.375</v>
      </c>
      <c r="G4513">
        <v>3.2742</v>
      </c>
      <c r="H4513">
        <v>3.4670000000000001</v>
      </c>
    </row>
    <row r="4514" spans="1:8" x14ac:dyDescent="0.25">
      <c r="A4514" t="s">
        <v>4520</v>
      </c>
      <c r="B4514">
        <v>36701</v>
      </c>
      <c r="C4514">
        <v>7896038310197</v>
      </c>
      <c r="D4514">
        <v>5.9</v>
      </c>
      <c r="E4514">
        <v>3.51</v>
      </c>
      <c r="F4514" s="3">
        <v>0.376</v>
      </c>
      <c r="G4514">
        <v>3.2685</v>
      </c>
      <c r="H4514">
        <v>16.567</v>
      </c>
    </row>
    <row r="4515" spans="1:8" x14ac:dyDescent="0.25">
      <c r="A4515" t="s">
        <v>4521</v>
      </c>
      <c r="B4515">
        <v>36702</v>
      </c>
      <c r="C4515">
        <v>7896038305193</v>
      </c>
      <c r="D4515">
        <v>5.9</v>
      </c>
      <c r="E4515">
        <v>3.52</v>
      </c>
      <c r="F4515" s="3">
        <v>0.37509999999999999</v>
      </c>
      <c r="G4515">
        <v>3.2742</v>
      </c>
      <c r="H4515">
        <v>9.8330000000000002</v>
      </c>
    </row>
    <row r="4516" spans="1:8" x14ac:dyDescent="0.25">
      <c r="A4516" t="s">
        <v>4522</v>
      </c>
      <c r="B4516">
        <v>64982</v>
      </c>
      <c r="C4516">
        <v>7896401183083</v>
      </c>
      <c r="D4516">
        <v>6.29</v>
      </c>
      <c r="E4516">
        <v>4.16</v>
      </c>
      <c r="F4516" s="3">
        <v>0.31420000000000003</v>
      </c>
      <c r="G4516">
        <v>3.8731</v>
      </c>
      <c r="H4516">
        <v>8.4</v>
      </c>
    </row>
    <row r="4517" spans="1:8" x14ac:dyDescent="0.25">
      <c r="A4517" t="s">
        <v>4523</v>
      </c>
      <c r="B4517">
        <v>68306</v>
      </c>
      <c r="C4517">
        <v>7896038300006</v>
      </c>
      <c r="D4517">
        <v>6.29</v>
      </c>
      <c r="E4517">
        <v>4.17</v>
      </c>
      <c r="F4517" s="3">
        <v>0.314</v>
      </c>
      <c r="G4517">
        <v>3.8744000000000001</v>
      </c>
      <c r="H4517">
        <v>3.5</v>
      </c>
    </row>
    <row r="4518" spans="1:8" x14ac:dyDescent="0.25">
      <c r="A4518" t="s">
        <v>4524</v>
      </c>
      <c r="B4518">
        <v>64981</v>
      </c>
      <c r="C4518">
        <v>7896401183397</v>
      </c>
      <c r="D4518">
        <v>7.9</v>
      </c>
      <c r="E4518">
        <v>5.2</v>
      </c>
      <c r="F4518" s="3">
        <v>0.31780000000000003</v>
      </c>
      <c r="G4518">
        <v>4.8362999999999996</v>
      </c>
      <c r="H4518">
        <v>3.3000000000000002E-2</v>
      </c>
    </row>
    <row r="4519" spans="1:8" x14ac:dyDescent="0.25">
      <c r="A4519" t="s">
        <v>4525</v>
      </c>
      <c r="B4519">
        <v>7713</v>
      </c>
      <c r="C4519">
        <v>7896293805100</v>
      </c>
      <c r="D4519">
        <v>23.9</v>
      </c>
      <c r="E4519">
        <v>16.03</v>
      </c>
      <c r="F4519" s="3">
        <v>0.32929999999999998</v>
      </c>
      <c r="G4519">
        <v>16.03</v>
      </c>
      <c r="H4519">
        <v>0.63300000000000001</v>
      </c>
    </row>
    <row r="4520" spans="1:8" x14ac:dyDescent="0.25">
      <c r="A4520" t="s">
        <v>4526</v>
      </c>
      <c r="B4520">
        <v>14424</v>
      </c>
      <c r="C4520">
        <v>7896005212936</v>
      </c>
      <c r="D4520">
        <v>3.99</v>
      </c>
      <c r="E4520">
        <v>3.12</v>
      </c>
      <c r="F4520" s="3">
        <v>0.20329999999999998</v>
      </c>
      <c r="G4520">
        <v>2.8996</v>
      </c>
      <c r="H4520">
        <v>2.5670000000000002</v>
      </c>
    </row>
    <row r="4521" spans="1:8" x14ac:dyDescent="0.25">
      <c r="A4521" t="s">
        <v>4527</v>
      </c>
      <c r="B4521">
        <v>3366</v>
      </c>
      <c r="C4521">
        <v>7896205788408</v>
      </c>
      <c r="D4521">
        <v>9.9</v>
      </c>
      <c r="E4521">
        <v>7.52</v>
      </c>
      <c r="F4521" s="3">
        <v>0.22339999999999999</v>
      </c>
      <c r="G4521">
        <v>6.9954999999999998</v>
      </c>
      <c r="H4521">
        <v>4.1669999999999998</v>
      </c>
    </row>
    <row r="4522" spans="1:8" x14ac:dyDescent="0.25">
      <c r="A4522" t="s">
        <v>4528</v>
      </c>
      <c r="B4522">
        <v>67838</v>
      </c>
      <c r="C4522">
        <v>8005709201064</v>
      </c>
      <c r="D4522">
        <v>16.899999999999999</v>
      </c>
      <c r="E4522">
        <v>10.43</v>
      </c>
      <c r="F4522" s="3">
        <v>0.35600000000000004</v>
      </c>
      <c r="G4522">
        <v>9.6999999999999993</v>
      </c>
      <c r="H4522">
        <v>1.5669999999999999</v>
      </c>
    </row>
    <row r="4523" spans="1:8" x14ac:dyDescent="0.25">
      <c r="A4523" t="s">
        <v>4529</v>
      </c>
      <c r="B4523">
        <v>31501</v>
      </c>
      <c r="C4523">
        <v>7898951850217</v>
      </c>
      <c r="D4523">
        <v>4.99</v>
      </c>
      <c r="E4523">
        <v>3.99</v>
      </c>
      <c r="F4523" s="3">
        <v>0.18579999999999999</v>
      </c>
      <c r="G4523">
        <v>3.7136999999999998</v>
      </c>
      <c r="H4523">
        <v>15.4</v>
      </c>
    </row>
    <row r="4524" spans="1:8" x14ac:dyDescent="0.25">
      <c r="A4524" t="s">
        <v>4530</v>
      </c>
      <c r="B4524">
        <v>55290</v>
      </c>
      <c r="C4524">
        <v>8076809576352</v>
      </c>
      <c r="D4524">
        <v>25.9</v>
      </c>
      <c r="E4524">
        <v>19.43</v>
      </c>
      <c r="F4524" s="3">
        <v>0.23230000000000001</v>
      </c>
      <c r="G4524">
        <v>18.07</v>
      </c>
      <c r="H4524">
        <v>0.33300000000000002</v>
      </c>
    </row>
    <row r="4525" spans="1:8" x14ac:dyDescent="0.25">
      <c r="A4525" t="s">
        <v>4531</v>
      </c>
      <c r="B4525">
        <v>60327</v>
      </c>
      <c r="C4525">
        <v>7896005222638</v>
      </c>
      <c r="D4525">
        <v>3.99</v>
      </c>
      <c r="E4525">
        <v>3.04</v>
      </c>
      <c r="F4525" s="3">
        <v>0.22140000000000001</v>
      </c>
      <c r="G4525">
        <v>2.8271999999999999</v>
      </c>
      <c r="H4525">
        <v>6.633</v>
      </c>
    </row>
    <row r="4526" spans="1:8" x14ac:dyDescent="0.25">
      <c r="A4526" t="s">
        <v>4532</v>
      </c>
      <c r="B4526">
        <v>9123</v>
      </c>
      <c r="C4526">
        <v>7896005281673</v>
      </c>
      <c r="D4526">
        <v>8.49</v>
      </c>
      <c r="E4526">
        <v>6.27</v>
      </c>
      <c r="F4526" s="3">
        <v>0.2432</v>
      </c>
      <c r="G4526">
        <v>5.8311000000000002</v>
      </c>
      <c r="H4526">
        <v>5.633</v>
      </c>
    </row>
    <row r="4527" spans="1:8" x14ac:dyDescent="0.25">
      <c r="A4527" t="s">
        <v>4533</v>
      </c>
      <c r="B4527">
        <v>9127</v>
      </c>
      <c r="C4527">
        <v>7896005271377</v>
      </c>
      <c r="D4527">
        <v>0</v>
      </c>
      <c r="E4527">
        <v>2.13</v>
      </c>
      <c r="F4527" s="3">
        <v>0</v>
      </c>
      <c r="G4527">
        <v>1.9850000000000001</v>
      </c>
      <c r="H4527">
        <v>2.7669999999999999</v>
      </c>
    </row>
    <row r="4528" spans="1:8" x14ac:dyDescent="0.25">
      <c r="A4528" t="s">
        <v>4534</v>
      </c>
      <c r="B4528">
        <v>13253</v>
      </c>
      <c r="C4528">
        <v>7896005278314</v>
      </c>
      <c r="D4528">
        <v>8.9</v>
      </c>
      <c r="E4528">
        <v>6.89</v>
      </c>
      <c r="F4528" s="3">
        <v>0.21010000000000001</v>
      </c>
      <c r="G4528">
        <v>6.4070999999999998</v>
      </c>
      <c r="H4528">
        <v>4.0999999999999996</v>
      </c>
    </row>
    <row r="4529" spans="1:8" x14ac:dyDescent="0.25">
      <c r="A4529" t="s">
        <v>4535</v>
      </c>
      <c r="B4529">
        <v>21910</v>
      </c>
      <c r="C4529">
        <v>7896022205409</v>
      </c>
      <c r="D4529">
        <v>3.99</v>
      </c>
      <c r="E4529">
        <v>2.69</v>
      </c>
      <c r="F4529" s="3">
        <v>0.30299999999999999</v>
      </c>
      <c r="G4529">
        <v>2.5017</v>
      </c>
      <c r="H4529">
        <v>15.532999999999999</v>
      </c>
    </row>
    <row r="4530" spans="1:8" x14ac:dyDescent="0.25">
      <c r="A4530" t="s">
        <v>4536</v>
      </c>
      <c r="B4530">
        <v>3414</v>
      </c>
      <c r="C4530">
        <v>7896022200121</v>
      </c>
      <c r="D4530">
        <v>8.49</v>
      </c>
      <c r="E4530">
        <v>5.58</v>
      </c>
      <c r="F4530" s="3">
        <v>0.31829999999999997</v>
      </c>
      <c r="G4530">
        <v>5.1933999999999996</v>
      </c>
      <c r="H4530">
        <v>6.867</v>
      </c>
    </row>
    <row r="4531" spans="1:8" x14ac:dyDescent="0.25">
      <c r="A4531" t="s">
        <v>4537</v>
      </c>
      <c r="B4531">
        <v>67039</v>
      </c>
      <c r="C4531">
        <v>7896401183519</v>
      </c>
      <c r="D4531">
        <v>18.899999999999999</v>
      </c>
      <c r="E4531">
        <v>12.95</v>
      </c>
      <c r="F4531" s="3">
        <v>0.2838</v>
      </c>
      <c r="G4531">
        <v>12.2141</v>
      </c>
      <c r="H4531">
        <v>1.2</v>
      </c>
    </row>
    <row r="4532" spans="1:8" x14ac:dyDescent="0.25">
      <c r="A4532" t="s">
        <v>4538</v>
      </c>
      <c r="B4532">
        <v>64838</v>
      </c>
      <c r="C4532">
        <v>13300108888</v>
      </c>
      <c r="D4532">
        <v>29.9</v>
      </c>
      <c r="E4532">
        <v>15.38</v>
      </c>
      <c r="F4532" s="3">
        <v>0.35299999999999998</v>
      </c>
      <c r="G4532">
        <v>11.1974</v>
      </c>
      <c r="H4532">
        <v>0.83299999999999996</v>
      </c>
    </row>
    <row r="4533" spans="1:8" x14ac:dyDescent="0.25">
      <c r="A4533" t="s">
        <v>4539</v>
      </c>
      <c r="B4533">
        <v>64839</v>
      </c>
      <c r="C4533">
        <v>13300025406</v>
      </c>
      <c r="D4533">
        <v>29.9</v>
      </c>
      <c r="E4533">
        <v>15.37</v>
      </c>
      <c r="F4533" s="3">
        <v>0.35359999999999997</v>
      </c>
      <c r="G4533">
        <v>11.18</v>
      </c>
      <c r="H4533">
        <v>0.8</v>
      </c>
    </row>
    <row r="4534" spans="1:8" x14ac:dyDescent="0.25">
      <c r="A4534" t="s">
        <v>4540</v>
      </c>
      <c r="B4534">
        <v>64837</v>
      </c>
      <c r="C4534">
        <v>13300280638</v>
      </c>
      <c r="D4534">
        <v>69.900000000000006</v>
      </c>
      <c r="E4534">
        <v>43.96</v>
      </c>
      <c r="F4534" s="3">
        <v>0.26960000000000001</v>
      </c>
      <c r="G4534">
        <v>32.006</v>
      </c>
      <c r="H4534">
        <v>0.33300000000000002</v>
      </c>
    </row>
    <row r="4535" spans="1:8" x14ac:dyDescent="0.25">
      <c r="A4535" t="s">
        <v>4541</v>
      </c>
      <c r="B4535">
        <v>68093</v>
      </c>
      <c r="C4535">
        <v>7898693230995</v>
      </c>
      <c r="D4535">
        <v>12.9</v>
      </c>
      <c r="E4535">
        <v>8.18</v>
      </c>
      <c r="F4535" s="3">
        <v>0.33189999999999997</v>
      </c>
      <c r="G4535">
        <v>7.4249000000000001</v>
      </c>
      <c r="H4535">
        <v>17.433</v>
      </c>
    </row>
    <row r="4536" spans="1:8" x14ac:dyDescent="0.25">
      <c r="A4536" t="s">
        <v>4542</v>
      </c>
      <c r="B4536">
        <v>65445</v>
      </c>
      <c r="C4536">
        <v>7896256066180</v>
      </c>
      <c r="D4536">
        <v>12.9</v>
      </c>
      <c r="E4536">
        <v>7.25</v>
      </c>
      <c r="F4536" s="3">
        <v>0.39700000000000002</v>
      </c>
      <c r="G4536">
        <v>6.5852000000000004</v>
      </c>
      <c r="H4536">
        <v>3.2330000000000001</v>
      </c>
    </row>
    <row r="4537" spans="1:8" x14ac:dyDescent="0.25">
      <c r="A4537" t="s">
        <v>4543</v>
      </c>
      <c r="B4537">
        <v>34709</v>
      </c>
      <c r="C4537">
        <v>7891962003894</v>
      </c>
      <c r="D4537">
        <v>1.49</v>
      </c>
      <c r="E4537">
        <v>0.93</v>
      </c>
      <c r="F4537" s="3">
        <v>0.3382</v>
      </c>
      <c r="G4537">
        <v>0.84819999999999995</v>
      </c>
      <c r="H4537">
        <v>18.867000000000001</v>
      </c>
    </row>
    <row r="4538" spans="1:8" x14ac:dyDescent="0.25">
      <c r="A4538" t="s">
        <v>4544</v>
      </c>
      <c r="B4538">
        <v>68264</v>
      </c>
      <c r="C4538">
        <v>7898361661465</v>
      </c>
      <c r="D4538">
        <v>45.9</v>
      </c>
      <c r="E4538">
        <v>33.96</v>
      </c>
      <c r="F4538" s="3">
        <v>0.18920000000000001</v>
      </c>
      <c r="G4538">
        <v>24.707000000000001</v>
      </c>
      <c r="H4538">
        <v>6.7000000000000004E-2</v>
      </c>
    </row>
    <row r="4539" spans="1:8" x14ac:dyDescent="0.25">
      <c r="A4539" t="s">
        <v>4545</v>
      </c>
      <c r="B4539">
        <v>65270</v>
      </c>
      <c r="C4539">
        <v>7898258951099</v>
      </c>
      <c r="D4539">
        <v>19.899999999999999</v>
      </c>
      <c r="E4539">
        <v>11.64</v>
      </c>
      <c r="F4539" s="3">
        <v>0.30210000000000004</v>
      </c>
      <c r="G4539">
        <v>8.4651999999999994</v>
      </c>
      <c r="H4539">
        <v>9</v>
      </c>
    </row>
    <row r="4540" spans="1:8" x14ac:dyDescent="0.25">
      <c r="A4540" t="s">
        <v>4546</v>
      </c>
      <c r="B4540">
        <v>65260</v>
      </c>
      <c r="C4540">
        <v>7898258952652</v>
      </c>
      <c r="D4540">
        <v>32.9</v>
      </c>
      <c r="E4540">
        <v>18.96</v>
      </c>
      <c r="F4540" s="3">
        <v>0.30829999999999996</v>
      </c>
      <c r="G4540">
        <v>13.791600000000001</v>
      </c>
      <c r="H4540">
        <v>0.13300000000000001</v>
      </c>
    </row>
    <row r="4541" spans="1:8" x14ac:dyDescent="0.25">
      <c r="A4541" t="s">
        <v>4547</v>
      </c>
      <c r="B4541">
        <v>65259</v>
      </c>
      <c r="C4541">
        <v>7898258950849</v>
      </c>
      <c r="D4541">
        <v>32.9</v>
      </c>
      <c r="E4541">
        <v>18.98</v>
      </c>
      <c r="F4541" s="3">
        <v>0.30780000000000002</v>
      </c>
      <c r="G4541">
        <v>13.807700000000001</v>
      </c>
      <c r="H4541">
        <v>2.5670000000000002</v>
      </c>
    </row>
    <row r="4542" spans="1:8" x14ac:dyDescent="0.25">
      <c r="A4542" t="s">
        <v>4548</v>
      </c>
      <c r="B4542">
        <v>65180</v>
      </c>
      <c r="C4542">
        <v>7898258950542</v>
      </c>
      <c r="D4542">
        <v>32.9</v>
      </c>
      <c r="E4542">
        <v>18.940000000000001</v>
      </c>
      <c r="F4542" s="3">
        <v>0.30829999999999996</v>
      </c>
      <c r="G4542">
        <v>13.792</v>
      </c>
      <c r="H4542">
        <v>0.76700000000000002</v>
      </c>
    </row>
    <row r="4543" spans="1:8" x14ac:dyDescent="0.25">
      <c r="A4543" t="s">
        <v>4549</v>
      </c>
      <c r="B4543">
        <v>65272</v>
      </c>
      <c r="C4543">
        <v>7898258952638</v>
      </c>
      <c r="D4543">
        <v>39.9</v>
      </c>
      <c r="E4543">
        <v>26.04</v>
      </c>
      <c r="F4543" s="3">
        <v>0.25269999999999998</v>
      </c>
      <c r="G4543">
        <v>18.942699999999999</v>
      </c>
      <c r="H4543">
        <v>0.66700000000000004</v>
      </c>
    </row>
    <row r="4544" spans="1:8" x14ac:dyDescent="0.25">
      <c r="A4544" t="s">
        <v>4550</v>
      </c>
      <c r="B4544">
        <v>65268</v>
      </c>
      <c r="C4544">
        <v>7898258951150</v>
      </c>
      <c r="D4544">
        <v>34.74</v>
      </c>
      <c r="E4544">
        <v>15.94</v>
      </c>
      <c r="F4544" s="3">
        <v>0.39419999999999999</v>
      </c>
      <c r="G4544">
        <v>11.5806</v>
      </c>
      <c r="H4544">
        <v>3.8330000000000002</v>
      </c>
    </row>
    <row r="4545" spans="1:8" x14ac:dyDescent="0.25">
      <c r="A4545" t="s">
        <v>4551</v>
      </c>
      <c r="B4545">
        <v>67165</v>
      </c>
      <c r="C4545">
        <v>7898258951754</v>
      </c>
      <c r="D4545">
        <v>49.9</v>
      </c>
      <c r="E4545">
        <v>28.08</v>
      </c>
      <c r="F4545" s="3">
        <v>0.31809999999999999</v>
      </c>
      <c r="G4545">
        <v>20.4283</v>
      </c>
      <c r="H4545">
        <v>0.46700000000000003</v>
      </c>
    </row>
    <row r="4546" spans="1:8" x14ac:dyDescent="0.25">
      <c r="A4546" t="s">
        <v>4552</v>
      </c>
      <c r="B4546">
        <v>68265</v>
      </c>
      <c r="C4546">
        <v>7898361661458</v>
      </c>
      <c r="D4546">
        <v>45.9</v>
      </c>
      <c r="E4546">
        <v>38.97</v>
      </c>
      <c r="F4546" s="3">
        <v>0.1076</v>
      </c>
      <c r="G4546">
        <v>28.4544</v>
      </c>
      <c r="H4546">
        <v>0</v>
      </c>
    </row>
    <row r="4547" spans="1:8" x14ac:dyDescent="0.25">
      <c r="A4547" t="s">
        <v>4553</v>
      </c>
      <c r="B4547">
        <v>9761</v>
      </c>
      <c r="C4547">
        <v>7898247310845</v>
      </c>
      <c r="D4547">
        <v>49.9</v>
      </c>
      <c r="E4547">
        <v>28.17</v>
      </c>
      <c r="F4547" s="3">
        <v>0.31540000000000001</v>
      </c>
      <c r="G4547">
        <v>20.561699999999998</v>
      </c>
      <c r="H4547">
        <v>0.13300000000000001</v>
      </c>
    </row>
    <row r="4548" spans="1:8" x14ac:dyDescent="0.25">
      <c r="A4548" t="s">
        <v>4554</v>
      </c>
      <c r="B4548">
        <v>9765</v>
      </c>
      <c r="C4548">
        <v>7898247310852</v>
      </c>
      <c r="D4548">
        <v>49.9</v>
      </c>
      <c r="E4548">
        <v>28.44</v>
      </c>
      <c r="F4548" s="3">
        <v>0.30680000000000002</v>
      </c>
      <c r="G4548">
        <v>20.994199999999999</v>
      </c>
      <c r="H4548">
        <v>0.16700000000000001</v>
      </c>
    </row>
    <row r="4549" spans="1:8" x14ac:dyDescent="0.25">
      <c r="A4549" t="s">
        <v>4555</v>
      </c>
      <c r="B4549">
        <v>9760</v>
      </c>
      <c r="C4549">
        <v>7898247312016</v>
      </c>
      <c r="D4549">
        <v>25.9</v>
      </c>
      <c r="E4549">
        <v>19.39</v>
      </c>
      <c r="F4549" s="3">
        <v>0.17050000000000001</v>
      </c>
      <c r="G4549">
        <v>14.427099999999999</v>
      </c>
      <c r="H4549">
        <v>1.7</v>
      </c>
    </row>
    <row r="4550" spans="1:8" x14ac:dyDescent="0.25">
      <c r="A4550" t="s">
        <v>4556</v>
      </c>
      <c r="B4550">
        <v>9763</v>
      </c>
      <c r="C4550">
        <v>7898247312009</v>
      </c>
      <c r="D4550">
        <v>25.9</v>
      </c>
      <c r="E4550">
        <v>18.809999999999999</v>
      </c>
      <c r="F4550" s="3">
        <v>0.1825</v>
      </c>
      <c r="G4550">
        <v>14.114699999999999</v>
      </c>
      <c r="H4550">
        <v>1.167</v>
      </c>
    </row>
    <row r="4551" spans="1:8" x14ac:dyDescent="0.25">
      <c r="A4551" t="s">
        <v>4557</v>
      </c>
      <c r="B4551">
        <v>9767</v>
      </c>
      <c r="C4551">
        <v>7898247310890</v>
      </c>
      <c r="D4551">
        <v>36.9</v>
      </c>
      <c r="E4551">
        <v>22.42</v>
      </c>
      <c r="F4551" s="3">
        <v>0.28749999999999998</v>
      </c>
      <c r="G4551">
        <v>16.2363</v>
      </c>
      <c r="H4551">
        <v>0.63300000000000001</v>
      </c>
    </row>
    <row r="4552" spans="1:8" x14ac:dyDescent="0.25">
      <c r="A4552" t="s">
        <v>4558</v>
      </c>
      <c r="B4552">
        <v>9768</v>
      </c>
      <c r="C4552">
        <v>7898247310746</v>
      </c>
      <c r="D4552">
        <v>49.9</v>
      </c>
      <c r="E4552">
        <v>31.17</v>
      </c>
      <c r="F4552" s="3">
        <v>0.27210000000000001</v>
      </c>
      <c r="G4552">
        <v>22.7255</v>
      </c>
      <c r="H4552">
        <v>0.33300000000000002</v>
      </c>
    </row>
    <row r="4553" spans="1:8" x14ac:dyDescent="0.25">
      <c r="A4553" t="s">
        <v>4559</v>
      </c>
      <c r="B4553">
        <v>9766</v>
      </c>
      <c r="C4553">
        <v>7898247311996</v>
      </c>
      <c r="D4553">
        <v>25.9</v>
      </c>
      <c r="E4553">
        <v>21.55</v>
      </c>
      <c r="F4553" s="3">
        <v>0.1115</v>
      </c>
      <c r="G4553">
        <v>15.9543</v>
      </c>
      <c r="H4553">
        <v>3.2</v>
      </c>
    </row>
    <row r="4554" spans="1:8" x14ac:dyDescent="0.25">
      <c r="A4554" t="s">
        <v>4560</v>
      </c>
      <c r="B4554">
        <v>44326</v>
      </c>
      <c r="C4554">
        <v>7897365920462</v>
      </c>
      <c r="D4554">
        <v>19.899999999999999</v>
      </c>
      <c r="E4554">
        <v>9.9700000000000006</v>
      </c>
      <c r="F4554" s="3">
        <v>0.36299999999999999</v>
      </c>
      <c r="G4554">
        <v>7.2526999999999999</v>
      </c>
      <c r="H4554">
        <v>15.567</v>
      </c>
    </row>
    <row r="4555" spans="1:8" x14ac:dyDescent="0.25">
      <c r="A4555" t="s">
        <v>4561</v>
      </c>
      <c r="B4555">
        <v>8328</v>
      </c>
      <c r="C4555">
        <v>7893753603023</v>
      </c>
      <c r="D4555">
        <v>34.99</v>
      </c>
      <c r="E4555">
        <v>17.399999999999999</v>
      </c>
      <c r="F4555" s="3">
        <v>0.36310000000000003</v>
      </c>
      <c r="G4555">
        <v>12.749499999999999</v>
      </c>
      <c r="H4555">
        <v>6.1669999999999998</v>
      </c>
    </row>
    <row r="4556" spans="1:8" x14ac:dyDescent="0.25">
      <c r="A4556" t="s">
        <v>4562</v>
      </c>
      <c r="B4556">
        <v>4032</v>
      </c>
      <c r="C4556">
        <v>7896024850256</v>
      </c>
      <c r="D4556">
        <v>29.9</v>
      </c>
      <c r="E4556">
        <v>16.46</v>
      </c>
      <c r="F4556" s="3">
        <v>0.32619999999999999</v>
      </c>
      <c r="G4556">
        <v>11.9993</v>
      </c>
      <c r="H4556">
        <v>0.53300000000000003</v>
      </c>
    </row>
    <row r="4557" spans="1:8" x14ac:dyDescent="0.25">
      <c r="A4557" t="s">
        <v>4563</v>
      </c>
      <c r="B4557">
        <v>4045</v>
      </c>
      <c r="C4557">
        <v>7896024856609</v>
      </c>
      <c r="D4557">
        <v>25.9</v>
      </c>
      <c r="E4557">
        <v>14</v>
      </c>
      <c r="F4557" s="3">
        <v>0.3342</v>
      </c>
      <c r="G4557">
        <v>10.1867</v>
      </c>
      <c r="H4557">
        <v>1.7669999999999999</v>
      </c>
    </row>
    <row r="4558" spans="1:8" x14ac:dyDescent="0.25">
      <c r="A4558" t="s">
        <v>4564</v>
      </c>
      <c r="B4558">
        <v>4047</v>
      </c>
      <c r="C4558">
        <v>7896024805201</v>
      </c>
      <c r="D4558">
        <v>35.9</v>
      </c>
      <c r="E4558">
        <v>19.96</v>
      </c>
      <c r="F4558" s="3">
        <v>0.32289999999999996</v>
      </c>
      <c r="G4558">
        <v>14.5242</v>
      </c>
      <c r="H4558">
        <v>0.66700000000000004</v>
      </c>
    </row>
    <row r="4559" spans="1:8" x14ac:dyDescent="0.25">
      <c r="A4559" t="s">
        <v>4565</v>
      </c>
      <c r="B4559">
        <v>4035</v>
      </c>
      <c r="C4559">
        <v>7896024805904</v>
      </c>
      <c r="D4559">
        <v>18.899999999999999</v>
      </c>
      <c r="E4559">
        <v>10.87</v>
      </c>
      <c r="F4559" s="3">
        <v>0.309</v>
      </c>
      <c r="G4559">
        <v>7.9100999999999999</v>
      </c>
      <c r="H4559">
        <v>0.96699999999999997</v>
      </c>
    </row>
    <row r="4560" spans="1:8" x14ac:dyDescent="0.25">
      <c r="A4560" t="s">
        <v>4566</v>
      </c>
      <c r="B4560">
        <v>43401</v>
      </c>
      <c r="C4560">
        <v>7898409950186</v>
      </c>
      <c r="D4560">
        <v>0.45</v>
      </c>
      <c r="E4560">
        <v>1.8</v>
      </c>
      <c r="F4560" s="3">
        <v>-2.2195</v>
      </c>
      <c r="G4560">
        <v>1.3129999999999999</v>
      </c>
      <c r="H4560">
        <v>3.4329999999999998</v>
      </c>
    </row>
    <row r="4561" spans="1:8" x14ac:dyDescent="0.25">
      <c r="A4561" t="s">
        <v>4567</v>
      </c>
      <c r="B4561">
        <v>3356</v>
      </c>
      <c r="C4561">
        <v>7894321632032</v>
      </c>
      <c r="D4561">
        <v>5.99</v>
      </c>
      <c r="E4561">
        <v>3.58</v>
      </c>
      <c r="F4561" s="3">
        <v>0.32100000000000001</v>
      </c>
      <c r="G4561">
        <v>2.9889000000000001</v>
      </c>
      <c r="H4561">
        <v>23.433</v>
      </c>
    </row>
    <row r="4562" spans="1:8" x14ac:dyDescent="0.25">
      <c r="A4562" t="s">
        <v>4568</v>
      </c>
      <c r="B4562">
        <v>40911</v>
      </c>
      <c r="C4562">
        <v>3083681069518</v>
      </c>
      <c r="D4562">
        <v>6.99</v>
      </c>
      <c r="E4562">
        <v>5.24</v>
      </c>
      <c r="F4562" s="3">
        <v>0.22739999999999999</v>
      </c>
      <c r="G4562">
        <v>4.7535999999999996</v>
      </c>
      <c r="H4562">
        <v>17.100000000000001</v>
      </c>
    </row>
    <row r="4563" spans="1:8" x14ac:dyDescent="0.25">
      <c r="A4563" t="s">
        <v>4569</v>
      </c>
      <c r="B4563">
        <v>65024</v>
      </c>
      <c r="C4563">
        <v>7891095911356</v>
      </c>
      <c r="D4563">
        <v>6.49</v>
      </c>
      <c r="E4563">
        <v>3.43</v>
      </c>
      <c r="F4563" s="3">
        <v>0.34189999999999998</v>
      </c>
      <c r="G4563">
        <v>2.5026000000000002</v>
      </c>
      <c r="H4563">
        <v>16.733000000000001</v>
      </c>
    </row>
    <row r="4564" spans="1:8" x14ac:dyDescent="0.25">
      <c r="A4564" t="s">
        <v>4570</v>
      </c>
      <c r="B4564">
        <v>65023</v>
      </c>
      <c r="C4564">
        <v>7891095911349</v>
      </c>
      <c r="D4564">
        <v>7.89</v>
      </c>
      <c r="E4564">
        <v>4.6399999999999997</v>
      </c>
      <c r="F4564" s="3">
        <v>0.30059999999999998</v>
      </c>
      <c r="G4564">
        <v>3.3696000000000002</v>
      </c>
      <c r="H4564">
        <v>110.867</v>
      </c>
    </row>
    <row r="4565" spans="1:8" x14ac:dyDescent="0.25">
      <c r="A4565" t="s">
        <v>4571</v>
      </c>
      <c r="B4565">
        <v>32083</v>
      </c>
      <c r="C4565">
        <v>3083681026122</v>
      </c>
      <c r="D4565">
        <v>6.99</v>
      </c>
      <c r="E4565">
        <v>5.23</v>
      </c>
      <c r="F4565" s="3">
        <v>0.22839999999999999</v>
      </c>
      <c r="G4565">
        <v>4.7465999999999999</v>
      </c>
      <c r="H4565">
        <v>22.466999999999999</v>
      </c>
    </row>
    <row r="4566" spans="1:8" x14ac:dyDescent="0.25">
      <c r="A4566" t="s">
        <v>4572</v>
      </c>
      <c r="B4566">
        <v>5893</v>
      </c>
      <c r="C4566">
        <v>3083680041713</v>
      </c>
      <c r="D4566">
        <v>19.899999999999999</v>
      </c>
      <c r="E4566">
        <v>16.93</v>
      </c>
      <c r="F4566" s="3">
        <v>0.13109999999999999</v>
      </c>
      <c r="G4566">
        <v>15.4495</v>
      </c>
      <c r="H4566">
        <v>3.7669999999999999</v>
      </c>
    </row>
    <row r="4567" spans="1:8" x14ac:dyDescent="0.25">
      <c r="A4567" t="s">
        <v>4573</v>
      </c>
      <c r="B4567">
        <v>5680</v>
      </c>
      <c r="C4567">
        <v>3083681080803</v>
      </c>
      <c r="D4567">
        <v>4.92</v>
      </c>
      <c r="E4567">
        <v>3.67</v>
      </c>
      <c r="F4567" s="3">
        <v>0.23039999999999999</v>
      </c>
      <c r="G4567">
        <v>3.3319000000000001</v>
      </c>
      <c r="H4567">
        <v>208.6</v>
      </c>
    </row>
    <row r="4568" spans="1:8" x14ac:dyDescent="0.25">
      <c r="A4568" t="s">
        <v>4574</v>
      </c>
      <c r="B4568">
        <v>48244</v>
      </c>
      <c r="C4568">
        <v>7891150058903</v>
      </c>
      <c r="D4568">
        <v>4.79</v>
      </c>
      <c r="E4568">
        <v>3.53</v>
      </c>
      <c r="F4568" s="3">
        <v>0.2379</v>
      </c>
      <c r="G4568">
        <v>3.2071999999999998</v>
      </c>
      <c r="H4568">
        <v>22.3</v>
      </c>
    </row>
    <row r="4569" spans="1:8" x14ac:dyDescent="0.25">
      <c r="A4569" t="s">
        <v>4575</v>
      </c>
      <c r="B4569">
        <v>6578</v>
      </c>
      <c r="C4569">
        <v>7891032013259</v>
      </c>
      <c r="D4569">
        <v>4.79</v>
      </c>
      <c r="E4569">
        <v>3.17</v>
      </c>
      <c r="F4569" s="3">
        <v>0.30469999999999997</v>
      </c>
      <c r="G4569">
        <v>2.8873000000000002</v>
      </c>
      <c r="H4569">
        <v>22.766999999999999</v>
      </c>
    </row>
    <row r="4570" spans="1:8" x14ac:dyDescent="0.25">
      <c r="A4570" t="s">
        <v>4576</v>
      </c>
      <c r="B4570">
        <v>6580</v>
      </c>
      <c r="C4570">
        <v>7896102501155</v>
      </c>
      <c r="D4570">
        <v>4.29</v>
      </c>
      <c r="E4570">
        <v>3</v>
      </c>
      <c r="F4570" s="3">
        <v>0.27339999999999998</v>
      </c>
      <c r="G4570">
        <v>2.7204000000000002</v>
      </c>
      <c r="H4570">
        <v>65.167000000000002</v>
      </c>
    </row>
    <row r="4571" spans="1:8" x14ac:dyDescent="0.25">
      <c r="A4571" t="s">
        <v>4577</v>
      </c>
      <c r="B4571">
        <v>67690</v>
      </c>
      <c r="C4571">
        <v>7896102500844</v>
      </c>
      <c r="D4571">
        <v>3.99</v>
      </c>
      <c r="E4571">
        <v>2.9</v>
      </c>
      <c r="F4571" s="3">
        <v>0.248</v>
      </c>
      <c r="G4571">
        <v>2.6312000000000002</v>
      </c>
      <c r="H4571">
        <v>24.466999999999999</v>
      </c>
    </row>
    <row r="4572" spans="1:8" x14ac:dyDescent="0.25">
      <c r="A4572" t="s">
        <v>4578</v>
      </c>
      <c r="B4572">
        <v>65433</v>
      </c>
      <c r="C4572">
        <v>7896256065602</v>
      </c>
      <c r="D4572">
        <v>6.99</v>
      </c>
      <c r="E4572">
        <v>5.07</v>
      </c>
      <c r="F4572" s="3">
        <v>0.248</v>
      </c>
      <c r="G4572">
        <v>4.6101000000000001</v>
      </c>
      <c r="H4572">
        <v>10.3</v>
      </c>
    </row>
    <row r="4573" spans="1:8" x14ac:dyDescent="0.25">
      <c r="A4573" t="s">
        <v>4579</v>
      </c>
      <c r="B4573">
        <v>35101</v>
      </c>
      <c r="C4573">
        <v>7891962074795</v>
      </c>
      <c r="D4573">
        <v>7.99</v>
      </c>
      <c r="E4573">
        <v>5.45</v>
      </c>
      <c r="F4573" s="3">
        <v>0.25040000000000001</v>
      </c>
      <c r="G4573">
        <v>4.2916999999999996</v>
      </c>
      <c r="H4573">
        <v>12.4</v>
      </c>
    </row>
    <row r="4574" spans="1:8" x14ac:dyDescent="0.25">
      <c r="A4574" t="s">
        <v>4580</v>
      </c>
      <c r="B4574">
        <v>35107</v>
      </c>
      <c r="C4574">
        <v>7891962074801</v>
      </c>
      <c r="D4574">
        <v>7.99</v>
      </c>
      <c r="E4574">
        <v>5.9</v>
      </c>
      <c r="F4574" s="3">
        <v>0.19070000000000001</v>
      </c>
      <c r="G4574">
        <v>4.2888000000000002</v>
      </c>
      <c r="H4574">
        <v>12.967000000000001</v>
      </c>
    </row>
    <row r="4575" spans="1:8" x14ac:dyDescent="0.25">
      <c r="A4575" t="s">
        <v>4581</v>
      </c>
      <c r="B4575">
        <v>56834</v>
      </c>
      <c r="C4575">
        <v>7891962074689</v>
      </c>
      <c r="D4575">
        <v>15.99</v>
      </c>
      <c r="E4575">
        <v>11.08</v>
      </c>
      <c r="F4575" s="3">
        <v>0.2235</v>
      </c>
      <c r="G4575">
        <v>8.0587</v>
      </c>
      <c r="H4575">
        <v>3.7669999999999999</v>
      </c>
    </row>
    <row r="4576" spans="1:8" x14ac:dyDescent="0.25">
      <c r="A4576" t="s">
        <v>4582</v>
      </c>
      <c r="B4576">
        <v>59426</v>
      </c>
      <c r="C4576">
        <v>7891000340431</v>
      </c>
      <c r="D4576">
        <v>3.9</v>
      </c>
      <c r="E4576">
        <v>2.99</v>
      </c>
      <c r="F4576" s="3">
        <v>0.21100000000000002</v>
      </c>
      <c r="G4576">
        <v>2.7164000000000001</v>
      </c>
      <c r="H4576">
        <v>2.1</v>
      </c>
    </row>
    <row r="4577" spans="1:8" x14ac:dyDescent="0.25">
      <c r="A4577" t="s">
        <v>4583</v>
      </c>
      <c r="B4577">
        <v>64885</v>
      </c>
      <c r="C4577">
        <v>7908049501409</v>
      </c>
      <c r="D4577">
        <v>28.9</v>
      </c>
      <c r="E4577">
        <v>20.22</v>
      </c>
      <c r="F4577" s="3">
        <v>0.27260000000000001</v>
      </c>
      <c r="G4577">
        <v>18.350000000000001</v>
      </c>
      <c r="H4577">
        <v>3.3000000000000002E-2</v>
      </c>
    </row>
    <row r="4578" spans="1:8" x14ac:dyDescent="0.25">
      <c r="A4578" t="s">
        <v>4584</v>
      </c>
      <c r="B4578">
        <v>49588</v>
      </c>
      <c r="C4578">
        <v>7898202612632</v>
      </c>
      <c r="D4578">
        <v>6.9</v>
      </c>
      <c r="E4578">
        <v>2.76</v>
      </c>
      <c r="F4578" s="3">
        <v>0.54469999999999996</v>
      </c>
      <c r="G4578">
        <v>2.5032999999999999</v>
      </c>
      <c r="H4578">
        <v>0.76700000000000002</v>
      </c>
    </row>
    <row r="4579" spans="1:8" x14ac:dyDescent="0.25">
      <c r="A4579" t="s">
        <v>4585</v>
      </c>
      <c r="B4579">
        <v>41480</v>
      </c>
      <c r="C4579">
        <v>7896028790008</v>
      </c>
      <c r="D4579">
        <v>25.9</v>
      </c>
      <c r="E4579">
        <v>15.02</v>
      </c>
      <c r="F4579" s="3">
        <v>0.30549999999999999</v>
      </c>
      <c r="G4579">
        <v>10.9307</v>
      </c>
      <c r="H4579">
        <v>1.2</v>
      </c>
    </row>
    <row r="4580" spans="1:8" x14ac:dyDescent="0.25">
      <c r="A4580" t="s">
        <v>4586</v>
      </c>
      <c r="B4580">
        <v>66514</v>
      </c>
      <c r="C4580">
        <v>113596402360</v>
      </c>
      <c r="D4580">
        <v>34.9</v>
      </c>
      <c r="E4580">
        <v>19.8</v>
      </c>
      <c r="F4580" s="3">
        <v>0.3926</v>
      </c>
      <c r="G4580">
        <v>17.968299999999999</v>
      </c>
      <c r="H4580">
        <v>2.5329999999999999</v>
      </c>
    </row>
    <row r="4581" spans="1:8" x14ac:dyDescent="0.25">
      <c r="A4581" t="s">
        <v>4587</v>
      </c>
      <c r="B4581">
        <v>43591</v>
      </c>
      <c r="C4581">
        <v>898216001207</v>
      </c>
      <c r="D4581">
        <v>19.899999999999999</v>
      </c>
      <c r="E4581">
        <v>9.8800000000000008</v>
      </c>
      <c r="F4581" s="3">
        <v>0.36630000000000001</v>
      </c>
      <c r="G4581">
        <v>7.1875</v>
      </c>
      <c r="H4581">
        <v>0.2</v>
      </c>
    </row>
    <row r="4582" spans="1:8" x14ac:dyDescent="0.25">
      <c r="A4582" t="s">
        <v>4588</v>
      </c>
      <c r="B4582">
        <v>41701</v>
      </c>
      <c r="C4582">
        <v>7896299105020</v>
      </c>
      <c r="D4582">
        <v>21.9</v>
      </c>
      <c r="E4582">
        <v>13.74</v>
      </c>
      <c r="F4582" s="3">
        <v>0.3392</v>
      </c>
      <c r="G4582">
        <v>12.4457</v>
      </c>
      <c r="H4582">
        <v>0.7</v>
      </c>
    </row>
    <row r="4583" spans="1:8" x14ac:dyDescent="0.25">
      <c r="A4583" t="s">
        <v>4589</v>
      </c>
      <c r="B4583">
        <v>7720</v>
      </c>
      <c r="C4583">
        <v>7896007850204</v>
      </c>
      <c r="D4583">
        <v>29.9</v>
      </c>
      <c r="E4583">
        <v>20.260000000000002</v>
      </c>
      <c r="F4583" s="3">
        <v>0.29270000000000002</v>
      </c>
      <c r="G4583">
        <v>18.381499999999999</v>
      </c>
      <c r="H4583">
        <v>0.46700000000000003</v>
      </c>
    </row>
    <row r="4584" spans="1:8" x14ac:dyDescent="0.25">
      <c r="A4584" t="s">
        <v>4590</v>
      </c>
      <c r="B4584">
        <v>7722</v>
      </c>
      <c r="C4584">
        <v>7896007857203</v>
      </c>
      <c r="D4584">
        <v>19.899999999999999</v>
      </c>
      <c r="E4584">
        <v>15.41</v>
      </c>
      <c r="F4584" s="3">
        <v>0.1978</v>
      </c>
      <c r="G4584">
        <v>14.1235</v>
      </c>
      <c r="H4584">
        <v>1.9</v>
      </c>
    </row>
    <row r="4585" spans="1:8" x14ac:dyDescent="0.25">
      <c r="A4585" t="s">
        <v>4591</v>
      </c>
      <c r="B4585">
        <v>7723</v>
      </c>
      <c r="C4585">
        <v>7896007850211</v>
      </c>
      <c r="D4585">
        <v>29.9</v>
      </c>
      <c r="E4585">
        <v>21.93</v>
      </c>
      <c r="F4585" s="3">
        <v>0.24179999999999999</v>
      </c>
      <c r="G4585">
        <v>19.9055</v>
      </c>
      <c r="H4585">
        <v>0.36699999999999999</v>
      </c>
    </row>
    <row r="4586" spans="1:8" x14ac:dyDescent="0.25">
      <c r="A4586" t="s">
        <v>4592</v>
      </c>
      <c r="B4586">
        <v>7725</v>
      </c>
      <c r="C4586">
        <v>7896007857210</v>
      </c>
      <c r="D4586">
        <v>23.9</v>
      </c>
      <c r="E4586">
        <v>16.43</v>
      </c>
      <c r="F4586" s="3">
        <v>0.28370000000000001</v>
      </c>
      <c r="G4586">
        <v>14.908099999999999</v>
      </c>
      <c r="H4586">
        <v>0.73299999999999998</v>
      </c>
    </row>
    <row r="4587" spans="1:8" x14ac:dyDescent="0.25">
      <c r="A4587" t="s">
        <v>4593</v>
      </c>
      <c r="B4587">
        <v>53622</v>
      </c>
      <c r="C4587">
        <v>7897942100430</v>
      </c>
      <c r="D4587">
        <v>12.9</v>
      </c>
      <c r="E4587">
        <v>5.94</v>
      </c>
      <c r="F4587" s="3">
        <v>0.39250000000000002</v>
      </c>
      <c r="G4587">
        <v>4.3220999999999998</v>
      </c>
      <c r="H4587">
        <v>15.632999999999999</v>
      </c>
    </row>
    <row r="4588" spans="1:8" x14ac:dyDescent="0.25">
      <c r="A4588" t="s">
        <v>4594</v>
      </c>
      <c r="B4588">
        <v>53627</v>
      </c>
      <c r="C4588">
        <v>7897942100416</v>
      </c>
      <c r="D4588">
        <v>14.9</v>
      </c>
      <c r="E4588">
        <v>8.1999999999999993</v>
      </c>
      <c r="F4588" s="3">
        <v>0.33200000000000002</v>
      </c>
      <c r="G4588">
        <v>5.8930999999999996</v>
      </c>
      <c r="H4588">
        <v>0.46700000000000003</v>
      </c>
    </row>
    <row r="4589" spans="1:8" x14ac:dyDescent="0.25">
      <c r="A4589" t="s">
        <v>4595</v>
      </c>
      <c r="B4589">
        <v>9137</v>
      </c>
      <c r="C4589">
        <v>7896005281024</v>
      </c>
      <c r="D4589">
        <v>6.99</v>
      </c>
      <c r="E4589">
        <v>4.67</v>
      </c>
      <c r="F4589" s="3">
        <v>0.2419</v>
      </c>
      <c r="G4589">
        <v>3.3940000000000001</v>
      </c>
      <c r="H4589">
        <v>0.433</v>
      </c>
    </row>
    <row r="4590" spans="1:8" x14ac:dyDescent="0.25">
      <c r="A4590" t="s">
        <v>4596</v>
      </c>
      <c r="B4590">
        <v>69675</v>
      </c>
      <c r="C4590">
        <v>7896005212097</v>
      </c>
      <c r="D4590">
        <v>7.99</v>
      </c>
      <c r="E4590">
        <v>4.67</v>
      </c>
      <c r="F4590" s="3">
        <v>0.30269999999999997</v>
      </c>
      <c r="G4590">
        <v>3.3940999999999999</v>
      </c>
      <c r="H4590">
        <v>1.167</v>
      </c>
    </row>
    <row r="4591" spans="1:8" x14ac:dyDescent="0.25">
      <c r="A4591" t="s">
        <v>4597</v>
      </c>
      <c r="B4591">
        <v>9139</v>
      </c>
      <c r="C4591">
        <v>7896005280966</v>
      </c>
      <c r="D4591">
        <v>6.99</v>
      </c>
      <c r="E4591">
        <v>4.67</v>
      </c>
      <c r="F4591" s="3">
        <v>0.2419</v>
      </c>
      <c r="G4591">
        <v>3.3940999999999999</v>
      </c>
      <c r="H4591">
        <v>2.8330000000000002</v>
      </c>
    </row>
    <row r="4592" spans="1:8" x14ac:dyDescent="0.25">
      <c r="A4592" t="s">
        <v>4598</v>
      </c>
      <c r="B4592">
        <v>68807</v>
      </c>
      <c r="C4592">
        <v>7891048000021</v>
      </c>
      <c r="D4592">
        <v>5.49</v>
      </c>
      <c r="E4592">
        <v>3.2</v>
      </c>
      <c r="F4592" s="3">
        <v>0.30299999999999999</v>
      </c>
      <c r="G4592">
        <v>2.3304999999999998</v>
      </c>
      <c r="H4592">
        <v>1.167</v>
      </c>
    </row>
    <row r="4593" spans="1:8" x14ac:dyDescent="0.25">
      <c r="A4593" t="s">
        <v>4599</v>
      </c>
      <c r="B4593">
        <v>9075</v>
      </c>
      <c r="C4593">
        <v>7896005280935</v>
      </c>
      <c r="D4593">
        <v>6.91</v>
      </c>
      <c r="E4593">
        <v>4.84</v>
      </c>
      <c r="F4593" s="3">
        <v>0.21249999999999999</v>
      </c>
      <c r="G4593">
        <v>3.5575999999999999</v>
      </c>
      <c r="H4593">
        <v>2.5329999999999999</v>
      </c>
    </row>
    <row r="4594" spans="1:8" x14ac:dyDescent="0.25">
      <c r="A4594" t="s">
        <v>4600</v>
      </c>
      <c r="B4594">
        <v>9073</v>
      </c>
      <c r="C4594">
        <v>7896005272107</v>
      </c>
      <c r="D4594">
        <v>6.99</v>
      </c>
      <c r="E4594">
        <v>4.83</v>
      </c>
      <c r="F4594" s="3">
        <v>0.2218</v>
      </c>
      <c r="G4594">
        <v>3.5347</v>
      </c>
      <c r="H4594">
        <v>3.1</v>
      </c>
    </row>
    <row r="4595" spans="1:8" x14ac:dyDescent="0.25">
      <c r="A4595" t="s">
        <v>4601</v>
      </c>
      <c r="B4595">
        <v>53725</v>
      </c>
      <c r="C4595">
        <v>7896005220153</v>
      </c>
      <c r="D4595">
        <v>7.99</v>
      </c>
      <c r="E4595">
        <v>5.73</v>
      </c>
      <c r="F4595" s="3">
        <v>0.20219999999999999</v>
      </c>
      <c r="G4595">
        <v>4.1970999999999998</v>
      </c>
      <c r="H4595">
        <v>3.633</v>
      </c>
    </row>
    <row r="4596" spans="1:8" x14ac:dyDescent="0.25">
      <c r="A4596" t="s">
        <v>4602</v>
      </c>
      <c r="B4596">
        <v>9076</v>
      </c>
      <c r="C4596">
        <v>7896005276433</v>
      </c>
      <c r="D4596">
        <v>7.99</v>
      </c>
      <c r="E4596">
        <v>5.83</v>
      </c>
      <c r="F4596" s="3">
        <v>0.1968</v>
      </c>
      <c r="G4596">
        <v>4.2405999999999997</v>
      </c>
      <c r="H4596">
        <v>4.8330000000000002</v>
      </c>
    </row>
    <row r="4597" spans="1:8" x14ac:dyDescent="0.25">
      <c r="A4597" t="s">
        <v>4603</v>
      </c>
      <c r="B4597">
        <v>9071</v>
      </c>
      <c r="C4597">
        <v>7896005280911</v>
      </c>
      <c r="D4597">
        <v>6.99</v>
      </c>
      <c r="E4597">
        <v>4.83</v>
      </c>
      <c r="F4597" s="3">
        <v>0.22059999999999999</v>
      </c>
      <c r="G4597">
        <v>3.5432999999999999</v>
      </c>
      <c r="H4597">
        <v>3.6669999999999998</v>
      </c>
    </row>
    <row r="4598" spans="1:8" x14ac:dyDescent="0.25">
      <c r="A4598" t="s">
        <v>4604</v>
      </c>
      <c r="B4598">
        <v>61915</v>
      </c>
      <c r="C4598">
        <v>7896005216927</v>
      </c>
      <c r="D4598">
        <v>7.99</v>
      </c>
      <c r="E4598">
        <v>5.84</v>
      </c>
      <c r="F4598" s="3">
        <v>0.1961</v>
      </c>
      <c r="G4598">
        <v>4.2454999999999998</v>
      </c>
      <c r="H4598">
        <v>3.5670000000000002</v>
      </c>
    </row>
    <row r="4599" spans="1:8" x14ac:dyDescent="0.25">
      <c r="A4599" t="s">
        <v>4605</v>
      </c>
      <c r="B4599">
        <v>9078</v>
      </c>
      <c r="C4599">
        <v>7896005272008</v>
      </c>
      <c r="D4599">
        <v>7.99</v>
      </c>
      <c r="E4599">
        <v>5.74</v>
      </c>
      <c r="F4599" s="3">
        <v>0.1996</v>
      </c>
      <c r="G4599">
        <v>4.2176</v>
      </c>
      <c r="H4599">
        <v>9.1</v>
      </c>
    </row>
    <row r="4600" spans="1:8" x14ac:dyDescent="0.25">
      <c r="A4600" t="s">
        <v>4606</v>
      </c>
      <c r="B4600">
        <v>9080</v>
      </c>
      <c r="C4600">
        <v>7896005272046</v>
      </c>
      <c r="D4600">
        <v>6.99</v>
      </c>
      <c r="E4600">
        <v>4.8899999999999997</v>
      </c>
      <c r="F4600" s="3">
        <v>0.21920000000000001</v>
      </c>
      <c r="G4600">
        <v>3.5527000000000002</v>
      </c>
      <c r="H4600">
        <v>3.5670000000000002</v>
      </c>
    </row>
    <row r="4601" spans="1:8" x14ac:dyDescent="0.25">
      <c r="A4601" t="s">
        <v>4607</v>
      </c>
      <c r="B4601">
        <v>9081</v>
      </c>
      <c r="C4601">
        <v>7896005272060</v>
      </c>
      <c r="D4601">
        <v>6.99</v>
      </c>
      <c r="E4601">
        <v>4.88</v>
      </c>
      <c r="F4601" s="3">
        <v>0.21920000000000001</v>
      </c>
      <c r="G4601">
        <v>3.5533000000000001</v>
      </c>
      <c r="H4601">
        <v>2.367</v>
      </c>
    </row>
    <row r="4602" spans="1:8" x14ac:dyDescent="0.25">
      <c r="A4602" t="s">
        <v>4608</v>
      </c>
      <c r="B4602">
        <v>9082</v>
      </c>
      <c r="C4602">
        <v>7896005279182</v>
      </c>
      <c r="D4602">
        <v>6.99</v>
      </c>
      <c r="E4602">
        <v>4.76</v>
      </c>
      <c r="F4602" s="3">
        <v>0.22600000000000001</v>
      </c>
      <c r="G4602">
        <v>3.5053999999999998</v>
      </c>
      <c r="H4602">
        <v>1.667</v>
      </c>
    </row>
    <row r="4603" spans="1:8" x14ac:dyDescent="0.25">
      <c r="A4603" t="s">
        <v>4609</v>
      </c>
      <c r="B4603">
        <v>9083</v>
      </c>
      <c r="C4603">
        <v>7896005272022</v>
      </c>
      <c r="D4603">
        <v>6.99</v>
      </c>
      <c r="E4603">
        <v>4.8899999999999997</v>
      </c>
      <c r="F4603" s="3">
        <v>0.21840000000000001</v>
      </c>
      <c r="G4603">
        <v>3.5583999999999998</v>
      </c>
      <c r="H4603">
        <v>3.5670000000000002</v>
      </c>
    </row>
    <row r="4604" spans="1:8" x14ac:dyDescent="0.25">
      <c r="A4604" t="s">
        <v>4610</v>
      </c>
      <c r="B4604">
        <v>9085</v>
      </c>
      <c r="C4604">
        <v>7896005272121</v>
      </c>
      <c r="D4604">
        <v>6.83</v>
      </c>
      <c r="E4604">
        <v>4.8899999999999997</v>
      </c>
      <c r="F4604" s="3">
        <v>0.20620000000000002</v>
      </c>
      <c r="G4604">
        <v>3.5583999999999998</v>
      </c>
      <c r="H4604">
        <v>1.367</v>
      </c>
    </row>
    <row r="4605" spans="1:8" x14ac:dyDescent="0.25">
      <c r="A4605" t="s">
        <v>4611</v>
      </c>
      <c r="B4605">
        <v>60399</v>
      </c>
      <c r="C4605">
        <v>7891048061824</v>
      </c>
      <c r="D4605">
        <v>6.99</v>
      </c>
      <c r="E4605">
        <v>4.7699999999999996</v>
      </c>
      <c r="F4605" s="3">
        <v>0.23139999999999999</v>
      </c>
      <c r="G4605">
        <v>3.4678</v>
      </c>
      <c r="H4605">
        <v>0.33300000000000002</v>
      </c>
    </row>
    <row r="4606" spans="1:8" x14ac:dyDescent="0.25">
      <c r="A4606" t="s">
        <v>4612</v>
      </c>
      <c r="B4606">
        <v>68808</v>
      </c>
      <c r="C4606">
        <v>7891048000038</v>
      </c>
      <c r="D4606">
        <v>7.99</v>
      </c>
      <c r="E4606">
        <v>4.7699999999999996</v>
      </c>
      <c r="F4606" s="3">
        <v>0.29339999999999999</v>
      </c>
      <c r="G4606">
        <v>3.4683000000000002</v>
      </c>
      <c r="H4606">
        <v>0.6</v>
      </c>
    </row>
    <row r="4607" spans="1:8" x14ac:dyDescent="0.25">
      <c r="A4607" t="s">
        <v>4613</v>
      </c>
      <c r="B4607">
        <v>9087</v>
      </c>
      <c r="C4607">
        <v>7891048061794</v>
      </c>
      <c r="D4607">
        <v>6.99</v>
      </c>
      <c r="E4607">
        <v>4.7699999999999996</v>
      </c>
      <c r="F4607" s="3">
        <v>0.23139999999999999</v>
      </c>
      <c r="G4607">
        <v>3.4678</v>
      </c>
      <c r="H4607">
        <v>0.4</v>
      </c>
    </row>
    <row r="4608" spans="1:8" x14ac:dyDescent="0.25">
      <c r="A4608" t="s">
        <v>4614</v>
      </c>
      <c r="B4608">
        <v>65464</v>
      </c>
      <c r="C4608">
        <v>7891048061817</v>
      </c>
      <c r="D4608">
        <v>6.99</v>
      </c>
      <c r="E4608">
        <v>4.33</v>
      </c>
      <c r="F4608" s="3">
        <v>0.27649999999999997</v>
      </c>
      <c r="G4608">
        <v>3.1522000000000001</v>
      </c>
      <c r="H4608">
        <v>0.2</v>
      </c>
    </row>
    <row r="4609" spans="1:8" x14ac:dyDescent="0.25">
      <c r="A4609" t="s">
        <v>4615</v>
      </c>
      <c r="B4609">
        <v>35548</v>
      </c>
      <c r="C4609">
        <v>7891048061800</v>
      </c>
      <c r="D4609">
        <v>6.99</v>
      </c>
      <c r="E4609">
        <v>4.3</v>
      </c>
      <c r="F4609" s="3">
        <v>0.27760000000000001</v>
      </c>
      <c r="G4609">
        <v>3.1450999999999998</v>
      </c>
      <c r="H4609">
        <v>1</v>
      </c>
    </row>
    <row r="4610" spans="1:8" x14ac:dyDescent="0.25">
      <c r="A4610" t="s">
        <v>4616</v>
      </c>
      <c r="B4610">
        <v>35547</v>
      </c>
      <c r="C4610">
        <v>7891048061756</v>
      </c>
      <c r="D4610">
        <v>6.99</v>
      </c>
      <c r="E4610">
        <v>4.7699999999999996</v>
      </c>
      <c r="F4610" s="3">
        <v>0.23120000000000002</v>
      </c>
      <c r="G4610">
        <v>3.4693999999999998</v>
      </c>
      <c r="H4610">
        <v>0.1</v>
      </c>
    </row>
    <row r="4611" spans="1:8" x14ac:dyDescent="0.25">
      <c r="A4611" t="s">
        <v>4617</v>
      </c>
      <c r="B4611">
        <v>6037</v>
      </c>
      <c r="C4611">
        <v>7891048061695</v>
      </c>
      <c r="D4611">
        <v>6.99</v>
      </c>
      <c r="E4611">
        <v>4.7699999999999996</v>
      </c>
      <c r="F4611" s="3">
        <v>0.23139999999999999</v>
      </c>
      <c r="G4611">
        <v>3.4678</v>
      </c>
      <c r="H4611">
        <v>0.26700000000000002</v>
      </c>
    </row>
    <row r="4612" spans="1:8" x14ac:dyDescent="0.25">
      <c r="A4612" t="s">
        <v>4618</v>
      </c>
      <c r="B4612">
        <v>10331</v>
      </c>
      <c r="C4612">
        <v>7891048067154</v>
      </c>
      <c r="D4612">
        <v>15.9</v>
      </c>
      <c r="E4612">
        <v>10.92</v>
      </c>
      <c r="F4612" s="3">
        <v>0.2278</v>
      </c>
      <c r="G4612">
        <v>7.9455999999999998</v>
      </c>
      <c r="H4612">
        <v>0.16700000000000001</v>
      </c>
    </row>
    <row r="4613" spans="1:8" x14ac:dyDescent="0.25">
      <c r="A4613" t="s">
        <v>4619</v>
      </c>
      <c r="B4613">
        <v>66925</v>
      </c>
      <c r="C4613">
        <v>7898331014284</v>
      </c>
      <c r="D4613">
        <v>15.9</v>
      </c>
      <c r="E4613">
        <v>9.94</v>
      </c>
      <c r="F4613" s="3">
        <v>0.2576</v>
      </c>
      <c r="G4613">
        <v>7.4713000000000003</v>
      </c>
      <c r="H4613">
        <v>1.667</v>
      </c>
    </row>
    <row r="4614" spans="1:8" x14ac:dyDescent="0.25">
      <c r="A4614" t="s">
        <v>4620</v>
      </c>
      <c r="B4614">
        <v>66924</v>
      </c>
      <c r="C4614">
        <v>7898331014291</v>
      </c>
      <c r="D4614">
        <v>11.9</v>
      </c>
      <c r="E4614">
        <v>6.73</v>
      </c>
      <c r="F4614" s="3">
        <v>0.30769999999999997</v>
      </c>
      <c r="G4614">
        <v>4.9950999999999999</v>
      </c>
      <c r="H4614">
        <v>2.0329999999999999</v>
      </c>
    </row>
    <row r="4615" spans="1:8" x14ac:dyDescent="0.25">
      <c r="A4615" t="s">
        <v>4621</v>
      </c>
      <c r="B4615">
        <v>66921</v>
      </c>
      <c r="C4615">
        <v>7898331014307</v>
      </c>
      <c r="D4615">
        <v>9.9</v>
      </c>
      <c r="E4615">
        <v>6.89</v>
      </c>
      <c r="F4615" s="3">
        <v>0.21739999999999998</v>
      </c>
      <c r="G4615">
        <v>5.0500999999999996</v>
      </c>
      <c r="H4615">
        <v>1.2</v>
      </c>
    </row>
    <row r="4616" spans="1:8" x14ac:dyDescent="0.25">
      <c r="A4616" t="s">
        <v>4622</v>
      </c>
      <c r="B4616">
        <v>43419</v>
      </c>
      <c r="C4616">
        <v>7898409951602</v>
      </c>
      <c r="D4616">
        <v>13.58</v>
      </c>
      <c r="E4616">
        <v>7.23</v>
      </c>
      <c r="F4616" s="3">
        <v>0.34360000000000002</v>
      </c>
      <c r="G4616">
        <v>5.2129000000000003</v>
      </c>
      <c r="H4616">
        <v>1.0669999999999999</v>
      </c>
    </row>
    <row r="4617" spans="1:8" x14ac:dyDescent="0.25">
      <c r="A4617" t="s">
        <v>4623</v>
      </c>
      <c r="B4617">
        <v>66923</v>
      </c>
      <c r="C4617">
        <v>7898331014314</v>
      </c>
      <c r="D4617">
        <v>9.6999999999999993</v>
      </c>
      <c r="E4617">
        <v>6.58</v>
      </c>
      <c r="F4617" s="3">
        <v>0.2155</v>
      </c>
      <c r="G4617">
        <v>4.9664999999999999</v>
      </c>
      <c r="H4617">
        <v>5.367</v>
      </c>
    </row>
    <row r="4618" spans="1:8" x14ac:dyDescent="0.25">
      <c r="A4618" t="s">
        <v>4624</v>
      </c>
      <c r="B4618">
        <v>43414</v>
      </c>
      <c r="C4618">
        <v>7898409950902</v>
      </c>
      <c r="D4618">
        <v>8.99</v>
      </c>
      <c r="E4618">
        <v>5.27</v>
      </c>
      <c r="F4618" s="3">
        <v>0.30219999999999997</v>
      </c>
      <c r="G4618">
        <v>3.8233999999999999</v>
      </c>
      <c r="H4618">
        <v>2.7330000000000001</v>
      </c>
    </row>
    <row r="4619" spans="1:8" x14ac:dyDescent="0.25">
      <c r="A4619" t="s">
        <v>4625</v>
      </c>
      <c r="B4619">
        <v>43410</v>
      </c>
      <c r="C4619">
        <v>7898409950629</v>
      </c>
      <c r="D4619">
        <v>8.99</v>
      </c>
      <c r="E4619">
        <v>5.24</v>
      </c>
      <c r="F4619" s="3">
        <v>0.30079999999999996</v>
      </c>
      <c r="G4619">
        <v>3.8363999999999998</v>
      </c>
      <c r="H4619">
        <v>2.9670000000000001</v>
      </c>
    </row>
    <row r="4620" spans="1:8" x14ac:dyDescent="0.25">
      <c r="A4620" t="s">
        <v>4626</v>
      </c>
      <c r="B4620">
        <v>43413</v>
      </c>
      <c r="C4620">
        <v>7898409951343</v>
      </c>
      <c r="D4620">
        <v>8.99</v>
      </c>
      <c r="E4620">
        <v>5.24</v>
      </c>
      <c r="F4620" s="3">
        <v>0.30640000000000001</v>
      </c>
      <c r="G4620">
        <v>3.7858000000000001</v>
      </c>
      <c r="H4620">
        <v>2.9</v>
      </c>
    </row>
    <row r="4621" spans="1:8" x14ac:dyDescent="0.25">
      <c r="A4621" t="s">
        <v>4627</v>
      </c>
      <c r="B4621">
        <v>43406</v>
      </c>
      <c r="C4621">
        <v>7898409950889</v>
      </c>
      <c r="D4621">
        <v>8.84</v>
      </c>
      <c r="E4621">
        <v>5.09</v>
      </c>
      <c r="F4621" s="3">
        <v>0.30649999999999999</v>
      </c>
      <c r="G4621">
        <v>3.722</v>
      </c>
      <c r="H4621">
        <v>2.8330000000000002</v>
      </c>
    </row>
    <row r="4622" spans="1:8" x14ac:dyDescent="0.25">
      <c r="A4622" t="s">
        <v>4628</v>
      </c>
      <c r="B4622">
        <v>43417</v>
      </c>
      <c r="C4622">
        <v>7898409950605</v>
      </c>
      <c r="D4622">
        <v>11.9</v>
      </c>
      <c r="E4622">
        <v>7.17</v>
      </c>
      <c r="F4622" s="3">
        <v>0.28859999999999997</v>
      </c>
      <c r="G4622">
        <v>5.2225999999999999</v>
      </c>
      <c r="H4622">
        <v>3.1669999999999998</v>
      </c>
    </row>
    <row r="4623" spans="1:8" x14ac:dyDescent="0.25">
      <c r="A4623" t="s">
        <v>4629</v>
      </c>
      <c r="B4623">
        <v>66922</v>
      </c>
      <c r="C4623">
        <v>7898331014321</v>
      </c>
      <c r="D4623">
        <v>7.6</v>
      </c>
      <c r="E4623">
        <v>6.51</v>
      </c>
      <c r="F4623" s="3">
        <v>9.01E-2</v>
      </c>
      <c r="G4623">
        <v>4.8463000000000003</v>
      </c>
      <c r="H4623">
        <v>5.633</v>
      </c>
    </row>
    <row r="4624" spans="1:8" x14ac:dyDescent="0.25">
      <c r="A4624" t="s">
        <v>4630</v>
      </c>
      <c r="B4624">
        <v>65581</v>
      </c>
      <c r="C4624">
        <v>7898331013270</v>
      </c>
      <c r="D4624">
        <v>9.99</v>
      </c>
      <c r="E4624">
        <v>7.16</v>
      </c>
      <c r="F4624" s="3">
        <v>0.2107</v>
      </c>
      <c r="G4624">
        <v>5.1631</v>
      </c>
      <c r="H4624">
        <v>1.6</v>
      </c>
    </row>
    <row r="4625" spans="1:8" x14ac:dyDescent="0.25">
      <c r="A4625" t="s">
        <v>4631</v>
      </c>
      <c r="B4625">
        <v>65582</v>
      </c>
      <c r="C4625">
        <v>7898331013263</v>
      </c>
      <c r="D4625">
        <v>9.99</v>
      </c>
      <c r="E4625">
        <v>7.12</v>
      </c>
      <c r="F4625" s="3">
        <v>0.2021</v>
      </c>
      <c r="G4625">
        <v>5.2488999999999999</v>
      </c>
      <c r="H4625">
        <v>0.433</v>
      </c>
    </row>
    <row r="4626" spans="1:8" x14ac:dyDescent="0.25">
      <c r="A4626" t="s">
        <v>4632</v>
      </c>
      <c r="B4626">
        <v>45727</v>
      </c>
      <c r="C4626">
        <v>7898409952913</v>
      </c>
      <c r="D4626">
        <v>11.9</v>
      </c>
      <c r="E4626">
        <v>7.08</v>
      </c>
      <c r="F4626" s="3">
        <v>0.29260000000000003</v>
      </c>
      <c r="G4626">
        <v>5.1753999999999998</v>
      </c>
      <c r="H4626">
        <v>5.3330000000000002</v>
      </c>
    </row>
    <row r="4627" spans="1:8" x14ac:dyDescent="0.25">
      <c r="A4627" t="s">
        <v>4633</v>
      </c>
      <c r="B4627">
        <v>43420</v>
      </c>
      <c r="C4627">
        <v>7898409951367</v>
      </c>
      <c r="D4627">
        <v>11.9</v>
      </c>
      <c r="E4627">
        <v>7.08</v>
      </c>
      <c r="F4627" s="3">
        <v>0.29399999999999998</v>
      </c>
      <c r="G4627">
        <v>5.1589</v>
      </c>
      <c r="H4627">
        <v>6.4669999999999996</v>
      </c>
    </row>
    <row r="4628" spans="1:8" x14ac:dyDescent="0.25">
      <c r="A4628" t="s">
        <v>4634</v>
      </c>
      <c r="B4628">
        <v>34565</v>
      </c>
      <c r="C4628">
        <v>7896001272446</v>
      </c>
      <c r="D4628">
        <v>0</v>
      </c>
      <c r="E4628">
        <v>12.44</v>
      </c>
      <c r="F4628" s="3">
        <v>0</v>
      </c>
      <c r="G4628">
        <v>9.0274999999999999</v>
      </c>
      <c r="H4628">
        <v>0</v>
      </c>
    </row>
    <row r="4629" spans="1:8" x14ac:dyDescent="0.25">
      <c r="A4629" t="s">
        <v>4635</v>
      </c>
      <c r="B4629">
        <v>34567</v>
      </c>
      <c r="C4629">
        <v>7896001272460</v>
      </c>
      <c r="D4629">
        <v>0</v>
      </c>
      <c r="E4629">
        <v>12.75</v>
      </c>
      <c r="F4629" s="3">
        <v>0</v>
      </c>
      <c r="G4629">
        <v>9.2721999999999998</v>
      </c>
      <c r="H4629">
        <v>3.3000000000000002E-2</v>
      </c>
    </row>
    <row r="4630" spans="1:8" x14ac:dyDescent="0.25">
      <c r="A4630" t="s">
        <v>4636</v>
      </c>
      <c r="B4630">
        <v>3352</v>
      </c>
      <c r="C4630">
        <v>7891095300808</v>
      </c>
      <c r="D4630">
        <v>13.9</v>
      </c>
      <c r="E4630">
        <v>8.14</v>
      </c>
      <c r="F4630" s="3">
        <v>0.30170000000000002</v>
      </c>
      <c r="G4630">
        <v>5.9184999999999999</v>
      </c>
      <c r="H4630">
        <v>0</v>
      </c>
    </row>
    <row r="4631" spans="1:8" x14ac:dyDescent="0.25">
      <c r="A4631" t="s">
        <v>4637</v>
      </c>
      <c r="B4631">
        <v>67170</v>
      </c>
      <c r="C4631">
        <v>7898954933658</v>
      </c>
      <c r="D4631">
        <v>29.9</v>
      </c>
      <c r="E4631">
        <v>17.48</v>
      </c>
      <c r="F4631" s="3">
        <v>0.30430000000000001</v>
      </c>
      <c r="G4631">
        <v>12.653</v>
      </c>
      <c r="H4631">
        <v>1.5669999999999999</v>
      </c>
    </row>
    <row r="4632" spans="1:8" x14ac:dyDescent="0.25">
      <c r="A4632" t="s">
        <v>4638</v>
      </c>
      <c r="B4632">
        <v>60198</v>
      </c>
      <c r="C4632">
        <v>7896038300112</v>
      </c>
      <c r="D4632">
        <v>16.899999999999999</v>
      </c>
      <c r="E4632">
        <v>9.65</v>
      </c>
      <c r="F4632" s="3">
        <v>0.31190000000000001</v>
      </c>
      <c r="G4632">
        <v>7.0233999999999996</v>
      </c>
      <c r="H4632">
        <v>1.9670000000000001</v>
      </c>
    </row>
    <row r="4633" spans="1:8" x14ac:dyDescent="0.25">
      <c r="A4633" t="s">
        <v>4639</v>
      </c>
      <c r="B4633">
        <v>30440</v>
      </c>
      <c r="C4633">
        <v>7898206501994</v>
      </c>
      <c r="D4633">
        <v>21.9</v>
      </c>
      <c r="E4633">
        <v>11.98</v>
      </c>
      <c r="F4633" s="3">
        <v>0.3296</v>
      </c>
      <c r="G4633">
        <v>8.7141999999999999</v>
      </c>
      <c r="H4633">
        <v>1.7</v>
      </c>
    </row>
    <row r="4634" spans="1:8" x14ac:dyDescent="0.25">
      <c r="A4634" t="s">
        <v>4640</v>
      </c>
      <c r="B4634">
        <v>65590</v>
      </c>
      <c r="C4634">
        <v>7896175327072</v>
      </c>
      <c r="D4634">
        <v>12.9</v>
      </c>
      <c r="E4634">
        <v>9.6999999999999993</v>
      </c>
      <c r="F4634" s="3">
        <v>0.24789999999999998</v>
      </c>
      <c r="G4634">
        <v>9.7019000000000002</v>
      </c>
      <c r="H4634">
        <v>0.36699999999999999</v>
      </c>
    </row>
    <row r="4635" spans="1:8" x14ac:dyDescent="0.25">
      <c r="A4635" t="s">
        <v>4641</v>
      </c>
      <c r="B4635">
        <v>66939</v>
      </c>
      <c r="C4635">
        <v>7891150096295</v>
      </c>
      <c r="D4635">
        <v>19.899999999999999</v>
      </c>
      <c r="E4635">
        <v>19.62</v>
      </c>
      <c r="F4635" s="3">
        <v>1.26E-2</v>
      </c>
      <c r="G4635">
        <v>17.809000000000001</v>
      </c>
      <c r="H4635">
        <v>6.7000000000000004E-2</v>
      </c>
    </row>
    <row r="4636" spans="1:8" x14ac:dyDescent="0.25">
      <c r="A4636" t="s">
        <v>4642</v>
      </c>
      <c r="B4636">
        <v>66661</v>
      </c>
      <c r="C4636">
        <v>7898453462642</v>
      </c>
      <c r="D4636">
        <v>17.899999999999999</v>
      </c>
      <c r="E4636">
        <v>12.01</v>
      </c>
      <c r="F4636" s="3">
        <v>0.23949999999999999</v>
      </c>
      <c r="G4636">
        <v>8.7359000000000009</v>
      </c>
      <c r="H4636">
        <v>0.6</v>
      </c>
    </row>
    <row r="4637" spans="1:8" x14ac:dyDescent="0.25">
      <c r="A4637" t="s">
        <v>4643</v>
      </c>
      <c r="B4637">
        <v>66656</v>
      </c>
      <c r="C4637">
        <v>7898453468101</v>
      </c>
      <c r="D4637">
        <v>27.9</v>
      </c>
      <c r="E4637">
        <v>16.77</v>
      </c>
      <c r="F4637" s="3">
        <v>0.29010000000000002</v>
      </c>
      <c r="G4637">
        <v>12.202500000000001</v>
      </c>
      <c r="H4637">
        <v>0.96699999999999997</v>
      </c>
    </row>
    <row r="4638" spans="1:8" x14ac:dyDescent="0.25">
      <c r="A4638" t="s">
        <v>4644</v>
      </c>
      <c r="B4638">
        <v>66657</v>
      </c>
      <c r="C4638">
        <v>7898453468118</v>
      </c>
      <c r="D4638">
        <v>27.9</v>
      </c>
      <c r="E4638">
        <v>16.13</v>
      </c>
      <c r="F4638" s="3">
        <v>0.307</v>
      </c>
      <c r="G4638">
        <v>11.731299999999999</v>
      </c>
      <c r="H4638">
        <v>1.5329999999999999</v>
      </c>
    </row>
    <row r="4639" spans="1:8" x14ac:dyDescent="0.25">
      <c r="A4639" t="s">
        <v>4645</v>
      </c>
      <c r="B4639">
        <v>59332</v>
      </c>
      <c r="C4639">
        <v>7898946900965</v>
      </c>
      <c r="D4639">
        <v>21.9</v>
      </c>
      <c r="E4639">
        <v>15.22</v>
      </c>
      <c r="F4639" s="3">
        <v>0.2762</v>
      </c>
      <c r="G4639">
        <v>13.825699999999999</v>
      </c>
      <c r="H4639">
        <v>0.7</v>
      </c>
    </row>
    <row r="4640" spans="1:8" x14ac:dyDescent="0.25">
      <c r="A4640" t="s">
        <v>4646</v>
      </c>
      <c r="B4640">
        <v>59331</v>
      </c>
      <c r="C4640">
        <v>7898946900552</v>
      </c>
      <c r="D4640">
        <v>21.9</v>
      </c>
      <c r="E4640">
        <v>12.72</v>
      </c>
      <c r="F4640" s="3">
        <v>0.30579999999999996</v>
      </c>
      <c r="G4640">
        <v>9.2354000000000003</v>
      </c>
      <c r="H4640">
        <v>1.2</v>
      </c>
    </row>
    <row r="4641" spans="1:8" x14ac:dyDescent="0.25">
      <c r="A4641" t="s">
        <v>4647</v>
      </c>
      <c r="B4641">
        <v>62041</v>
      </c>
      <c r="C4641">
        <v>7898635643814</v>
      </c>
      <c r="D4641">
        <v>22.99</v>
      </c>
      <c r="E4641">
        <v>15.3</v>
      </c>
      <c r="F4641" s="3">
        <v>0.29949999999999999</v>
      </c>
      <c r="G4641">
        <v>13.9773</v>
      </c>
      <c r="H4641">
        <v>0.73299999999999998</v>
      </c>
    </row>
    <row r="4642" spans="1:8" x14ac:dyDescent="0.25">
      <c r="A4642" t="s">
        <v>4648</v>
      </c>
      <c r="B4642">
        <v>59329</v>
      </c>
      <c r="C4642">
        <v>7898946900569</v>
      </c>
      <c r="D4642">
        <v>19.899999999999999</v>
      </c>
      <c r="E4642">
        <v>15.93</v>
      </c>
      <c r="F4642" s="3">
        <v>0.1469</v>
      </c>
      <c r="G4642">
        <v>11.554600000000001</v>
      </c>
      <c r="H4642">
        <v>3.0329999999999999</v>
      </c>
    </row>
    <row r="4643" spans="1:8" x14ac:dyDescent="0.25">
      <c r="A4643" t="s">
        <v>4649</v>
      </c>
      <c r="B4643">
        <v>59330</v>
      </c>
      <c r="C4643">
        <v>7898946900576</v>
      </c>
      <c r="D4643">
        <v>19.899999999999999</v>
      </c>
      <c r="E4643">
        <v>15.88</v>
      </c>
      <c r="F4643" s="3">
        <v>0.14910000000000001</v>
      </c>
      <c r="G4643">
        <v>11.5105</v>
      </c>
      <c r="H4643">
        <v>2.3330000000000002</v>
      </c>
    </row>
    <row r="4644" spans="1:8" x14ac:dyDescent="0.25">
      <c r="A4644" t="s">
        <v>4650</v>
      </c>
      <c r="B4644">
        <v>67352</v>
      </c>
      <c r="C4644">
        <v>7898635644422</v>
      </c>
      <c r="D4644">
        <v>26.9</v>
      </c>
      <c r="E4644">
        <v>17.34</v>
      </c>
      <c r="F4644" s="3">
        <v>0.32119999999999999</v>
      </c>
      <c r="G4644">
        <v>15.771699999999999</v>
      </c>
      <c r="H4644">
        <v>1</v>
      </c>
    </row>
    <row r="4645" spans="1:8" x14ac:dyDescent="0.25">
      <c r="A4645" t="s">
        <v>4651</v>
      </c>
      <c r="B4645">
        <v>59333</v>
      </c>
      <c r="C4645">
        <v>7898946900972</v>
      </c>
      <c r="D4645">
        <v>18.989999999999998</v>
      </c>
      <c r="E4645">
        <v>0</v>
      </c>
      <c r="F4645" s="3">
        <v>0.90749999999999997</v>
      </c>
      <c r="G4645">
        <v>0</v>
      </c>
      <c r="H4645">
        <v>0.308</v>
      </c>
    </row>
    <row r="4646" spans="1:8" x14ac:dyDescent="0.25">
      <c r="A4646" t="s">
        <v>4652</v>
      </c>
      <c r="B4646">
        <v>58311</v>
      </c>
      <c r="C4646">
        <v>7891116126578</v>
      </c>
      <c r="D4646">
        <v>134.9</v>
      </c>
      <c r="E4646">
        <v>81.39</v>
      </c>
      <c r="F4646" s="3">
        <v>0.28649999999999998</v>
      </c>
      <c r="G4646">
        <v>59.492699999999999</v>
      </c>
      <c r="H4646">
        <v>3.3000000000000002E-2</v>
      </c>
    </row>
    <row r="4647" spans="1:8" x14ac:dyDescent="0.25">
      <c r="A4647" t="s">
        <v>4653</v>
      </c>
      <c r="B4647">
        <v>67359</v>
      </c>
      <c r="C4647">
        <v>7898635644880</v>
      </c>
      <c r="D4647">
        <v>22.9</v>
      </c>
      <c r="E4647">
        <v>14.66</v>
      </c>
      <c r="F4647" s="3">
        <v>0.3251</v>
      </c>
      <c r="G4647">
        <v>13.335900000000001</v>
      </c>
      <c r="H4647">
        <v>1.2</v>
      </c>
    </row>
    <row r="4648" spans="1:8" x14ac:dyDescent="0.25">
      <c r="A4648" t="s">
        <v>4654</v>
      </c>
      <c r="B4648">
        <v>67355</v>
      </c>
      <c r="C4648">
        <v>7898635644804</v>
      </c>
      <c r="D4648">
        <v>28.9</v>
      </c>
      <c r="E4648">
        <v>15.24</v>
      </c>
      <c r="F4648" s="3">
        <v>0.34399999999999997</v>
      </c>
      <c r="G4648">
        <v>11.084</v>
      </c>
      <c r="H4648">
        <v>0.2</v>
      </c>
    </row>
    <row r="4649" spans="1:8" x14ac:dyDescent="0.25">
      <c r="A4649" t="s">
        <v>4655</v>
      </c>
      <c r="B4649">
        <v>66662</v>
      </c>
      <c r="C4649">
        <v>7898453418106</v>
      </c>
      <c r="D4649">
        <v>22.9</v>
      </c>
      <c r="E4649">
        <v>13.16</v>
      </c>
      <c r="F4649" s="3">
        <v>0.30930000000000002</v>
      </c>
      <c r="G4649">
        <v>9.5770999999999997</v>
      </c>
      <c r="H4649">
        <v>1.167</v>
      </c>
    </row>
    <row r="4650" spans="1:8" x14ac:dyDescent="0.25">
      <c r="A4650" t="s">
        <v>4656</v>
      </c>
      <c r="B4650">
        <v>31815</v>
      </c>
      <c r="C4650">
        <v>7896007865864</v>
      </c>
      <c r="D4650">
        <v>8.99</v>
      </c>
      <c r="E4650">
        <v>5.65</v>
      </c>
      <c r="F4650" s="3">
        <v>0.33710000000000001</v>
      </c>
      <c r="G4650">
        <v>5.1275000000000004</v>
      </c>
      <c r="H4650">
        <v>0.9</v>
      </c>
    </row>
    <row r="4651" spans="1:8" x14ac:dyDescent="0.25">
      <c r="A4651" t="s">
        <v>4657</v>
      </c>
      <c r="B4651">
        <v>31784</v>
      </c>
      <c r="C4651">
        <v>7896007800025</v>
      </c>
      <c r="D4651">
        <v>14.9</v>
      </c>
      <c r="E4651">
        <v>9.9</v>
      </c>
      <c r="F4651" s="3">
        <v>0.3029</v>
      </c>
      <c r="G4651">
        <v>9.0084</v>
      </c>
      <c r="H4651">
        <v>1.633</v>
      </c>
    </row>
    <row r="4652" spans="1:8" x14ac:dyDescent="0.25">
      <c r="A4652" t="s">
        <v>4658</v>
      </c>
      <c r="B4652">
        <v>6583</v>
      </c>
      <c r="C4652">
        <v>7896007811021</v>
      </c>
      <c r="D4652">
        <v>4.6900000000000004</v>
      </c>
      <c r="E4652">
        <v>3.2</v>
      </c>
      <c r="F4652" s="3">
        <v>0.28699999999999998</v>
      </c>
      <c r="G4652">
        <v>2.9102999999999999</v>
      </c>
      <c r="H4652">
        <v>9.9329999999999998</v>
      </c>
    </row>
    <row r="4653" spans="1:8" x14ac:dyDescent="0.25">
      <c r="A4653" t="s">
        <v>4659</v>
      </c>
      <c r="B4653">
        <v>7726</v>
      </c>
      <c r="C4653">
        <v>7897942100096</v>
      </c>
      <c r="D4653">
        <v>17.989999999999998</v>
      </c>
      <c r="E4653">
        <v>11.02</v>
      </c>
      <c r="F4653" s="3">
        <v>0.35229999999999995</v>
      </c>
      <c r="G4653">
        <v>9.9886999999999997</v>
      </c>
      <c r="H4653">
        <v>7.6669999999999998</v>
      </c>
    </row>
    <row r="4654" spans="1:8" x14ac:dyDescent="0.25">
      <c r="A4654" t="s">
        <v>4660</v>
      </c>
      <c r="B4654">
        <v>68124</v>
      </c>
      <c r="C4654">
        <v>7891300910662</v>
      </c>
      <c r="D4654">
        <v>33.9</v>
      </c>
      <c r="E4654">
        <v>22.45</v>
      </c>
      <c r="F4654" s="3">
        <v>0.30640000000000001</v>
      </c>
      <c r="G4654">
        <v>20.375800000000002</v>
      </c>
      <c r="H4654">
        <v>0.33300000000000002</v>
      </c>
    </row>
    <row r="4655" spans="1:8" x14ac:dyDescent="0.25">
      <c r="A4655" t="s">
        <v>4661</v>
      </c>
      <c r="B4655">
        <v>6595</v>
      </c>
      <c r="C4655">
        <v>7896007811311</v>
      </c>
      <c r="D4655">
        <v>6.29</v>
      </c>
      <c r="E4655">
        <v>4.33</v>
      </c>
      <c r="F4655" s="3">
        <v>0.28139999999999998</v>
      </c>
      <c r="G4655">
        <v>3.9380000000000002</v>
      </c>
      <c r="H4655">
        <v>3.9670000000000001</v>
      </c>
    </row>
    <row r="4656" spans="1:8" x14ac:dyDescent="0.25">
      <c r="A4656" t="s">
        <v>4662</v>
      </c>
      <c r="B4656">
        <v>6596</v>
      </c>
      <c r="C4656">
        <v>7891095155590</v>
      </c>
      <c r="D4656">
        <v>6.99</v>
      </c>
      <c r="E4656">
        <v>4.5</v>
      </c>
      <c r="F4656" s="3">
        <v>0.32329999999999998</v>
      </c>
      <c r="G4656">
        <v>4.0833000000000004</v>
      </c>
      <c r="H4656">
        <v>1.3</v>
      </c>
    </row>
    <row r="4657" spans="1:8" x14ac:dyDescent="0.25">
      <c r="A4657" t="s">
        <v>4663</v>
      </c>
      <c r="B4657">
        <v>62414</v>
      </c>
      <c r="C4657">
        <v>7891150089426</v>
      </c>
      <c r="D4657">
        <v>7.49</v>
      </c>
      <c r="E4657">
        <v>5.38</v>
      </c>
      <c r="F4657" s="3">
        <v>0.25730000000000003</v>
      </c>
      <c r="G4657">
        <v>4.8696999999999999</v>
      </c>
      <c r="H4657">
        <v>1.9330000000000001</v>
      </c>
    </row>
    <row r="4658" spans="1:8" x14ac:dyDescent="0.25">
      <c r="A4658" t="s">
        <v>4664</v>
      </c>
      <c r="B4658">
        <v>8036</v>
      </c>
      <c r="C4658">
        <v>11210607033</v>
      </c>
      <c r="D4658">
        <v>27.9</v>
      </c>
      <c r="E4658">
        <v>20.010000000000002</v>
      </c>
      <c r="F4658" s="3">
        <v>0.24809999999999999</v>
      </c>
      <c r="G4658">
        <v>18.3979</v>
      </c>
      <c r="H4658">
        <v>0.53300000000000003</v>
      </c>
    </row>
    <row r="4659" spans="1:8" x14ac:dyDescent="0.25">
      <c r="A4659" t="s">
        <v>4665</v>
      </c>
      <c r="B4659">
        <v>8037</v>
      </c>
      <c r="C4659">
        <v>11210007253</v>
      </c>
      <c r="D4659">
        <v>27.9</v>
      </c>
      <c r="E4659">
        <v>19.95</v>
      </c>
      <c r="F4659" s="3">
        <v>0.25090000000000001</v>
      </c>
      <c r="G4659">
        <v>18.3201</v>
      </c>
      <c r="H4659">
        <v>0.56699999999999995</v>
      </c>
    </row>
    <row r="4660" spans="1:8" x14ac:dyDescent="0.25">
      <c r="A4660" t="s">
        <v>4666</v>
      </c>
      <c r="B4660">
        <v>6742</v>
      </c>
      <c r="C4660">
        <v>11210009530</v>
      </c>
      <c r="D4660">
        <v>27.9</v>
      </c>
      <c r="E4660">
        <v>20.329999999999998</v>
      </c>
      <c r="F4660" s="3">
        <v>0.24359999999999998</v>
      </c>
      <c r="G4660">
        <v>18.524000000000001</v>
      </c>
      <c r="H4660">
        <v>0.4</v>
      </c>
    </row>
    <row r="4661" spans="1:8" x14ac:dyDescent="0.25">
      <c r="A4661" t="s">
        <v>4667</v>
      </c>
      <c r="B4661">
        <v>8042</v>
      </c>
      <c r="C4661">
        <v>11210006508</v>
      </c>
      <c r="D4661">
        <v>34.9</v>
      </c>
      <c r="E4661">
        <v>24.97</v>
      </c>
      <c r="F4661" s="3">
        <v>0.2586</v>
      </c>
      <c r="G4661">
        <v>22.6465</v>
      </c>
      <c r="H4661">
        <v>0.13300000000000001</v>
      </c>
    </row>
    <row r="4662" spans="1:8" x14ac:dyDescent="0.25">
      <c r="A4662" t="s">
        <v>4668</v>
      </c>
      <c r="B4662">
        <v>8045</v>
      </c>
      <c r="C4662">
        <v>11210115606</v>
      </c>
      <c r="D4662">
        <v>23.9</v>
      </c>
      <c r="E4662">
        <v>17.88</v>
      </c>
      <c r="F4662" s="3">
        <v>0.21559999999999999</v>
      </c>
      <c r="G4662">
        <v>16.537199999999999</v>
      </c>
      <c r="H4662">
        <v>7.0330000000000004</v>
      </c>
    </row>
    <row r="4663" spans="1:8" x14ac:dyDescent="0.25">
      <c r="A4663" t="s">
        <v>4669</v>
      </c>
      <c r="B4663">
        <v>68123</v>
      </c>
      <c r="C4663">
        <v>7891300910709</v>
      </c>
      <c r="D4663">
        <v>13.9</v>
      </c>
      <c r="E4663">
        <v>9</v>
      </c>
      <c r="F4663" s="3">
        <v>0.31739999999999996</v>
      </c>
      <c r="G4663">
        <v>8.2029999999999994</v>
      </c>
      <c r="H4663">
        <v>5.0999999999999996</v>
      </c>
    </row>
    <row r="4664" spans="1:8" x14ac:dyDescent="0.25">
      <c r="A4664" t="s">
        <v>4670</v>
      </c>
      <c r="B4664">
        <v>57979</v>
      </c>
      <c r="C4664">
        <v>7896111063484</v>
      </c>
      <c r="D4664">
        <v>9.99</v>
      </c>
      <c r="E4664">
        <v>5.16</v>
      </c>
      <c r="F4664" s="3">
        <v>0.43880000000000002</v>
      </c>
      <c r="G4664">
        <v>4.6825000000000001</v>
      </c>
      <c r="H4664">
        <v>0.56699999999999995</v>
      </c>
    </row>
    <row r="4665" spans="1:8" x14ac:dyDescent="0.25">
      <c r="A4665" t="s">
        <v>4671</v>
      </c>
      <c r="B4665">
        <v>43503</v>
      </c>
      <c r="C4665">
        <v>7898409950896</v>
      </c>
      <c r="D4665">
        <v>12.9</v>
      </c>
      <c r="E4665">
        <v>8.61</v>
      </c>
      <c r="F4665" s="3">
        <v>0.29949999999999999</v>
      </c>
      <c r="G4665">
        <v>7.8437999999999999</v>
      </c>
      <c r="H4665">
        <v>0.56699999999999995</v>
      </c>
    </row>
    <row r="4666" spans="1:8" x14ac:dyDescent="0.25">
      <c r="A4666" t="s">
        <v>4672</v>
      </c>
      <c r="B4666">
        <v>66648</v>
      </c>
      <c r="C4666">
        <v>7898453461331</v>
      </c>
      <c r="D4666">
        <v>24.9</v>
      </c>
      <c r="E4666">
        <v>16.66</v>
      </c>
      <c r="F4666" s="3">
        <v>0.30020000000000002</v>
      </c>
      <c r="G4666">
        <v>15.1214</v>
      </c>
      <c r="H4666">
        <v>1.9670000000000001</v>
      </c>
    </row>
    <row r="4667" spans="1:8" x14ac:dyDescent="0.25">
      <c r="A4667" t="s">
        <v>4673</v>
      </c>
      <c r="B4667">
        <v>50480</v>
      </c>
      <c r="C4667">
        <v>7896292350151</v>
      </c>
      <c r="D4667">
        <v>15.9</v>
      </c>
      <c r="E4667">
        <v>11.19</v>
      </c>
      <c r="F4667" s="3">
        <v>0.26899999999999996</v>
      </c>
      <c r="G4667">
        <v>10.151999999999999</v>
      </c>
      <c r="H4667">
        <v>2.3330000000000002</v>
      </c>
    </row>
    <row r="4668" spans="1:8" x14ac:dyDescent="0.25">
      <c r="A4668" t="s">
        <v>4674</v>
      </c>
      <c r="B4668">
        <v>57022</v>
      </c>
      <c r="C4668">
        <v>7891150071230</v>
      </c>
      <c r="D4668">
        <v>21.9</v>
      </c>
      <c r="E4668">
        <v>14.72</v>
      </c>
      <c r="F4668" s="3">
        <v>0.2974</v>
      </c>
      <c r="G4668">
        <v>13.3613</v>
      </c>
      <c r="H4668">
        <v>2.2000000000000002</v>
      </c>
    </row>
    <row r="4669" spans="1:8" x14ac:dyDescent="0.25">
      <c r="A4669" t="s">
        <v>4675</v>
      </c>
      <c r="B4669">
        <v>57020</v>
      </c>
      <c r="C4669">
        <v>7891150071216</v>
      </c>
      <c r="D4669">
        <v>21.9</v>
      </c>
      <c r="E4669">
        <v>14.72</v>
      </c>
      <c r="F4669" s="3">
        <v>0.29730000000000001</v>
      </c>
      <c r="G4669">
        <v>13.3636</v>
      </c>
      <c r="H4669">
        <v>0.93300000000000005</v>
      </c>
    </row>
    <row r="4670" spans="1:8" x14ac:dyDescent="0.25">
      <c r="A4670" t="s">
        <v>4676</v>
      </c>
      <c r="B4670">
        <v>6601</v>
      </c>
      <c r="C4670">
        <v>7891031409459</v>
      </c>
      <c r="D4670">
        <v>15.9</v>
      </c>
      <c r="E4670">
        <v>11.36</v>
      </c>
      <c r="F4670" s="3">
        <v>0.25940000000000002</v>
      </c>
      <c r="G4670">
        <v>10.3049</v>
      </c>
      <c r="H4670">
        <v>2.9</v>
      </c>
    </row>
    <row r="4671" spans="1:8" x14ac:dyDescent="0.25">
      <c r="A4671" t="s">
        <v>4677</v>
      </c>
      <c r="B4671">
        <v>39744</v>
      </c>
      <c r="C4671">
        <v>7896001223097</v>
      </c>
      <c r="D4671">
        <v>0</v>
      </c>
      <c r="E4671">
        <v>17.7</v>
      </c>
      <c r="F4671" s="3">
        <v>0</v>
      </c>
      <c r="G4671">
        <v>16.062999999999999</v>
      </c>
      <c r="H4671">
        <v>0.1</v>
      </c>
    </row>
    <row r="4672" spans="1:8" x14ac:dyDescent="0.25">
      <c r="A4672" t="s">
        <v>4678</v>
      </c>
      <c r="B4672">
        <v>67756</v>
      </c>
      <c r="C4672">
        <v>7898958126797</v>
      </c>
      <c r="D4672">
        <v>17.899999999999999</v>
      </c>
      <c r="E4672">
        <v>13.17</v>
      </c>
      <c r="F4672" s="3">
        <v>0.24</v>
      </c>
      <c r="G4672">
        <v>11.9489</v>
      </c>
      <c r="H4672">
        <v>0.6</v>
      </c>
    </row>
    <row r="4673" spans="1:8" x14ac:dyDescent="0.25">
      <c r="A4673" t="s">
        <v>4679</v>
      </c>
      <c r="B4673">
        <v>66696</v>
      </c>
      <c r="C4673">
        <v>7896007801367</v>
      </c>
      <c r="D4673">
        <v>12.9</v>
      </c>
      <c r="E4673">
        <v>8.52</v>
      </c>
      <c r="F4673" s="3">
        <v>0.30879999999999996</v>
      </c>
      <c r="G4673">
        <v>7.7234999999999996</v>
      </c>
      <c r="H4673">
        <v>0.46700000000000003</v>
      </c>
    </row>
    <row r="4674" spans="1:8" x14ac:dyDescent="0.25">
      <c r="A4674" t="s">
        <v>4680</v>
      </c>
      <c r="B4674">
        <v>55685</v>
      </c>
      <c r="C4674">
        <v>7898409950919</v>
      </c>
      <c r="D4674">
        <v>12.9</v>
      </c>
      <c r="E4674">
        <v>8.6</v>
      </c>
      <c r="F4674" s="3">
        <v>0.30469999999999997</v>
      </c>
      <c r="G4674">
        <v>7.7767999999999997</v>
      </c>
      <c r="H4674">
        <v>4.3</v>
      </c>
    </row>
    <row r="4675" spans="1:8" x14ac:dyDescent="0.25">
      <c r="A4675" t="s">
        <v>4681</v>
      </c>
      <c r="B4675">
        <v>50476</v>
      </c>
      <c r="C4675">
        <v>7898922618785</v>
      </c>
      <c r="D4675">
        <v>10.49</v>
      </c>
      <c r="E4675">
        <v>7.46</v>
      </c>
      <c r="F4675" s="3">
        <v>0.2621</v>
      </c>
      <c r="G4675">
        <v>6.7702</v>
      </c>
      <c r="H4675">
        <v>2.4329999999999998</v>
      </c>
    </row>
    <row r="4676" spans="1:8" x14ac:dyDescent="0.25">
      <c r="A4676" t="s">
        <v>4682</v>
      </c>
      <c r="B4676">
        <v>6610</v>
      </c>
      <c r="C4676">
        <v>7896048284921</v>
      </c>
      <c r="D4676">
        <v>9.99</v>
      </c>
      <c r="E4676">
        <v>6.82</v>
      </c>
      <c r="F4676" s="3">
        <v>0.28139999999999998</v>
      </c>
      <c r="G4676">
        <v>6.2546999999999997</v>
      </c>
      <c r="H4676">
        <v>1.2330000000000001</v>
      </c>
    </row>
    <row r="4677" spans="1:8" x14ac:dyDescent="0.25">
      <c r="A4677" t="s">
        <v>4683</v>
      </c>
      <c r="B4677">
        <v>6612</v>
      </c>
      <c r="C4677">
        <v>7896048282330</v>
      </c>
      <c r="D4677">
        <v>9.99</v>
      </c>
      <c r="E4677">
        <v>6.83</v>
      </c>
      <c r="F4677" s="3">
        <v>0.2823</v>
      </c>
      <c r="G4677">
        <v>6.2461000000000002</v>
      </c>
      <c r="H4677">
        <v>2.6669999999999998</v>
      </c>
    </row>
    <row r="4678" spans="1:8" x14ac:dyDescent="0.25">
      <c r="A4678" t="s">
        <v>4684</v>
      </c>
      <c r="B4678">
        <v>6613</v>
      </c>
      <c r="C4678">
        <v>7896048284884</v>
      </c>
      <c r="D4678">
        <v>9.99</v>
      </c>
      <c r="E4678">
        <v>6.96</v>
      </c>
      <c r="F4678" s="3">
        <v>0.27550000000000002</v>
      </c>
      <c r="G4678">
        <v>6.3139000000000003</v>
      </c>
      <c r="H4678">
        <v>4.6669999999999998</v>
      </c>
    </row>
    <row r="4679" spans="1:8" x14ac:dyDescent="0.25">
      <c r="A4679" t="s">
        <v>4685</v>
      </c>
      <c r="B4679">
        <v>6618</v>
      </c>
      <c r="C4679">
        <v>7896048282354</v>
      </c>
      <c r="D4679">
        <v>9.99</v>
      </c>
      <c r="E4679">
        <v>6.79</v>
      </c>
      <c r="F4679" s="3">
        <v>0.28839999999999999</v>
      </c>
      <c r="G4679">
        <v>6.1844000000000001</v>
      </c>
      <c r="H4679">
        <v>3.867</v>
      </c>
    </row>
    <row r="4680" spans="1:8" x14ac:dyDescent="0.25">
      <c r="A4680" t="s">
        <v>4686</v>
      </c>
      <c r="B4680">
        <v>6619</v>
      </c>
      <c r="C4680">
        <v>7896048284877</v>
      </c>
      <c r="D4680">
        <v>9.99</v>
      </c>
      <c r="E4680">
        <v>6.9</v>
      </c>
      <c r="F4680" s="3">
        <v>0.27879999999999999</v>
      </c>
      <c r="G4680">
        <v>6.2805</v>
      </c>
      <c r="H4680">
        <v>3.4329999999999998</v>
      </c>
    </row>
    <row r="4681" spans="1:8" x14ac:dyDescent="0.25">
      <c r="A4681" t="s">
        <v>4687</v>
      </c>
      <c r="B4681">
        <v>66650</v>
      </c>
      <c r="C4681">
        <v>7898453461126</v>
      </c>
      <c r="D4681">
        <v>29.9</v>
      </c>
      <c r="E4681">
        <v>20.3</v>
      </c>
      <c r="F4681" s="3">
        <v>0.2913</v>
      </c>
      <c r="G4681">
        <v>18.423300000000001</v>
      </c>
      <c r="H4681">
        <v>0.3</v>
      </c>
    </row>
    <row r="4682" spans="1:8" x14ac:dyDescent="0.25">
      <c r="A4682" t="s">
        <v>4688</v>
      </c>
      <c r="B4682">
        <v>65068</v>
      </c>
      <c r="C4682">
        <v>7896007802753</v>
      </c>
      <c r="D4682">
        <v>24.74</v>
      </c>
      <c r="E4682">
        <v>21.43</v>
      </c>
      <c r="F4682" s="3">
        <v>0.1207</v>
      </c>
      <c r="G4682">
        <v>19.465199999999999</v>
      </c>
      <c r="H4682">
        <v>0.63300000000000001</v>
      </c>
    </row>
    <row r="4683" spans="1:8" x14ac:dyDescent="0.25">
      <c r="A4683" t="s">
        <v>4689</v>
      </c>
      <c r="B4683">
        <v>65069</v>
      </c>
      <c r="C4683">
        <v>7896007802739</v>
      </c>
      <c r="D4683">
        <v>32.9</v>
      </c>
      <c r="E4683">
        <v>21.68</v>
      </c>
      <c r="F4683" s="3">
        <v>0.30959999999999999</v>
      </c>
      <c r="G4683">
        <v>19.671900000000001</v>
      </c>
      <c r="H4683">
        <v>0.23300000000000001</v>
      </c>
    </row>
    <row r="4684" spans="1:8" x14ac:dyDescent="0.25">
      <c r="A4684" t="s">
        <v>4690</v>
      </c>
      <c r="B4684">
        <v>65070</v>
      </c>
      <c r="C4684">
        <v>7896007802746</v>
      </c>
      <c r="D4684">
        <v>32.9</v>
      </c>
      <c r="E4684">
        <v>21.73</v>
      </c>
      <c r="F4684" s="3">
        <v>0.30820000000000003</v>
      </c>
      <c r="G4684">
        <v>19.716200000000001</v>
      </c>
      <c r="H4684">
        <v>0.23300000000000001</v>
      </c>
    </row>
    <row r="4685" spans="1:8" x14ac:dyDescent="0.25">
      <c r="A4685" t="s">
        <v>4691</v>
      </c>
      <c r="B4685">
        <v>41471</v>
      </c>
      <c r="C4685">
        <v>7896028700939</v>
      </c>
      <c r="D4685">
        <v>8.99</v>
      </c>
      <c r="E4685">
        <v>5.84</v>
      </c>
      <c r="F4685" s="3">
        <v>0.31690000000000002</v>
      </c>
      <c r="G4685">
        <v>5.3098000000000001</v>
      </c>
      <c r="H4685">
        <v>0.56699999999999995</v>
      </c>
    </row>
    <row r="4686" spans="1:8" x14ac:dyDescent="0.25">
      <c r="A4686" t="s">
        <v>4692</v>
      </c>
      <c r="B4686">
        <v>6256</v>
      </c>
      <c r="C4686">
        <v>78895300017</v>
      </c>
      <c r="D4686">
        <v>39.9</v>
      </c>
      <c r="E4686">
        <v>27</v>
      </c>
      <c r="F4686" s="3">
        <v>0.29339999999999999</v>
      </c>
      <c r="G4686">
        <v>24.502500000000001</v>
      </c>
      <c r="H4686">
        <v>0.48299999999999998</v>
      </c>
    </row>
    <row r="4687" spans="1:8" x14ac:dyDescent="0.25">
      <c r="A4687" t="s">
        <v>4693</v>
      </c>
      <c r="B4687">
        <v>65063</v>
      </c>
      <c r="C4687">
        <v>7896247400122</v>
      </c>
      <c r="D4687">
        <v>8.99</v>
      </c>
      <c r="E4687">
        <v>5.79</v>
      </c>
      <c r="F4687" s="3">
        <v>0.3226</v>
      </c>
      <c r="G4687">
        <v>5.2580999999999998</v>
      </c>
      <c r="H4687">
        <v>0.5</v>
      </c>
    </row>
    <row r="4688" spans="1:8" x14ac:dyDescent="0.25">
      <c r="A4688" t="s">
        <v>4694</v>
      </c>
      <c r="B4688">
        <v>65064</v>
      </c>
      <c r="C4688">
        <v>7896247400115</v>
      </c>
      <c r="D4688">
        <v>25.9</v>
      </c>
      <c r="E4688">
        <v>16.79</v>
      </c>
      <c r="F4688" s="3">
        <v>0.2661</v>
      </c>
      <c r="G4688">
        <v>11.9506</v>
      </c>
      <c r="H4688">
        <v>0.16700000000000001</v>
      </c>
    </row>
    <row r="4689" spans="1:8" x14ac:dyDescent="0.25">
      <c r="A4689" t="s">
        <v>4695</v>
      </c>
      <c r="B4689">
        <v>9440</v>
      </c>
      <c r="C4689">
        <v>7891515935542</v>
      </c>
      <c r="D4689">
        <v>6.49</v>
      </c>
      <c r="E4689">
        <v>3.88</v>
      </c>
      <c r="F4689" s="3">
        <v>0.36469999999999997</v>
      </c>
      <c r="G4689">
        <v>3.5230000000000001</v>
      </c>
      <c r="H4689">
        <v>6.0330000000000004</v>
      </c>
    </row>
    <row r="4690" spans="1:8" x14ac:dyDescent="0.25">
      <c r="A4690" t="s">
        <v>4696</v>
      </c>
      <c r="B4690">
        <v>13244</v>
      </c>
      <c r="C4690">
        <v>7896079513915</v>
      </c>
      <c r="D4690">
        <v>6.49</v>
      </c>
      <c r="E4690">
        <v>3.96</v>
      </c>
      <c r="F4690" s="3">
        <v>0.35770000000000002</v>
      </c>
      <c r="G4690">
        <v>3.5682</v>
      </c>
      <c r="H4690">
        <v>0.86699999999999999</v>
      </c>
    </row>
    <row r="4691" spans="1:8" x14ac:dyDescent="0.25">
      <c r="A4691" t="s">
        <v>4697</v>
      </c>
      <c r="B4691">
        <v>11094</v>
      </c>
      <c r="C4691">
        <v>7896079513922</v>
      </c>
      <c r="D4691">
        <v>6.49</v>
      </c>
      <c r="E4691">
        <v>4.04</v>
      </c>
      <c r="F4691" s="3">
        <v>0.3483</v>
      </c>
      <c r="G4691">
        <v>3.6294</v>
      </c>
      <c r="H4691">
        <v>5.0330000000000004</v>
      </c>
    </row>
    <row r="4692" spans="1:8" x14ac:dyDescent="0.25">
      <c r="A4692" t="s">
        <v>4698</v>
      </c>
      <c r="B4692">
        <v>41476</v>
      </c>
      <c r="C4692">
        <v>7896028700922</v>
      </c>
      <c r="D4692">
        <v>8.99</v>
      </c>
      <c r="E4692">
        <v>5.85</v>
      </c>
      <c r="F4692" s="3">
        <v>0.3165</v>
      </c>
      <c r="G4692">
        <v>5.3128000000000002</v>
      </c>
      <c r="H4692">
        <v>1.2330000000000001</v>
      </c>
    </row>
    <row r="4693" spans="1:8" x14ac:dyDescent="0.25">
      <c r="A4693" t="s">
        <v>4699</v>
      </c>
      <c r="B4693">
        <v>13036</v>
      </c>
      <c r="C4693">
        <v>7891150070905</v>
      </c>
      <c r="D4693">
        <v>14.9</v>
      </c>
      <c r="E4693">
        <v>9.81</v>
      </c>
      <c r="F4693" s="3">
        <v>0.31019999999999998</v>
      </c>
      <c r="G4693">
        <v>8.9001999999999999</v>
      </c>
      <c r="H4693">
        <v>2.8</v>
      </c>
    </row>
    <row r="4694" spans="1:8" x14ac:dyDescent="0.25">
      <c r="A4694" t="s">
        <v>4700</v>
      </c>
      <c r="B4694">
        <v>57456</v>
      </c>
      <c r="C4694">
        <v>7891150070912</v>
      </c>
      <c r="D4694">
        <v>14.9</v>
      </c>
      <c r="E4694">
        <v>9.81</v>
      </c>
      <c r="F4694" s="3">
        <v>0.31019999999999998</v>
      </c>
      <c r="G4694">
        <v>8.9001999999999999</v>
      </c>
      <c r="H4694">
        <v>1.5</v>
      </c>
    </row>
    <row r="4695" spans="1:8" x14ac:dyDescent="0.25">
      <c r="A4695" t="s">
        <v>4701</v>
      </c>
      <c r="B4695">
        <v>17662</v>
      </c>
      <c r="C4695">
        <v>7891150070882</v>
      </c>
      <c r="D4695">
        <v>14.9</v>
      </c>
      <c r="E4695">
        <v>9.81</v>
      </c>
      <c r="F4695" s="3">
        <v>0.31019999999999998</v>
      </c>
      <c r="G4695">
        <v>8.8993000000000002</v>
      </c>
      <c r="H4695">
        <v>2.5329999999999999</v>
      </c>
    </row>
    <row r="4696" spans="1:8" x14ac:dyDescent="0.25">
      <c r="A4696" t="s">
        <v>4702</v>
      </c>
      <c r="B4696">
        <v>22576</v>
      </c>
      <c r="C4696">
        <v>7891150099388</v>
      </c>
      <c r="D4696">
        <v>13.9</v>
      </c>
      <c r="E4696">
        <v>10.18</v>
      </c>
      <c r="F4696" s="3">
        <v>0.24260000000000001</v>
      </c>
      <c r="G4696">
        <v>9.2420000000000009</v>
      </c>
      <c r="H4696">
        <v>1.5329999999999999</v>
      </c>
    </row>
    <row r="4697" spans="1:8" x14ac:dyDescent="0.25">
      <c r="A4697" t="s">
        <v>4703</v>
      </c>
      <c r="B4697">
        <v>6829</v>
      </c>
      <c r="C4697">
        <v>7896007811403</v>
      </c>
      <c r="D4697">
        <v>4.8899999999999997</v>
      </c>
      <c r="E4697">
        <v>3.34</v>
      </c>
      <c r="F4697" s="3">
        <v>0.29339999999999999</v>
      </c>
      <c r="G4697">
        <v>3.0026999999999999</v>
      </c>
      <c r="H4697">
        <v>17.600000000000001</v>
      </c>
    </row>
    <row r="4698" spans="1:8" x14ac:dyDescent="0.25">
      <c r="A4698" t="s">
        <v>4704</v>
      </c>
      <c r="B4698">
        <v>60202</v>
      </c>
      <c r="C4698">
        <v>7896247400153</v>
      </c>
      <c r="D4698">
        <v>8.99</v>
      </c>
      <c r="E4698">
        <v>5.77</v>
      </c>
      <c r="F4698" s="3">
        <v>0.32490000000000002</v>
      </c>
      <c r="G4698">
        <v>5.2377000000000002</v>
      </c>
      <c r="H4698">
        <v>1.2330000000000001</v>
      </c>
    </row>
    <row r="4699" spans="1:8" x14ac:dyDescent="0.25">
      <c r="A4699" t="s">
        <v>4705</v>
      </c>
      <c r="B4699">
        <v>6833</v>
      </c>
      <c r="C4699">
        <v>7891095150120</v>
      </c>
      <c r="D4699">
        <v>6.49</v>
      </c>
      <c r="E4699">
        <v>4.47</v>
      </c>
      <c r="F4699" s="3">
        <v>0.28199999999999997</v>
      </c>
      <c r="G4699">
        <v>4.0591999999999997</v>
      </c>
      <c r="H4699">
        <v>3.7330000000000001</v>
      </c>
    </row>
    <row r="4700" spans="1:8" x14ac:dyDescent="0.25">
      <c r="A4700" t="s">
        <v>4706</v>
      </c>
      <c r="B4700">
        <v>8096</v>
      </c>
      <c r="C4700">
        <v>8004323700069</v>
      </c>
      <c r="D4700">
        <v>22.9</v>
      </c>
      <c r="E4700">
        <v>16.420000000000002</v>
      </c>
      <c r="F4700" s="3">
        <v>0.25679999999999997</v>
      </c>
      <c r="G4700">
        <v>14.900600000000001</v>
      </c>
      <c r="H4700">
        <v>0.83299999999999996</v>
      </c>
    </row>
    <row r="4701" spans="1:8" x14ac:dyDescent="0.25">
      <c r="A4701" t="s">
        <v>4707</v>
      </c>
      <c r="B4701">
        <v>8966</v>
      </c>
      <c r="C4701">
        <v>7896196061436</v>
      </c>
      <c r="D4701">
        <v>44.9</v>
      </c>
      <c r="E4701">
        <v>30.9</v>
      </c>
      <c r="F4701" s="3">
        <v>0.28300000000000003</v>
      </c>
      <c r="G4701">
        <v>28.038</v>
      </c>
      <c r="H4701">
        <v>1.167</v>
      </c>
    </row>
    <row r="4702" spans="1:8" x14ac:dyDescent="0.25">
      <c r="A4702" t="s">
        <v>4708</v>
      </c>
      <c r="B4702">
        <v>8967</v>
      </c>
      <c r="C4702">
        <v>7896196059006</v>
      </c>
      <c r="D4702">
        <v>25.9</v>
      </c>
      <c r="E4702">
        <v>18.510000000000002</v>
      </c>
      <c r="F4702" s="3">
        <v>0.2591</v>
      </c>
      <c r="G4702">
        <v>16.793299999999999</v>
      </c>
      <c r="H4702">
        <v>0.3</v>
      </c>
    </row>
    <row r="4703" spans="1:8" x14ac:dyDescent="0.25">
      <c r="A4703" t="s">
        <v>4709</v>
      </c>
      <c r="B4703">
        <v>66651</v>
      </c>
      <c r="C4703">
        <v>7898453461386</v>
      </c>
      <c r="D4703">
        <v>24.9</v>
      </c>
      <c r="E4703">
        <v>17.39</v>
      </c>
      <c r="F4703" s="3">
        <v>0.2737</v>
      </c>
      <c r="G4703">
        <v>15.7821</v>
      </c>
      <c r="H4703">
        <v>0.76700000000000002</v>
      </c>
    </row>
    <row r="4704" spans="1:8" x14ac:dyDescent="0.25">
      <c r="A4704" t="s">
        <v>4710</v>
      </c>
      <c r="B4704">
        <v>68126</v>
      </c>
      <c r="C4704">
        <v>7891300910686</v>
      </c>
      <c r="D4704">
        <v>16.899999999999999</v>
      </c>
      <c r="E4704">
        <v>11.45</v>
      </c>
      <c r="F4704" s="3">
        <v>0.27190000000000003</v>
      </c>
      <c r="G4704">
        <v>10.741</v>
      </c>
      <c r="H4704">
        <v>0.16700000000000001</v>
      </c>
    </row>
    <row r="4705" spans="1:8" x14ac:dyDescent="0.25">
      <c r="A4705" t="s">
        <v>4711</v>
      </c>
      <c r="B4705">
        <v>23706</v>
      </c>
      <c r="C4705">
        <v>7896223203136</v>
      </c>
      <c r="D4705">
        <v>11.9</v>
      </c>
      <c r="E4705">
        <v>7.6</v>
      </c>
      <c r="F4705" s="3">
        <v>0.3276</v>
      </c>
      <c r="G4705">
        <v>6.9012000000000002</v>
      </c>
      <c r="H4705">
        <v>1.2</v>
      </c>
    </row>
    <row r="4706" spans="1:8" x14ac:dyDescent="0.25">
      <c r="A4706" t="s">
        <v>4712</v>
      </c>
      <c r="B4706">
        <v>65065</v>
      </c>
      <c r="C4706">
        <v>7896299100063</v>
      </c>
      <c r="D4706">
        <v>24.9</v>
      </c>
      <c r="E4706">
        <v>14.84</v>
      </c>
      <c r="F4706" s="3">
        <v>0.39439999999999997</v>
      </c>
      <c r="G4706">
        <v>12.775</v>
      </c>
      <c r="H4706">
        <v>0.83299999999999996</v>
      </c>
    </row>
    <row r="4707" spans="1:8" x14ac:dyDescent="0.25">
      <c r="A4707" t="s">
        <v>4713</v>
      </c>
      <c r="B4707">
        <v>69506</v>
      </c>
      <c r="C4707">
        <v>8000320990113</v>
      </c>
      <c r="D4707">
        <v>9.9</v>
      </c>
      <c r="E4707">
        <v>3.07</v>
      </c>
      <c r="F4707" s="3">
        <v>0.62639999999999996</v>
      </c>
      <c r="G4707">
        <v>2.7831000000000001</v>
      </c>
      <c r="H4707">
        <v>8.9990000000000006</v>
      </c>
    </row>
    <row r="4708" spans="1:8" x14ac:dyDescent="0.25">
      <c r="A4708" t="s">
        <v>4714</v>
      </c>
      <c r="B4708">
        <v>64132</v>
      </c>
      <c r="C4708">
        <v>8000320010088</v>
      </c>
      <c r="D4708">
        <v>18.75</v>
      </c>
      <c r="E4708">
        <v>6.29</v>
      </c>
      <c r="F4708" s="3">
        <v>0.61340000000000006</v>
      </c>
      <c r="G4708">
        <v>5.5122999999999998</v>
      </c>
      <c r="H4708">
        <v>26.933</v>
      </c>
    </row>
    <row r="4709" spans="1:8" x14ac:dyDescent="0.25">
      <c r="A4709" t="s">
        <v>4715</v>
      </c>
      <c r="B4709">
        <v>64135</v>
      </c>
      <c r="C4709">
        <v>8001440127939</v>
      </c>
      <c r="D4709">
        <v>18.690000000000001</v>
      </c>
      <c r="E4709">
        <v>6.57</v>
      </c>
      <c r="F4709" s="3">
        <v>0.59420000000000006</v>
      </c>
      <c r="G4709">
        <v>5.8569000000000004</v>
      </c>
      <c r="H4709">
        <v>31.5</v>
      </c>
    </row>
    <row r="4710" spans="1:8" x14ac:dyDescent="0.25">
      <c r="A4710" t="s">
        <v>4716</v>
      </c>
      <c r="B4710">
        <v>64131</v>
      </c>
      <c r="C4710">
        <v>8000320010095</v>
      </c>
      <c r="D4710">
        <v>18.850000000000001</v>
      </c>
      <c r="E4710">
        <v>7.27</v>
      </c>
      <c r="F4710" s="3">
        <v>0.56710000000000005</v>
      </c>
      <c r="G4710">
        <v>6.4187000000000003</v>
      </c>
      <c r="H4710">
        <v>42.832999999999998</v>
      </c>
    </row>
    <row r="4711" spans="1:8" x14ac:dyDescent="0.25">
      <c r="A4711" t="s">
        <v>4717</v>
      </c>
      <c r="B4711">
        <v>6544</v>
      </c>
      <c r="C4711">
        <v>7896196059044</v>
      </c>
      <c r="D4711">
        <v>22.9</v>
      </c>
      <c r="E4711">
        <v>15.29</v>
      </c>
      <c r="F4711" s="3">
        <v>0.30230000000000001</v>
      </c>
      <c r="G4711">
        <v>13.8596</v>
      </c>
      <c r="H4711">
        <v>7.633</v>
      </c>
    </row>
    <row r="4712" spans="1:8" x14ac:dyDescent="0.25">
      <c r="A4712" t="s">
        <v>4718</v>
      </c>
      <c r="B4712">
        <v>67818</v>
      </c>
      <c r="C4712">
        <v>7898930142791</v>
      </c>
      <c r="D4712">
        <v>3.99</v>
      </c>
      <c r="E4712">
        <v>2.4700000000000002</v>
      </c>
      <c r="F4712" s="3">
        <v>0.34470000000000001</v>
      </c>
      <c r="G4712">
        <v>2.2454000000000001</v>
      </c>
      <c r="H4712">
        <v>32.799999999999997</v>
      </c>
    </row>
    <row r="4713" spans="1:8" x14ac:dyDescent="0.25">
      <c r="A4713" t="s">
        <v>4719</v>
      </c>
      <c r="B4713">
        <v>67832</v>
      </c>
      <c r="C4713">
        <v>8690635020553</v>
      </c>
      <c r="D4713">
        <v>9.9</v>
      </c>
      <c r="E4713">
        <v>8</v>
      </c>
      <c r="F4713" s="3">
        <v>0.17420000000000002</v>
      </c>
      <c r="G4713">
        <v>7.26</v>
      </c>
      <c r="H4713">
        <v>55.1</v>
      </c>
    </row>
    <row r="4714" spans="1:8" x14ac:dyDescent="0.25">
      <c r="A4714" t="s">
        <v>4720</v>
      </c>
      <c r="B4714">
        <v>12169</v>
      </c>
      <c r="C4714">
        <v>8076809579346</v>
      </c>
      <c r="D4714">
        <v>31.73</v>
      </c>
      <c r="E4714">
        <v>21.65</v>
      </c>
      <c r="F4714" s="3">
        <v>0.28839999999999999</v>
      </c>
      <c r="G4714">
        <v>19.643799999999999</v>
      </c>
      <c r="H4714">
        <v>3.133</v>
      </c>
    </row>
    <row r="4715" spans="1:8" x14ac:dyDescent="0.25">
      <c r="A4715" t="s">
        <v>4721</v>
      </c>
      <c r="B4715">
        <v>66798</v>
      </c>
      <c r="C4715">
        <v>8001440133947</v>
      </c>
      <c r="D4715">
        <v>25.9</v>
      </c>
      <c r="E4715">
        <v>16.559999999999999</v>
      </c>
      <c r="F4715" s="3">
        <v>0.34850000000000003</v>
      </c>
      <c r="G4715">
        <v>14.477399999999999</v>
      </c>
      <c r="H4715">
        <v>4.0330000000000004</v>
      </c>
    </row>
    <row r="4716" spans="1:8" x14ac:dyDescent="0.25">
      <c r="A4716" t="s">
        <v>4722</v>
      </c>
      <c r="B4716">
        <v>8097</v>
      </c>
      <c r="C4716">
        <v>80330370</v>
      </c>
      <c r="D4716">
        <v>44.9</v>
      </c>
      <c r="E4716">
        <v>30.86</v>
      </c>
      <c r="F4716" s="3">
        <v>0.2838</v>
      </c>
      <c r="G4716">
        <v>28.003799999999998</v>
      </c>
      <c r="H4716">
        <v>0.4</v>
      </c>
    </row>
    <row r="4717" spans="1:8" x14ac:dyDescent="0.25">
      <c r="A4717" t="s">
        <v>4723</v>
      </c>
      <c r="B4717">
        <v>67651</v>
      </c>
      <c r="C4717">
        <v>7896196070834</v>
      </c>
      <c r="D4717">
        <v>39.9</v>
      </c>
      <c r="E4717">
        <v>26.78</v>
      </c>
      <c r="F4717" s="3">
        <v>0.29849999999999999</v>
      </c>
      <c r="G4717">
        <v>24.299399999999999</v>
      </c>
      <c r="H4717">
        <v>0.26700000000000002</v>
      </c>
    </row>
    <row r="4718" spans="1:8" x14ac:dyDescent="0.25">
      <c r="A4718" t="s">
        <v>4724</v>
      </c>
      <c r="B4718">
        <v>66653</v>
      </c>
      <c r="C4718">
        <v>7898453460976</v>
      </c>
      <c r="D4718">
        <v>28.9</v>
      </c>
      <c r="E4718">
        <v>20.3</v>
      </c>
      <c r="F4718" s="3">
        <v>0.27</v>
      </c>
      <c r="G4718">
        <v>18.423300000000001</v>
      </c>
      <c r="H4718">
        <v>0.26700000000000002</v>
      </c>
    </row>
    <row r="4719" spans="1:8" x14ac:dyDescent="0.25">
      <c r="A4719" t="s">
        <v>4725</v>
      </c>
      <c r="B4719">
        <v>66655</v>
      </c>
      <c r="C4719">
        <v>7898453461379</v>
      </c>
      <c r="D4719">
        <v>24.9</v>
      </c>
      <c r="E4719">
        <v>16.66</v>
      </c>
      <c r="F4719" s="3">
        <v>0.30020000000000002</v>
      </c>
      <c r="G4719">
        <v>15.1213</v>
      </c>
      <c r="H4719">
        <v>1.0669999999999999</v>
      </c>
    </row>
    <row r="4720" spans="1:8" x14ac:dyDescent="0.25">
      <c r="A4720" t="s">
        <v>4726</v>
      </c>
      <c r="B4720">
        <v>66649</v>
      </c>
      <c r="C4720">
        <v>7898453460846</v>
      </c>
      <c r="D4720">
        <v>17.899999999999999</v>
      </c>
      <c r="E4720">
        <v>12.3</v>
      </c>
      <c r="F4720" s="3">
        <v>0.28410000000000002</v>
      </c>
      <c r="G4720">
        <v>11.1595</v>
      </c>
      <c r="H4720">
        <v>0.3</v>
      </c>
    </row>
    <row r="4721" spans="1:8" x14ac:dyDescent="0.25">
      <c r="A4721" t="s">
        <v>4727</v>
      </c>
      <c r="B4721">
        <v>65149</v>
      </c>
      <c r="C4721">
        <v>5601252119967</v>
      </c>
      <c r="D4721">
        <v>17.899999999999999</v>
      </c>
      <c r="E4721">
        <v>11.02</v>
      </c>
      <c r="F4721" s="3">
        <v>0.34990000000000004</v>
      </c>
      <c r="G4721">
        <v>9.9802</v>
      </c>
      <c r="H4721">
        <v>1.2</v>
      </c>
    </row>
    <row r="4722" spans="1:8" x14ac:dyDescent="0.25">
      <c r="A4722" t="s">
        <v>4728</v>
      </c>
      <c r="B4722">
        <v>6734</v>
      </c>
      <c r="C4722">
        <v>7896007811304</v>
      </c>
      <c r="D4722">
        <v>4.8899999999999997</v>
      </c>
      <c r="E4722">
        <v>3.27</v>
      </c>
      <c r="F4722" s="3">
        <v>0.30579999999999996</v>
      </c>
      <c r="G4722">
        <v>2.9422000000000001</v>
      </c>
      <c r="H4722">
        <v>13.467000000000001</v>
      </c>
    </row>
    <row r="4723" spans="1:8" x14ac:dyDescent="0.25">
      <c r="A4723" t="s">
        <v>4729</v>
      </c>
      <c r="B4723">
        <v>6738</v>
      </c>
      <c r="C4723">
        <v>7891234000187</v>
      </c>
      <c r="D4723">
        <v>7.49</v>
      </c>
      <c r="E4723">
        <v>5.43</v>
      </c>
      <c r="F4723" s="3">
        <v>0.24840000000000001</v>
      </c>
      <c r="G4723">
        <v>4.9367000000000001</v>
      </c>
      <c r="H4723">
        <v>7.3330000000000002</v>
      </c>
    </row>
    <row r="4724" spans="1:8" x14ac:dyDescent="0.25">
      <c r="A4724" t="s">
        <v>4730</v>
      </c>
      <c r="B4724">
        <v>67445</v>
      </c>
      <c r="C4724">
        <v>7891150097087</v>
      </c>
      <c r="D4724">
        <v>16.989999999999998</v>
      </c>
      <c r="E4724">
        <v>11.51</v>
      </c>
      <c r="F4724" s="3">
        <v>0.28899999999999998</v>
      </c>
      <c r="G4724">
        <v>10.5092</v>
      </c>
      <c r="H4724">
        <v>1.7330000000000001</v>
      </c>
    </row>
    <row r="4725" spans="1:8" x14ac:dyDescent="0.25">
      <c r="A4725" t="s">
        <v>4731</v>
      </c>
      <c r="B4725">
        <v>66451</v>
      </c>
      <c r="C4725">
        <v>5601378970701</v>
      </c>
      <c r="D4725">
        <v>29.99</v>
      </c>
      <c r="E4725">
        <v>20.12</v>
      </c>
      <c r="F4725" s="3">
        <v>0.29880000000000001</v>
      </c>
      <c r="G4725">
        <v>18.2546</v>
      </c>
      <c r="H4725">
        <v>6.7000000000000004E-2</v>
      </c>
    </row>
    <row r="4726" spans="1:8" x14ac:dyDescent="0.25">
      <c r="A4726" t="s">
        <v>4732</v>
      </c>
      <c r="B4726">
        <v>6739</v>
      </c>
      <c r="C4726">
        <v>7896102509021</v>
      </c>
      <c r="D4726">
        <v>4.99</v>
      </c>
      <c r="E4726">
        <v>3.55</v>
      </c>
      <c r="F4726" s="3">
        <v>0.2616</v>
      </c>
      <c r="G4726">
        <v>3.2229999999999999</v>
      </c>
      <c r="H4726">
        <v>3.0329999999999999</v>
      </c>
    </row>
    <row r="4727" spans="1:8" x14ac:dyDescent="0.25">
      <c r="A4727" t="s">
        <v>4733</v>
      </c>
      <c r="B4727">
        <v>31822</v>
      </c>
      <c r="C4727">
        <v>7896007800551</v>
      </c>
      <c r="D4727">
        <v>21.9</v>
      </c>
      <c r="E4727">
        <v>14.44</v>
      </c>
      <c r="F4727" s="3">
        <v>0.30879999999999996</v>
      </c>
      <c r="G4727">
        <v>13.110900000000001</v>
      </c>
      <c r="H4727">
        <v>0.2</v>
      </c>
    </row>
    <row r="4728" spans="1:8" x14ac:dyDescent="0.25">
      <c r="A4728" t="s">
        <v>4734</v>
      </c>
      <c r="B4728">
        <v>68127</v>
      </c>
      <c r="C4728">
        <v>7891300910693</v>
      </c>
      <c r="D4728">
        <v>19.899999999999999</v>
      </c>
      <c r="E4728">
        <v>13.39</v>
      </c>
      <c r="F4728" s="3">
        <v>0.29710000000000003</v>
      </c>
      <c r="G4728">
        <v>12.1472</v>
      </c>
      <c r="H4728">
        <v>0.26700000000000002</v>
      </c>
    </row>
    <row r="4729" spans="1:8" x14ac:dyDescent="0.25">
      <c r="A4729" t="s">
        <v>4735</v>
      </c>
      <c r="B4729">
        <v>31782</v>
      </c>
      <c r="C4729">
        <v>7896007810123</v>
      </c>
      <c r="D4729">
        <v>12.99</v>
      </c>
      <c r="E4729">
        <v>7.81</v>
      </c>
      <c r="F4729" s="3">
        <v>0.36759999999999998</v>
      </c>
      <c r="G4729">
        <v>7.0136000000000003</v>
      </c>
      <c r="H4729">
        <v>3.7669999999999999</v>
      </c>
    </row>
    <row r="4730" spans="1:8" x14ac:dyDescent="0.25">
      <c r="A4730" t="s">
        <v>4736</v>
      </c>
      <c r="B4730">
        <v>6757</v>
      </c>
      <c r="C4730">
        <v>7896007810017</v>
      </c>
      <c r="D4730">
        <v>11.99</v>
      </c>
      <c r="E4730">
        <v>7.28</v>
      </c>
      <c r="F4730" s="3">
        <v>0.38520000000000004</v>
      </c>
      <c r="G4730">
        <v>6.2622999999999998</v>
      </c>
      <c r="H4730">
        <v>1.633</v>
      </c>
    </row>
    <row r="4731" spans="1:8" x14ac:dyDescent="0.25">
      <c r="A4731" t="s">
        <v>4737</v>
      </c>
      <c r="B4731">
        <v>31781</v>
      </c>
      <c r="C4731">
        <v>7896007800018</v>
      </c>
      <c r="D4731">
        <v>19.899999999999999</v>
      </c>
      <c r="E4731">
        <v>13.18</v>
      </c>
      <c r="F4731" s="3">
        <v>0.30549999999999999</v>
      </c>
      <c r="G4731">
        <v>11.9803</v>
      </c>
      <c r="H4731">
        <v>2.0329999999999999</v>
      </c>
    </row>
    <row r="4732" spans="1:8" x14ac:dyDescent="0.25">
      <c r="A4732" t="s">
        <v>4738</v>
      </c>
      <c r="B4732">
        <v>6761</v>
      </c>
      <c r="C4732">
        <v>7896007800896</v>
      </c>
      <c r="D4732">
        <v>21.9</v>
      </c>
      <c r="E4732">
        <v>15.27</v>
      </c>
      <c r="F4732" s="3">
        <v>0.27750000000000002</v>
      </c>
      <c r="G4732">
        <v>13.7965</v>
      </c>
      <c r="H4732">
        <v>3.3330000000000002</v>
      </c>
    </row>
    <row r="4733" spans="1:8" x14ac:dyDescent="0.25">
      <c r="A4733" t="s">
        <v>4739</v>
      </c>
      <c r="B4733">
        <v>6852</v>
      </c>
      <c r="C4733">
        <v>7896007865000</v>
      </c>
      <c r="D4733">
        <v>8.99</v>
      </c>
      <c r="E4733">
        <v>5.66</v>
      </c>
      <c r="F4733" s="3">
        <v>0.33659999999999995</v>
      </c>
      <c r="G4733">
        <v>5.1325000000000003</v>
      </c>
      <c r="H4733">
        <v>0.3</v>
      </c>
    </row>
    <row r="4734" spans="1:8" x14ac:dyDescent="0.25">
      <c r="A4734" t="s">
        <v>4740</v>
      </c>
      <c r="B4734">
        <v>68125</v>
      </c>
      <c r="C4734">
        <v>7891300910679</v>
      </c>
      <c r="D4734">
        <v>34.9</v>
      </c>
      <c r="E4734">
        <v>23.08</v>
      </c>
      <c r="F4734" s="3">
        <v>0.30809999999999998</v>
      </c>
      <c r="G4734">
        <v>20.919699999999999</v>
      </c>
      <c r="H4734">
        <v>0.33300000000000002</v>
      </c>
    </row>
    <row r="4735" spans="1:8" x14ac:dyDescent="0.25">
      <c r="A4735" t="s">
        <v>4741</v>
      </c>
      <c r="B4735">
        <v>62415</v>
      </c>
      <c r="C4735">
        <v>7891150089433</v>
      </c>
      <c r="D4735">
        <v>7.99</v>
      </c>
      <c r="E4735">
        <v>5.41</v>
      </c>
      <c r="F4735" s="3">
        <v>0.29289999999999999</v>
      </c>
      <c r="G4735">
        <v>4.9108000000000001</v>
      </c>
      <c r="H4735">
        <v>0.26700000000000002</v>
      </c>
    </row>
    <row r="4736" spans="1:8" x14ac:dyDescent="0.25">
      <c r="A4736" t="s">
        <v>4742</v>
      </c>
      <c r="B4736">
        <v>63662</v>
      </c>
      <c r="C4736">
        <v>7896007802685</v>
      </c>
      <c r="D4736">
        <v>16.899999999999999</v>
      </c>
      <c r="E4736">
        <v>11.64</v>
      </c>
      <c r="F4736" s="3">
        <v>0.2787</v>
      </c>
      <c r="G4736">
        <v>10.627599999999999</v>
      </c>
      <c r="H4736">
        <v>0.4</v>
      </c>
    </row>
    <row r="4737" spans="1:8" x14ac:dyDescent="0.25">
      <c r="A4737" t="s">
        <v>4743</v>
      </c>
      <c r="B4737">
        <v>6815</v>
      </c>
      <c r="C4737">
        <v>7896007801121</v>
      </c>
      <c r="D4737">
        <v>29.9</v>
      </c>
      <c r="E4737">
        <v>18.62</v>
      </c>
      <c r="F4737" s="3">
        <v>0.27379999999999999</v>
      </c>
      <c r="G4737">
        <v>13.5662</v>
      </c>
      <c r="H4737">
        <v>2.2330000000000001</v>
      </c>
    </row>
    <row r="4738" spans="1:8" x14ac:dyDescent="0.25">
      <c r="A4738" t="s">
        <v>4744</v>
      </c>
      <c r="B4738">
        <v>6818</v>
      </c>
      <c r="C4738">
        <v>7896007800124</v>
      </c>
      <c r="D4738">
        <v>19.899999999999999</v>
      </c>
      <c r="E4738">
        <v>13.1</v>
      </c>
      <c r="F4738" s="3">
        <v>0.30820000000000003</v>
      </c>
      <c r="G4738">
        <v>11.9267</v>
      </c>
      <c r="H4738">
        <v>7.2329999999999997</v>
      </c>
    </row>
    <row r="4739" spans="1:8" x14ac:dyDescent="0.25">
      <c r="A4739" t="s">
        <v>4745</v>
      </c>
      <c r="B4739">
        <v>6832</v>
      </c>
      <c r="C4739">
        <v>7896007811007</v>
      </c>
      <c r="D4739">
        <v>5.29</v>
      </c>
      <c r="E4739">
        <v>3.58</v>
      </c>
      <c r="F4739" s="3">
        <v>0.29389999999999999</v>
      </c>
      <c r="G4739">
        <v>3.2456999999999998</v>
      </c>
      <c r="H4739">
        <v>34.633000000000003</v>
      </c>
    </row>
    <row r="4740" spans="1:8" x14ac:dyDescent="0.25">
      <c r="A4740" t="s">
        <v>4746</v>
      </c>
      <c r="B4740">
        <v>6828</v>
      </c>
      <c r="C4740">
        <v>7896007801008</v>
      </c>
      <c r="D4740">
        <v>27.9</v>
      </c>
      <c r="E4740">
        <v>17.809999999999999</v>
      </c>
      <c r="F4740" s="3">
        <v>0.26250000000000001</v>
      </c>
      <c r="G4740">
        <v>12.9732</v>
      </c>
      <c r="H4740">
        <v>2.867</v>
      </c>
    </row>
    <row r="4741" spans="1:8" x14ac:dyDescent="0.25">
      <c r="A4741" t="s">
        <v>4747</v>
      </c>
      <c r="B4741">
        <v>6835</v>
      </c>
      <c r="C4741">
        <v>7896007800001</v>
      </c>
      <c r="D4741">
        <v>18.899999999999999</v>
      </c>
      <c r="E4741">
        <v>12.35</v>
      </c>
      <c r="F4741" s="3">
        <v>0.31440000000000001</v>
      </c>
      <c r="G4741">
        <v>11.21</v>
      </c>
      <c r="H4741">
        <v>9.7669999999999995</v>
      </c>
    </row>
    <row r="4742" spans="1:8" x14ac:dyDescent="0.25">
      <c r="A4742" t="s">
        <v>4748</v>
      </c>
      <c r="B4742">
        <v>44180</v>
      </c>
      <c r="C4742">
        <v>7891132008391</v>
      </c>
      <c r="D4742">
        <v>5.49</v>
      </c>
      <c r="E4742">
        <v>3.61</v>
      </c>
      <c r="F4742" s="3">
        <v>0.30260000000000004</v>
      </c>
      <c r="G4742">
        <v>3.3208000000000002</v>
      </c>
      <c r="H4742">
        <v>1.5329999999999999</v>
      </c>
    </row>
    <row r="4743" spans="1:8" x14ac:dyDescent="0.25">
      <c r="A4743" t="s">
        <v>4749</v>
      </c>
      <c r="B4743">
        <v>44182</v>
      </c>
      <c r="C4743">
        <v>7891132008421</v>
      </c>
      <c r="D4743">
        <v>5.49</v>
      </c>
      <c r="E4743">
        <v>3.68</v>
      </c>
      <c r="F4743" s="3">
        <v>0.3</v>
      </c>
      <c r="G4743">
        <v>3.3351000000000002</v>
      </c>
      <c r="H4743">
        <v>0.63300000000000001</v>
      </c>
    </row>
    <row r="4744" spans="1:8" x14ac:dyDescent="0.25">
      <c r="A4744" t="s">
        <v>4750</v>
      </c>
      <c r="B4744">
        <v>44185</v>
      </c>
      <c r="C4744">
        <v>7891132008407</v>
      </c>
      <c r="D4744">
        <v>16.989999999999998</v>
      </c>
      <c r="E4744">
        <v>11.49</v>
      </c>
      <c r="F4744" s="3">
        <v>0.28620000000000001</v>
      </c>
      <c r="G4744">
        <v>10.5555</v>
      </c>
      <c r="H4744">
        <v>3.3000000000000002E-2</v>
      </c>
    </row>
    <row r="4745" spans="1:8" x14ac:dyDescent="0.25">
      <c r="A4745" t="s">
        <v>4751</v>
      </c>
      <c r="B4745">
        <v>44187</v>
      </c>
      <c r="C4745">
        <v>7891132008438</v>
      </c>
      <c r="D4745">
        <v>16.989999999999998</v>
      </c>
      <c r="E4745">
        <v>11.65</v>
      </c>
      <c r="F4745" s="3">
        <v>0.28510000000000002</v>
      </c>
      <c r="G4745">
        <v>10.574400000000001</v>
      </c>
      <c r="H4745">
        <v>0.13300000000000001</v>
      </c>
    </row>
    <row r="4746" spans="1:8" x14ac:dyDescent="0.25">
      <c r="A4746" t="s">
        <v>4752</v>
      </c>
      <c r="B4746">
        <v>56708</v>
      </c>
      <c r="C4746">
        <v>11210697003</v>
      </c>
      <c r="D4746">
        <v>42.9</v>
      </c>
      <c r="E4746">
        <v>30.24</v>
      </c>
      <c r="F4746" s="3">
        <v>0.26780000000000004</v>
      </c>
      <c r="G4746">
        <v>27.442900000000002</v>
      </c>
      <c r="H4746">
        <v>0.2</v>
      </c>
    </row>
    <row r="4747" spans="1:8" x14ac:dyDescent="0.25">
      <c r="A4747" t="s">
        <v>4753</v>
      </c>
      <c r="B4747">
        <v>18278</v>
      </c>
      <c r="C4747">
        <v>7896053800420</v>
      </c>
      <c r="D4747">
        <v>24.9</v>
      </c>
      <c r="E4747">
        <v>19.36</v>
      </c>
      <c r="F4747" s="3">
        <v>0.20190000000000002</v>
      </c>
      <c r="G4747">
        <v>17.568300000000001</v>
      </c>
      <c r="H4747">
        <v>0.1</v>
      </c>
    </row>
    <row r="4748" spans="1:8" x14ac:dyDescent="0.25">
      <c r="A4748" t="s">
        <v>4754</v>
      </c>
      <c r="B4748">
        <v>60204</v>
      </c>
      <c r="C4748">
        <v>7896247400016</v>
      </c>
      <c r="D4748">
        <v>19.899999999999999</v>
      </c>
      <c r="E4748">
        <v>12.94</v>
      </c>
      <c r="F4748" s="3">
        <v>0.31890000000000002</v>
      </c>
      <c r="G4748">
        <v>11.714</v>
      </c>
      <c r="H4748">
        <v>0.86699999999999999</v>
      </c>
    </row>
    <row r="4749" spans="1:8" x14ac:dyDescent="0.25">
      <c r="A4749" t="s">
        <v>4755</v>
      </c>
      <c r="B4749">
        <v>31789</v>
      </c>
      <c r="C4749">
        <v>7896007865970</v>
      </c>
      <c r="D4749">
        <v>9.99</v>
      </c>
      <c r="E4749">
        <v>6.72</v>
      </c>
      <c r="F4749" s="3">
        <v>0.29289999999999999</v>
      </c>
      <c r="G4749">
        <v>6.1398999999999999</v>
      </c>
      <c r="H4749">
        <v>19.100000000000001</v>
      </c>
    </row>
    <row r="4750" spans="1:8" x14ac:dyDescent="0.25">
      <c r="A4750" t="s">
        <v>4756</v>
      </c>
      <c r="B4750">
        <v>31785</v>
      </c>
      <c r="C4750">
        <v>7896007865130</v>
      </c>
      <c r="D4750">
        <v>9.99</v>
      </c>
      <c r="E4750">
        <v>6.63</v>
      </c>
      <c r="F4750" s="3">
        <v>0.30649999999999999</v>
      </c>
      <c r="G4750">
        <v>6.0038</v>
      </c>
      <c r="H4750">
        <v>0.83299999999999996</v>
      </c>
    </row>
    <row r="4751" spans="1:8" x14ac:dyDescent="0.25">
      <c r="A4751" t="s">
        <v>4757</v>
      </c>
      <c r="B4751">
        <v>30054</v>
      </c>
      <c r="C4751">
        <v>8076809513388</v>
      </c>
      <c r="D4751">
        <v>21.9</v>
      </c>
      <c r="E4751">
        <v>15.87</v>
      </c>
      <c r="F4751" s="3">
        <v>0.24840000000000001</v>
      </c>
      <c r="G4751">
        <v>14.4339</v>
      </c>
      <c r="H4751">
        <v>3.367</v>
      </c>
    </row>
    <row r="4752" spans="1:8" x14ac:dyDescent="0.25">
      <c r="A4752" t="s">
        <v>4758</v>
      </c>
      <c r="B4752">
        <v>13216</v>
      </c>
      <c r="C4752">
        <v>8076809513739</v>
      </c>
      <c r="D4752">
        <v>21.9</v>
      </c>
      <c r="E4752">
        <v>15.82</v>
      </c>
      <c r="F4752" s="3">
        <v>0.24780000000000002</v>
      </c>
      <c r="G4752">
        <v>14.447100000000001</v>
      </c>
      <c r="H4752">
        <v>6.7</v>
      </c>
    </row>
    <row r="4753" spans="1:8" x14ac:dyDescent="0.25">
      <c r="A4753" t="s">
        <v>4759</v>
      </c>
      <c r="B4753">
        <v>30053</v>
      </c>
      <c r="C4753">
        <v>8076809513661</v>
      </c>
      <c r="D4753">
        <v>21.9</v>
      </c>
      <c r="E4753">
        <v>15.95</v>
      </c>
      <c r="F4753" s="3">
        <v>0.24660000000000001</v>
      </c>
      <c r="G4753">
        <v>14.472799999999999</v>
      </c>
      <c r="H4753">
        <v>3.4</v>
      </c>
    </row>
    <row r="4754" spans="1:8" x14ac:dyDescent="0.25">
      <c r="A4754" t="s">
        <v>4760</v>
      </c>
      <c r="B4754">
        <v>13214</v>
      </c>
      <c r="C4754">
        <v>8076809513692</v>
      </c>
      <c r="D4754">
        <v>21.9</v>
      </c>
      <c r="E4754">
        <v>15.94</v>
      </c>
      <c r="F4754" s="3">
        <v>0.24670000000000003</v>
      </c>
      <c r="G4754">
        <v>14.4717</v>
      </c>
      <c r="H4754">
        <v>7.3</v>
      </c>
    </row>
    <row r="4755" spans="1:8" x14ac:dyDescent="0.25">
      <c r="A4755" t="s">
        <v>4761</v>
      </c>
      <c r="B4755">
        <v>13220</v>
      </c>
      <c r="C4755">
        <v>8076809513708</v>
      </c>
      <c r="D4755">
        <v>21.9</v>
      </c>
      <c r="E4755">
        <v>15.94</v>
      </c>
      <c r="F4755" s="3">
        <v>0.24660000000000001</v>
      </c>
      <c r="G4755">
        <v>14.4739</v>
      </c>
      <c r="H4755">
        <v>6.0670000000000002</v>
      </c>
    </row>
    <row r="4756" spans="1:8" x14ac:dyDescent="0.25">
      <c r="A4756" t="s">
        <v>4762</v>
      </c>
      <c r="B4756">
        <v>56899</v>
      </c>
      <c r="C4756">
        <v>8076809513395</v>
      </c>
      <c r="D4756">
        <v>21.9</v>
      </c>
      <c r="E4756">
        <v>15.94</v>
      </c>
      <c r="F4756" s="3">
        <v>0.24670000000000003</v>
      </c>
      <c r="G4756">
        <v>14.470599999999999</v>
      </c>
      <c r="H4756">
        <v>8.0329999999999995</v>
      </c>
    </row>
    <row r="4757" spans="1:8" x14ac:dyDescent="0.25">
      <c r="A4757" t="s">
        <v>4763</v>
      </c>
      <c r="B4757">
        <v>30055</v>
      </c>
      <c r="C4757">
        <v>8076809523561</v>
      </c>
      <c r="D4757">
        <v>21.9</v>
      </c>
      <c r="E4757">
        <v>15.95</v>
      </c>
      <c r="F4757" s="3">
        <v>0.24670000000000003</v>
      </c>
      <c r="G4757">
        <v>14.4716</v>
      </c>
      <c r="H4757">
        <v>4.2329999999999997</v>
      </c>
    </row>
    <row r="4758" spans="1:8" x14ac:dyDescent="0.25">
      <c r="A4758" t="s">
        <v>4764</v>
      </c>
      <c r="B4758">
        <v>64136</v>
      </c>
      <c r="C4758">
        <v>8001440124150</v>
      </c>
      <c r="D4758">
        <v>15.9</v>
      </c>
      <c r="E4758">
        <v>6.19</v>
      </c>
      <c r="F4758" s="3">
        <v>0.55430000000000001</v>
      </c>
      <c r="G4758">
        <v>5.6151</v>
      </c>
      <c r="H4758">
        <v>2.867</v>
      </c>
    </row>
    <row r="4759" spans="1:8" x14ac:dyDescent="0.25">
      <c r="A4759" t="s">
        <v>4765</v>
      </c>
      <c r="B4759">
        <v>64134</v>
      </c>
      <c r="C4759">
        <v>8001440124181</v>
      </c>
      <c r="D4759">
        <v>15.9</v>
      </c>
      <c r="E4759">
        <v>6.4</v>
      </c>
      <c r="F4759" s="3">
        <v>0.55640000000000001</v>
      </c>
      <c r="G4759">
        <v>5.5823999999999998</v>
      </c>
      <c r="H4759">
        <v>1.7669999999999999</v>
      </c>
    </row>
    <row r="4760" spans="1:8" x14ac:dyDescent="0.25">
      <c r="A4760" t="s">
        <v>4766</v>
      </c>
      <c r="B4760">
        <v>64137</v>
      </c>
      <c r="C4760">
        <v>8001440124167</v>
      </c>
      <c r="D4760">
        <v>15.9</v>
      </c>
      <c r="E4760">
        <v>6.6</v>
      </c>
      <c r="F4760" s="3">
        <v>0.53210000000000002</v>
      </c>
      <c r="G4760">
        <v>5.9690000000000003</v>
      </c>
      <c r="H4760">
        <v>2.5670000000000002</v>
      </c>
    </row>
    <row r="4761" spans="1:8" x14ac:dyDescent="0.25">
      <c r="A4761" t="s">
        <v>4767</v>
      </c>
      <c r="B4761">
        <v>24624</v>
      </c>
      <c r="C4761">
        <v>7896102592610</v>
      </c>
      <c r="D4761">
        <v>3.99</v>
      </c>
      <c r="E4761">
        <v>3.57</v>
      </c>
      <c r="F4761" s="3">
        <v>9.6699999999999994E-2</v>
      </c>
      <c r="G4761">
        <v>3.2351999999999999</v>
      </c>
      <c r="H4761">
        <v>25.3</v>
      </c>
    </row>
    <row r="4762" spans="1:8" x14ac:dyDescent="0.25">
      <c r="A4762" t="s">
        <v>4768</v>
      </c>
      <c r="B4762">
        <v>24623</v>
      </c>
      <c r="C4762">
        <v>7896102592603</v>
      </c>
      <c r="D4762">
        <v>3.99</v>
      </c>
      <c r="E4762">
        <v>3.56</v>
      </c>
      <c r="F4762" s="3">
        <v>9.7500000000000003E-2</v>
      </c>
      <c r="G4762">
        <v>3.2317</v>
      </c>
      <c r="H4762">
        <v>24.533000000000001</v>
      </c>
    </row>
    <row r="4763" spans="1:8" x14ac:dyDescent="0.25">
      <c r="A4763" t="s">
        <v>4769</v>
      </c>
      <c r="B4763">
        <v>24622</v>
      </c>
      <c r="C4763">
        <v>7896102592993</v>
      </c>
      <c r="D4763">
        <v>3.99</v>
      </c>
      <c r="E4763">
        <v>3.57</v>
      </c>
      <c r="F4763" s="3">
        <v>9.6699999999999994E-2</v>
      </c>
      <c r="G4763">
        <v>3.2351000000000001</v>
      </c>
      <c r="H4763">
        <v>34.332999999999998</v>
      </c>
    </row>
    <row r="4764" spans="1:8" x14ac:dyDescent="0.25">
      <c r="A4764" t="s">
        <v>4770</v>
      </c>
      <c r="B4764">
        <v>69443</v>
      </c>
      <c r="C4764">
        <v>7896102503814</v>
      </c>
      <c r="D4764">
        <v>2.99</v>
      </c>
      <c r="E4764">
        <v>1.6</v>
      </c>
      <c r="F4764" s="3">
        <v>0.1794</v>
      </c>
      <c r="G4764">
        <v>2.1768999999999998</v>
      </c>
      <c r="H4764">
        <v>33.155999999999999</v>
      </c>
    </row>
    <row r="4765" spans="1:8" x14ac:dyDescent="0.25">
      <c r="A4765" t="s">
        <v>4771</v>
      </c>
      <c r="B4765">
        <v>24621</v>
      </c>
      <c r="C4765">
        <v>7896102593051</v>
      </c>
      <c r="D4765">
        <v>1.99</v>
      </c>
      <c r="E4765">
        <v>2.79</v>
      </c>
      <c r="F4765" s="3">
        <v>-0.35369999999999996</v>
      </c>
      <c r="G4765">
        <v>2.5097</v>
      </c>
      <c r="H4765">
        <v>398.9</v>
      </c>
    </row>
    <row r="4766" spans="1:8" x14ac:dyDescent="0.25">
      <c r="A4766" t="s">
        <v>4772</v>
      </c>
      <c r="B4766">
        <v>68082</v>
      </c>
      <c r="C4766">
        <v>7896102503234</v>
      </c>
      <c r="D4766">
        <v>12.99</v>
      </c>
      <c r="E4766">
        <v>11.35</v>
      </c>
      <c r="F4766" s="3">
        <v>0.11460000000000001</v>
      </c>
      <c r="G4766">
        <v>10.299899999999999</v>
      </c>
      <c r="H4766">
        <v>4.1669999999999998</v>
      </c>
    </row>
    <row r="4767" spans="1:8" x14ac:dyDescent="0.25">
      <c r="A4767" t="s">
        <v>4773</v>
      </c>
      <c r="B4767">
        <v>68081</v>
      </c>
      <c r="C4767">
        <v>7896102503227</v>
      </c>
      <c r="D4767">
        <v>12.99</v>
      </c>
      <c r="E4767">
        <v>11.35</v>
      </c>
      <c r="F4767" s="3">
        <v>0.11460000000000001</v>
      </c>
      <c r="G4767">
        <v>10.3</v>
      </c>
      <c r="H4767">
        <v>3.7669999999999999</v>
      </c>
    </row>
    <row r="4768" spans="1:8" x14ac:dyDescent="0.25">
      <c r="A4768" t="s">
        <v>4774</v>
      </c>
      <c r="B4768">
        <v>64031</v>
      </c>
      <c r="C4768">
        <v>7896102502336</v>
      </c>
      <c r="D4768">
        <v>3.99</v>
      </c>
      <c r="E4768">
        <v>2.64</v>
      </c>
      <c r="F4768" s="3">
        <v>0.30599999999999999</v>
      </c>
      <c r="G4768">
        <v>2.4</v>
      </c>
      <c r="H4768">
        <v>7.7329999999999997</v>
      </c>
    </row>
    <row r="4769" spans="1:8" x14ac:dyDescent="0.25">
      <c r="A4769" t="s">
        <v>4775</v>
      </c>
      <c r="B4769">
        <v>63657</v>
      </c>
      <c r="C4769">
        <v>7896102502145</v>
      </c>
      <c r="D4769">
        <v>2.94</v>
      </c>
      <c r="E4769">
        <v>2.2000000000000002</v>
      </c>
      <c r="F4769" s="3">
        <v>0.22829999999999998</v>
      </c>
      <c r="G4769">
        <v>1.9995000000000001</v>
      </c>
      <c r="H4769">
        <v>66.933000000000007</v>
      </c>
    </row>
    <row r="4770" spans="1:8" x14ac:dyDescent="0.25">
      <c r="A4770" t="s">
        <v>4776</v>
      </c>
      <c r="B4770">
        <v>6736</v>
      </c>
      <c r="C4770">
        <v>7896036095102</v>
      </c>
      <c r="D4770">
        <v>5.99</v>
      </c>
      <c r="E4770">
        <v>4.25</v>
      </c>
      <c r="F4770" s="3">
        <v>0.26369999999999999</v>
      </c>
      <c r="G4770">
        <v>3.8565</v>
      </c>
      <c r="H4770">
        <v>20.167000000000002</v>
      </c>
    </row>
    <row r="4771" spans="1:8" x14ac:dyDescent="0.25">
      <c r="A4771" t="s">
        <v>4777</v>
      </c>
      <c r="B4771">
        <v>62904</v>
      </c>
      <c r="C4771">
        <v>7896102503739</v>
      </c>
      <c r="D4771">
        <v>2.4900000000000002</v>
      </c>
      <c r="E4771">
        <v>1.95</v>
      </c>
      <c r="F4771" s="3">
        <v>0.1956</v>
      </c>
      <c r="G4771">
        <v>1.7726</v>
      </c>
      <c r="H4771">
        <v>30.567</v>
      </c>
    </row>
    <row r="4772" spans="1:8" x14ac:dyDescent="0.25">
      <c r="A4772" t="s">
        <v>4778</v>
      </c>
      <c r="B4772">
        <v>62903</v>
      </c>
      <c r="C4772">
        <v>7896102503685</v>
      </c>
      <c r="D4772">
        <v>2.9</v>
      </c>
      <c r="E4772">
        <v>1.96</v>
      </c>
      <c r="F4772" s="3">
        <v>0.29570000000000002</v>
      </c>
      <c r="G4772">
        <v>1.7743</v>
      </c>
      <c r="H4772">
        <v>25.832999999999998</v>
      </c>
    </row>
    <row r="4773" spans="1:8" x14ac:dyDescent="0.25">
      <c r="A4773" t="s">
        <v>4779</v>
      </c>
      <c r="B4773">
        <v>62905</v>
      </c>
      <c r="C4773">
        <v>7896102503692</v>
      </c>
      <c r="D4773">
        <v>2.4900000000000002</v>
      </c>
      <c r="E4773">
        <v>1.97</v>
      </c>
      <c r="F4773" s="3">
        <v>0.1883</v>
      </c>
      <c r="G4773">
        <v>1.7907999999999999</v>
      </c>
      <c r="H4773">
        <v>12.733000000000001</v>
      </c>
    </row>
    <row r="4774" spans="1:8" x14ac:dyDescent="0.25">
      <c r="A4774" t="s">
        <v>4780</v>
      </c>
      <c r="B4774">
        <v>6750</v>
      </c>
      <c r="C4774">
        <v>7896102509410</v>
      </c>
      <c r="D4774">
        <v>1.79</v>
      </c>
      <c r="E4774">
        <v>1.71</v>
      </c>
      <c r="F4774" s="3">
        <v>3.9900000000000005E-2</v>
      </c>
      <c r="G4774">
        <v>1.5529999999999999</v>
      </c>
      <c r="H4774">
        <v>249.1</v>
      </c>
    </row>
    <row r="4775" spans="1:8" x14ac:dyDescent="0.25">
      <c r="A4775" t="s">
        <v>4781</v>
      </c>
      <c r="B4775">
        <v>33172</v>
      </c>
      <c r="C4775">
        <v>7898930142654</v>
      </c>
      <c r="D4775">
        <v>2.29</v>
      </c>
      <c r="E4775">
        <v>1.52</v>
      </c>
      <c r="F4775" s="3">
        <v>0.30020000000000002</v>
      </c>
      <c r="G4775">
        <v>1.3907</v>
      </c>
      <c r="H4775">
        <v>180.333</v>
      </c>
    </row>
    <row r="4776" spans="1:8" x14ac:dyDescent="0.25">
      <c r="A4776" t="s">
        <v>4782</v>
      </c>
      <c r="B4776">
        <v>53743</v>
      </c>
      <c r="C4776">
        <v>7891300900366</v>
      </c>
      <c r="D4776">
        <v>15.9</v>
      </c>
      <c r="E4776">
        <v>9.75</v>
      </c>
      <c r="F4776" s="3">
        <v>0.35299999999999998</v>
      </c>
      <c r="G4776">
        <v>8.8157999999999994</v>
      </c>
      <c r="H4776">
        <v>4.367</v>
      </c>
    </row>
    <row r="4777" spans="1:8" x14ac:dyDescent="0.25">
      <c r="A4777" t="s">
        <v>4783</v>
      </c>
      <c r="B4777">
        <v>53744</v>
      </c>
      <c r="C4777">
        <v>7891300900359</v>
      </c>
      <c r="D4777">
        <v>15.9</v>
      </c>
      <c r="E4777">
        <v>10.32</v>
      </c>
      <c r="F4777" s="3">
        <v>0.3483</v>
      </c>
      <c r="G4777">
        <v>8.891</v>
      </c>
      <c r="H4777">
        <v>3</v>
      </c>
    </row>
    <row r="4778" spans="1:8" x14ac:dyDescent="0.25">
      <c r="A4778" t="s">
        <v>4784</v>
      </c>
      <c r="B4778">
        <v>53745</v>
      </c>
      <c r="C4778">
        <v>7891300900373</v>
      </c>
      <c r="D4778">
        <v>16.899999999999999</v>
      </c>
      <c r="E4778">
        <v>12.81</v>
      </c>
      <c r="F4778" s="3">
        <v>0.21879999999999999</v>
      </c>
      <c r="G4778">
        <v>11.638299999999999</v>
      </c>
      <c r="H4778">
        <v>5.9</v>
      </c>
    </row>
    <row r="4779" spans="1:8" x14ac:dyDescent="0.25">
      <c r="A4779" t="s">
        <v>4785</v>
      </c>
      <c r="B4779">
        <v>31788</v>
      </c>
      <c r="C4779">
        <v>7896007865147</v>
      </c>
      <c r="D4779">
        <v>9.99</v>
      </c>
      <c r="E4779">
        <v>6.64</v>
      </c>
      <c r="F4779" s="3">
        <v>0.30309999999999998</v>
      </c>
      <c r="G4779">
        <v>6.0377000000000001</v>
      </c>
      <c r="H4779">
        <v>0.56699999999999995</v>
      </c>
    </row>
    <row r="4780" spans="1:8" x14ac:dyDescent="0.25">
      <c r="A4780" t="s">
        <v>4786</v>
      </c>
      <c r="B4780">
        <v>60205</v>
      </c>
      <c r="C4780">
        <v>7896247400061</v>
      </c>
      <c r="D4780">
        <v>23.9</v>
      </c>
      <c r="E4780">
        <v>16.100000000000001</v>
      </c>
      <c r="F4780" s="3">
        <v>0.29630000000000001</v>
      </c>
      <c r="G4780">
        <v>14.6068</v>
      </c>
      <c r="H4780">
        <v>6.7000000000000004E-2</v>
      </c>
    </row>
    <row r="4781" spans="1:8" x14ac:dyDescent="0.25">
      <c r="A4781" t="s">
        <v>4787</v>
      </c>
      <c r="B4781">
        <v>66096</v>
      </c>
      <c r="C4781">
        <v>7896001014572</v>
      </c>
      <c r="D4781">
        <v>129.9</v>
      </c>
      <c r="E4781">
        <v>71.5</v>
      </c>
      <c r="F4781" s="3">
        <v>0.3271</v>
      </c>
      <c r="G4781">
        <v>52.0169</v>
      </c>
      <c r="H4781">
        <v>0.1</v>
      </c>
    </row>
    <row r="4782" spans="1:8" x14ac:dyDescent="0.25">
      <c r="A4782" t="s">
        <v>4788</v>
      </c>
      <c r="B4782">
        <v>66147</v>
      </c>
      <c r="C4782">
        <v>7896001019225</v>
      </c>
      <c r="D4782">
        <v>89.9</v>
      </c>
      <c r="E4782">
        <v>40.81</v>
      </c>
      <c r="F4782" s="3">
        <v>0.37929999999999997</v>
      </c>
      <c r="G4782">
        <v>31.304200000000002</v>
      </c>
      <c r="H4782">
        <v>3.3000000000000002E-2</v>
      </c>
    </row>
    <row r="4783" spans="1:8" x14ac:dyDescent="0.25">
      <c r="A4783" t="s">
        <v>4789</v>
      </c>
      <c r="B4783">
        <v>66092</v>
      </c>
      <c r="C4783">
        <v>7896001014428</v>
      </c>
      <c r="D4783">
        <v>74.900000000000006</v>
      </c>
      <c r="E4783">
        <v>45.06</v>
      </c>
      <c r="F4783" s="3">
        <v>0.2873</v>
      </c>
      <c r="G4783">
        <v>32.973799999999997</v>
      </c>
      <c r="H4783">
        <v>0.36699999999999999</v>
      </c>
    </row>
    <row r="4784" spans="1:8" x14ac:dyDescent="0.25">
      <c r="A4784" t="s">
        <v>4790</v>
      </c>
      <c r="B4784">
        <v>66091</v>
      </c>
      <c r="C4784">
        <v>7896001017122</v>
      </c>
      <c r="D4784">
        <v>99.9</v>
      </c>
      <c r="E4784">
        <v>59.32</v>
      </c>
      <c r="F4784" s="3">
        <v>0.28760000000000002</v>
      </c>
      <c r="G4784">
        <v>43.943600000000004</v>
      </c>
      <c r="H4784">
        <v>0.26700000000000002</v>
      </c>
    </row>
    <row r="4785" spans="1:8" x14ac:dyDescent="0.25">
      <c r="A4785" t="s">
        <v>4791</v>
      </c>
      <c r="B4785">
        <v>6763</v>
      </c>
      <c r="C4785">
        <v>7891031405017</v>
      </c>
      <c r="D4785">
        <v>10.9</v>
      </c>
      <c r="E4785">
        <v>7.96</v>
      </c>
      <c r="F4785" s="3">
        <v>0.2445</v>
      </c>
      <c r="G4785">
        <v>7.2263000000000002</v>
      </c>
      <c r="H4785">
        <v>15.733000000000001</v>
      </c>
    </row>
    <row r="4786" spans="1:8" x14ac:dyDescent="0.25">
      <c r="A4786" t="s">
        <v>4792</v>
      </c>
      <c r="B4786">
        <v>63911</v>
      </c>
      <c r="C4786">
        <v>3077317532057</v>
      </c>
      <c r="D4786">
        <v>34.9</v>
      </c>
      <c r="E4786">
        <v>22.51</v>
      </c>
      <c r="F4786" s="3">
        <v>0.3221</v>
      </c>
      <c r="G4786">
        <v>20.4316</v>
      </c>
      <c r="H4786">
        <v>6.7000000000000004E-2</v>
      </c>
    </row>
    <row r="4787" spans="1:8" x14ac:dyDescent="0.25">
      <c r="A4787" t="s">
        <v>4793</v>
      </c>
      <c r="B4787">
        <v>6788</v>
      </c>
      <c r="C4787">
        <v>3077310532054</v>
      </c>
      <c r="D4787">
        <v>32.9</v>
      </c>
      <c r="E4787">
        <v>20.22</v>
      </c>
      <c r="F4787" s="3">
        <v>0.34979999999999994</v>
      </c>
      <c r="G4787">
        <v>18.347899999999999</v>
      </c>
      <c r="H4787">
        <v>0.23300000000000001</v>
      </c>
    </row>
    <row r="4788" spans="1:8" x14ac:dyDescent="0.25">
      <c r="A4788" t="s">
        <v>4794</v>
      </c>
      <c r="B4788">
        <v>51157</v>
      </c>
      <c r="C4788">
        <v>7896542813580</v>
      </c>
      <c r="D4788">
        <v>13.49</v>
      </c>
      <c r="E4788">
        <v>9.1199999999999992</v>
      </c>
      <c r="F4788" s="3">
        <v>0.29499999999999998</v>
      </c>
      <c r="G4788">
        <v>8.2629000000000001</v>
      </c>
      <c r="H4788">
        <v>1.2330000000000001</v>
      </c>
    </row>
    <row r="4789" spans="1:8" x14ac:dyDescent="0.25">
      <c r="A4789" t="s">
        <v>4795</v>
      </c>
      <c r="B4789">
        <v>6769</v>
      </c>
      <c r="C4789">
        <v>7896542813573</v>
      </c>
      <c r="D4789">
        <v>13.49</v>
      </c>
      <c r="E4789">
        <v>9.1300000000000008</v>
      </c>
      <c r="F4789" s="3">
        <v>0.29299999999999998</v>
      </c>
      <c r="G4789">
        <v>8.2897999999999996</v>
      </c>
      <c r="H4789">
        <v>1.667</v>
      </c>
    </row>
    <row r="4790" spans="1:8" x14ac:dyDescent="0.25">
      <c r="A4790" t="s">
        <v>4796</v>
      </c>
      <c r="B4790">
        <v>6770</v>
      </c>
      <c r="C4790">
        <v>7896542813566</v>
      </c>
      <c r="D4790">
        <v>13.49</v>
      </c>
      <c r="E4790">
        <v>9.07</v>
      </c>
      <c r="F4790" s="3">
        <v>0.29780000000000001</v>
      </c>
      <c r="G4790">
        <v>8.2246000000000006</v>
      </c>
      <c r="H4790">
        <v>1.4330000000000001</v>
      </c>
    </row>
    <row r="4791" spans="1:8" x14ac:dyDescent="0.25">
      <c r="A4791" t="s">
        <v>4797</v>
      </c>
      <c r="B4791">
        <v>26021</v>
      </c>
      <c r="C4791">
        <v>7891031410264</v>
      </c>
      <c r="D4791">
        <v>14.9</v>
      </c>
      <c r="E4791">
        <v>10.38</v>
      </c>
      <c r="F4791" s="3">
        <v>0.27529999999999999</v>
      </c>
      <c r="G4791">
        <v>9.42</v>
      </c>
      <c r="H4791">
        <v>0.63300000000000001</v>
      </c>
    </row>
    <row r="4792" spans="1:8" x14ac:dyDescent="0.25">
      <c r="A4792" t="s">
        <v>4798</v>
      </c>
      <c r="B4792">
        <v>32467</v>
      </c>
      <c r="C4792">
        <v>7891031410271</v>
      </c>
      <c r="D4792">
        <v>14.9</v>
      </c>
      <c r="E4792">
        <v>10.38</v>
      </c>
      <c r="F4792" s="3">
        <v>0.27529999999999999</v>
      </c>
      <c r="G4792">
        <v>9.4199000000000002</v>
      </c>
      <c r="H4792">
        <v>5.1669999999999998</v>
      </c>
    </row>
    <row r="4793" spans="1:8" x14ac:dyDescent="0.25">
      <c r="A4793" t="s">
        <v>4799</v>
      </c>
      <c r="B4793">
        <v>6796</v>
      </c>
      <c r="C4793">
        <v>7891031406014</v>
      </c>
      <c r="D4793">
        <v>10.9</v>
      </c>
      <c r="E4793">
        <v>7.41</v>
      </c>
      <c r="F4793" s="3">
        <v>0.29020000000000001</v>
      </c>
      <c r="G4793">
        <v>6.7283999999999997</v>
      </c>
      <c r="H4793">
        <v>8.2330000000000005</v>
      </c>
    </row>
    <row r="4794" spans="1:8" x14ac:dyDescent="0.25">
      <c r="A4794" t="s">
        <v>4800</v>
      </c>
      <c r="B4794">
        <v>8118</v>
      </c>
      <c r="C4794">
        <v>3036810201280</v>
      </c>
      <c r="D4794">
        <v>29.9</v>
      </c>
      <c r="E4794">
        <v>23.91</v>
      </c>
      <c r="F4794" s="3">
        <v>0.20170000000000002</v>
      </c>
      <c r="G4794">
        <v>21.103200000000001</v>
      </c>
      <c r="H4794">
        <v>2.0329999999999999</v>
      </c>
    </row>
    <row r="4795" spans="1:8" x14ac:dyDescent="0.25">
      <c r="A4795" t="s">
        <v>4801</v>
      </c>
      <c r="B4795">
        <v>8119</v>
      </c>
      <c r="C4795">
        <v>3036810207589</v>
      </c>
      <c r="D4795">
        <v>29.9</v>
      </c>
      <c r="E4795">
        <v>23.98</v>
      </c>
      <c r="F4795" s="3">
        <v>0.18460000000000001</v>
      </c>
      <c r="G4795">
        <v>21.615600000000001</v>
      </c>
      <c r="H4795">
        <v>0.53300000000000003</v>
      </c>
    </row>
    <row r="4796" spans="1:8" x14ac:dyDescent="0.25">
      <c r="A4796" t="s">
        <v>4802</v>
      </c>
      <c r="B4796">
        <v>64028</v>
      </c>
      <c r="C4796">
        <v>7896102502138</v>
      </c>
      <c r="D4796">
        <v>17.899999999999999</v>
      </c>
      <c r="E4796">
        <v>12.11</v>
      </c>
      <c r="F4796" s="3">
        <v>0.29359999999999997</v>
      </c>
      <c r="G4796">
        <v>10.9894</v>
      </c>
      <c r="H4796">
        <v>4.1669999999999998</v>
      </c>
    </row>
    <row r="4797" spans="1:8" x14ac:dyDescent="0.25">
      <c r="A4797" t="s">
        <v>4803</v>
      </c>
      <c r="B4797">
        <v>64029</v>
      </c>
      <c r="C4797">
        <v>7896102502275</v>
      </c>
      <c r="D4797">
        <v>17.899999999999999</v>
      </c>
      <c r="E4797">
        <v>12.11</v>
      </c>
      <c r="F4797" s="3">
        <v>0.29359999999999997</v>
      </c>
      <c r="G4797">
        <v>10.9893</v>
      </c>
      <c r="H4797">
        <v>1.1000000000000001</v>
      </c>
    </row>
    <row r="4798" spans="1:8" x14ac:dyDescent="0.25">
      <c r="A4798" t="s">
        <v>4804</v>
      </c>
      <c r="B4798">
        <v>6802</v>
      </c>
      <c r="C4798">
        <v>7896102503715</v>
      </c>
      <c r="D4798">
        <v>16.989999999999998</v>
      </c>
      <c r="E4798">
        <v>12.11</v>
      </c>
      <c r="F4798" s="3">
        <v>0.2606</v>
      </c>
      <c r="G4798">
        <v>10.9901</v>
      </c>
      <c r="H4798">
        <v>29.033000000000001</v>
      </c>
    </row>
    <row r="4799" spans="1:8" x14ac:dyDescent="0.25">
      <c r="A4799" t="s">
        <v>4805</v>
      </c>
      <c r="B4799">
        <v>19824</v>
      </c>
      <c r="C4799">
        <v>7891150027794</v>
      </c>
      <c r="D4799">
        <v>8.99</v>
      </c>
      <c r="E4799">
        <v>6.98</v>
      </c>
      <c r="F4799" s="3">
        <v>0.2029</v>
      </c>
      <c r="G4799">
        <v>6.3346999999999998</v>
      </c>
      <c r="H4799">
        <v>50.866999999999997</v>
      </c>
    </row>
    <row r="4800" spans="1:8" x14ac:dyDescent="0.25">
      <c r="A4800" t="s">
        <v>4806</v>
      </c>
      <c r="B4800">
        <v>6805</v>
      </c>
      <c r="C4800">
        <v>7896007870875</v>
      </c>
      <c r="D4800">
        <v>7.99</v>
      </c>
      <c r="E4800">
        <v>5.36</v>
      </c>
      <c r="F4800" s="3">
        <v>0.29859999999999998</v>
      </c>
      <c r="G4800">
        <v>4.8647999999999998</v>
      </c>
      <c r="H4800">
        <v>15.4</v>
      </c>
    </row>
    <row r="4801" spans="1:8" x14ac:dyDescent="0.25">
      <c r="A4801" t="s">
        <v>4807</v>
      </c>
      <c r="B4801">
        <v>6808</v>
      </c>
      <c r="C4801">
        <v>3563490013570</v>
      </c>
      <c r="D4801">
        <v>29.9</v>
      </c>
      <c r="E4801">
        <v>20.71</v>
      </c>
      <c r="F4801" s="3">
        <v>0.27100000000000002</v>
      </c>
      <c r="G4801">
        <v>19.0304</v>
      </c>
      <c r="H4801">
        <v>0.83299999999999996</v>
      </c>
    </row>
    <row r="4802" spans="1:8" x14ac:dyDescent="0.25">
      <c r="A4802" t="s">
        <v>4808</v>
      </c>
      <c r="B4802">
        <v>60681</v>
      </c>
      <c r="C4802">
        <v>3563490110125</v>
      </c>
      <c r="D4802">
        <v>31.2</v>
      </c>
      <c r="E4802">
        <v>22.02</v>
      </c>
      <c r="F4802" s="3">
        <v>0.2676</v>
      </c>
      <c r="G4802">
        <v>19.968699999999998</v>
      </c>
      <c r="H4802">
        <v>1.0669999999999999</v>
      </c>
    </row>
    <row r="4803" spans="1:8" x14ac:dyDescent="0.25">
      <c r="A4803" t="s">
        <v>4809</v>
      </c>
      <c r="B4803">
        <v>67758</v>
      </c>
      <c r="C4803">
        <v>7898965052812</v>
      </c>
      <c r="D4803">
        <v>15.9</v>
      </c>
      <c r="E4803">
        <v>11.58</v>
      </c>
      <c r="F4803" s="3">
        <v>0.24640000000000001</v>
      </c>
      <c r="G4803">
        <v>10.511799999999999</v>
      </c>
      <c r="H4803">
        <v>1.7330000000000001</v>
      </c>
    </row>
    <row r="4804" spans="1:8" x14ac:dyDescent="0.25">
      <c r="A4804" t="s">
        <v>4810</v>
      </c>
      <c r="B4804">
        <v>67754</v>
      </c>
      <c r="C4804">
        <v>7898965052027</v>
      </c>
      <c r="D4804">
        <v>19.899999999999999</v>
      </c>
      <c r="E4804">
        <v>14.75</v>
      </c>
      <c r="F4804" s="3">
        <v>0.23480000000000001</v>
      </c>
      <c r="G4804">
        <v>13.3858</v>
      </c>
      <c r="H4804">
        <v>0.9</v>
      </c>
    </row>
    <row r="4805" spans="1:8" x14ac:dyDescent="0.25">
      <c r="A4805" t="s">
        <v>4811</v>
      </c>
      <c r="B4805">
        <v>67753</v>
      </c>
      <c r="C4805">
        <v>7898958126759</v>
      </c>
      <c r="D4805">
        <v>19.899999999999999</v>
      </c>
      <c r="E4805">
        <v>14.75</v>
      </c>
      <c r="F4805" s="3">
        <v>0.2349</v>
      </c>
      <c r="G4805">
        <v>13.3857</v>
      </c>
      <c r="H4805">
        <v>1.2330000000000001</v>
      </c>
    </row>
    <row r="4806" spans="1:8" x14ac:dyDescent="0.25">
      <c r="A4806" t="s">
        <v>4812</v>
      </c>
      <c r="B4806">
        <v>67749</v>
      </c>
      <c r="C4806">
        <v>7898958126728</v>
      </c>
      <c r="D4806">
        <v>34.9</v>
      </c>
      <c r="E4806">
        <v>25.33</v>
      </c>
      <c r="F4806" s="3">
        <v>0.24879999999999999</v>
      </c>
      <c r="G4806">
        <v>22.99</v>
      </c>
      <c r="H4806">
        <v>0.46700000000000003</v>
      </c>
    </row>
    <row r="4807" spans="1:8" x14ac:dyDescent="0.25">
      <c r="A4807" t="s">
        <v>4813</v>
      </c>
      <c r="B4807">
        <v>65596</v>
      </c>
      <c r="C4807">
        <v>7896175310203</v>
      </c>
      <c r="D4807">
        <v>18.899999999999999</v>
      </c>
      <c r="E4807">
        <v>11.71</v>
      </c>
      <c r="F4807" s="3">
        <v>0.27690000000000003</v>
      </c>
      <c r="G4807">
        <v>8.5162999999999993</v>
      </c>
      <c r="H4807">
        <v>0.66700000000000004</v>
      </c>
    </row>
    <row r="4808" spans="1:8" x14ac:dyDescent="0.25">
      <c r="A4808" t="s">
        <v>4814</v>
      </c>
      <c r="B4808">
        <v>65595</v>
      </c>
      <c r="C4808">
        <v>7896175320035</v>
      </c>
      <c r="D4808">
        <v>24.9</v>
      </c>
      <c r="E4808">
        <v>19.399999999999999</v>
      </c>
      <c r="F4808" s="3">
        <v>0.16070000000000001</v>
      </c>
      <c r="G4808">
        <v>14.1137</v>
      </c>
      <c r="H4808">
        <v>0.53300000000000003</v>
      </c>
    </row>
    <row r="4809" spans="1:8" x14ac:dyDescent="0.25">
      <c r="A4809" t="s">
        <v>4815</v>
      </c>
      <c r="B4809">
        <v>65594</v>
      </c>
      <c r="C4809">
        <v>7896175320042</v>
      </c>
      <c r="D4809">
        <v>24.9</v>
      </c>
      <c r="E4809">
        <v>19.399999999999999</v>
      </c>
      <c r="F4809" s="3">
        <v>0.16070000000000001</v>
      </c>
      <c r="G4809">
        <v>14.1136</v>
      </c>
      <c r="H4809">
        <v>0.73299999999999998</v>
      </c>
    </row>
    <row r="4810" spans="1:8" x14ac:dyDescent="0.25">
      <c r="A4810" t="s">
        <v>4816</v>
      </c>
      <c r="B4810">
        <v>9620</v>
      </c>
      <c r="C4810">
        <v>7898115901335</v>
      </c>
      <c r="D4810">
        <v>5.29</v>
      </c>
      <c r="E4810">
        <v>3.46</v>
      </c>
      <c r="F4810" s="3">
        <v>0.31290000000000001</v>
      </c>
      <c r="G4810">
        <v>3.1452</v>
      </c>
      <c r="H4810">
        <v>3.0329999999999999</v>
      </c>
    </row>
    <row r="4811" spans="1:8" x14ac:dyDescent="0.25">
      <c r="A4811" t="s">
        <v>4817</v>
      </c>
      <c r="B4811">
        <v>20811</v>
      </c>
      <c r="C4811">
        <v>7898115900314</v>
      </c>
      <c r="D4811">
        <v>5.29</v>
      </c>
      <c r="E4811">
        <v>3.47</v>
      </c>
      <c r="F4811" s="3">
        <v>0.31280000000000002</v>
      </c>
      <c r="G4811">
        <v>3.1457000000000002</v>
      </c>
      <c r="H4811">
        <v>8.6</v>
      </c>
    </row>
    <row r="4812" spans="1:8" x14ac:dyDescent="0.25">
      <c r="A4812" t="s">
        <v>4818</v>
      </c>
      <c r="B4812">
        <v>9621</v>
      </c>
      <c r="C4812">
        <v>7898115900321</v>
      </c>
      <c r="D4812">
        <v>5.29</v>
      </c>
      <c r="E4812">
        <v>3.47</v>
      </c>
      <c r="F4812" s="3">
        <v>0.31219999999999998</v>
      </c>
      <c r="G4812">
        <v>3.1488999999999998</v>
      </c>
      <c r="H4812">
        <v>4.6669999999999998</v>
      </c>
    </row>
    <row r="4813" spans="1:8" x14ac:dyDescent="0.25">
      <c r="A4813" t="s">
        <v>4819</v>
      </c>
      <c r="B4813">
        <v>44726</v>
      </c>
      <c r="C4813">
        <v>7891035618550</v>
      </c>
      <c r="D4813">
        <v>18.899999999999999</v>
      </c>
      <c r="E4813">
        <v>14.1</v>
      </c>
      <c r="F4813" s="3">
        <v>0.18230000000000002</v>
      </c>
      <c r="G4813">
        <v>10.3034</v>
      </c>
      <c r="H4813">
        <v>2.633</v>
      </c>
    </row>
    <row r="4814" spans="1:8" x14ac:dyDescent="0.25">
      <c r="A4814" t="s">
        <v>4820</v>
      </c>
      <c r="B4814">
        <v>44727</v>
      </c>
      <c r="C4814">
        <v>7891035618543</v>
      </c>
      <c r="D4814">
        <v>21.9</v>
      </c>
      <c r="E4814">
        <v>13.56</v>
      </c>
      <c r="F4814" s="3">
        <v>0.29350000000000004</v>
      </c>
      <c r="G4814">
        <v>9.5052000000000003</v>
      </c>
      <c r="H4814">
        <v>2.0670000000000002</v>
      </c>
    </row>
    <row r="4815" spans="1:8" x14ac:dyDescent="0.25">
      <c r="A4815" t="s">
        <v>4821</v>
      </c>
      <c r="B4815">
        <v>44725</v>
      </c>
      <c r="C4815">
        <v>7891035618567</v>
      </c>
      <c r="D4815">
        <v>21.9</v>
      </c>
      <c r="E4815">
        <v>14.12</v>
      </c>
      <c r="F4815" s="3">
        <v>0.25739999999999996</v>
      </c>
      <c r="G4815">
        <v>10.2959</v>
      </c>
      <c r="H4815">
        <v>3.367</v>
      </c>
    </row>
    <row r="4816" spans="1:8" x14ac:dyDescent="0.25">
      <c r="A4816" t="s">
        <v>4822</v>
      </c>
      <c r="B4816">
        <v>19608</v>
      </c>
      <c r="C4816">
        <v>7891035024931</v>
      </c>
      <c r="D4816">
        <v>84.9</v>
      </c>
      <c r="E4816">
        <v>60.18</v>
      </c>
      <c r="F4816" s="3">
        <v>0.21010000000000001</v>
      </c>
      <c r="G4816">
        <v>43.926699999999997</v>
      </c>
      <c r="H4816">
        <v>0.1</v>
      </c>
    </row>
    <row r="4817" spans="1:8" x14ac:dyDescent="0.25">
      <c r="A4817" t="s">
        <v>4823</v>
      </c>
      <c r="B4817">
        <v>44788</v>
      </c>
      <c r="C4817">
        <v>7891035024184</v>
      </c>
      <c r="D4817">
        <v>67.900000000000006</v>
      </c>
      <c r="E4817">
        <v>37.58</v>
      </c>
      <c r="F4817" s="3">
        <v>0.32479999999999998</v>
      </c>
      <c r="G4817">
        <v>27.340399999999999</v>
      </c>
      <c r="H4817">
        <v>0.46700000000000003</v>
      </c>
    </row>
    <row r="4818" spans="1:8" x14ac:dyDescent="0.25">
      <c r="A4818" t="s">
        <v>4824</v>
      </c>
      <c r="B4818">
        <v>23765</v>
      </c>
      <c r="C4818">
        <v>7891035024894</v>
      </c>
      <c r="D4818">
        <v>23.9</v>
      </c>
      <c r="E4818">
        <v>15.06</v>
      </c>
      <c r="F4818" s="3">
        <v>0.26940000000000003</v>
      </c>
      <c r="G4818">
        <v>10.947900000000001</v>
      </c>
      <c r="H4818">
        <v>4.633</v>
      </c>
    </row>
    <row r="4819" spans="1:8" x14ac:dyDescent="0.25">
      <c r="A4819" t="s">
        <v>4825</v>
      </c>
      <c r="B4819">
        <v>34502</v>
      </c>
      <c r="C4819">
        <v>7891035024993</v>
      </c>
      <c r="D4819">
        <v>23.9</v>
      </c>
      <c r="E4819">
        <v>14.99</v>
      </c>
      <c r="F4819" s="3">
        <v>0.27110000000000001</v>
      </c>
      <c r="G4819">
        <v>10.9084</v>
      </c>
      <c r="H4819">
        <v>5.7670000000000003</v>
      </c>
    </row>
    <row r="4820" spans="1:8" x14ac:dyDescent="0.25">
      <c r="A4820" t="s">
        <v>4826</v>
      </c>
      <c r="B4820">
        <v>23768</v>
      </c>
      <c r="C4820">
        <v>7891035617959</v>
      </c>
      <c r="D4820">
        <v>23.9</v>
      </c>
      <c r="E4820">
        <v>14.76</v>
      </c>
      <c r="F4820" s="3">
        <v>0.27529999999999999</v>
      </c>
      <c r="G4820">
        <v>10.8072</v>
      </c>
      <c r="H4820">
        <v>6.1669999999999998</v>
      </c>
    </row>
    <row r="4821" spans="1:8" x14ac:dyDescent="0.25">
      <c r="A4821" t="s">
        <v>4827</v>
      </c>
      <c r="B4821">
        <v>67905</v>
      </c>
      <c r="C4821">
        <v>7891035002786</v>
      </c>
      <c r="D4821">
        <v>32.9</v>
      </c>
      <c r="E4821">
        <v>21.07</v>
      </c>
      <c r="F4821" s="3">
        <v>0.2616</v>
      </c>
      <c r="G4821">
        <v>15.3294</v>
      </c>
      <c r="H4821">
        <v>0.73299999999999998</v>
      </c>
    </row>
    <row r="4822" spans="1:8" x14ac:dyDescent="0.25">
      <c r="A4822" t="s">
        <v>4828</v>
      </c>
      <c r="B4822">
        <v>60633</v>
      </c>
      <c r="C4822">
        <v>7891150081604</v>
      </c>
      <c r="D4822">
        <v>7.2</v>
      </c>
      <c r="E4822">
        <v>4.84</v>
      </c>
      <c r="F4822" s="3">
        <v>0.23760000000000001</v>
      </c>
      <c r="G4822">
        <v>3.5272999999999999</v>
      </c>
      <c r="H4822">
        <v>5.4329999999999998</v>
      </c>
    </row>
    <row r="4823" spans="1:8" x14ac:dyDescent="0.25">
      <c r="A4823" t="s">
        <v>4829</v>
      </c>
      <c r="B4823">
        <v>43823</v>
      </c>
      <c r="C4823">
        <v>4560205302881</v>
      </c>
      <c r="D4823">
        <v>15.9</v>
      </c>
      <c r="E4823">
        <v>7.8</v>
      </c>
      <c r="F4823" s="3">
        <v>0.46210000000000001</v>
      </c>
      <c r="G4823">
        <v>7.0812999999999997</v>
      </c>
      <c r="H4823">
        <v>2.133</v>
      </c>
    </row>
    <row r="4824" spans="1:8" x14ac:dyDescent="0.25">
      <c r="A4824" t="s">
        <v>4830</v>
      </c>
      <c r="B4824">
        <v>64536</v>
      </c>
      <c r="C4824">
        <v>7891035002519</v>
      </c>
      <c r="D4824">
        <v>17.899999999999999</v>
      </c>
      <c r="E4824">
        <v>11.46</v>
      </c>
      <c r="F4824" s="3">
        <v>0.28850000000000003</v>
      </c>
      <c r="G4824">
        <v>9.5136000000000003</v>
      </c>
      <c r="H4824">
        <v>0.9</v>
      </c>
    </row>
    <row r="4825" spans="1:8" x14ac:dyDescent="0.25">
      <c r="A4825" t="s">
        <v>4831</v>
      </c>
      <c r="B4825">
        <v>64537</v>
      </c>
      <c r="C4825">
        <v>7891035002526</v>
      </c>
      <c r="D4825">
        <v>17.899999999999999</v>
      </c>
      <c r="E4825">
        <v>11.66</v>
      </c>
      <c r="F4825" s="3">
        <v>0.28589999999999999</v>
      </c>
      <c r="G4825">
        <v>9.5602999999999998</v>
      </c>
      <c r="H4825">
        <v>0.63300000000000001</v>
      </c>
    </row>
    <row r="4826" spans="1:8" x14ac:dyDescent="0.25">
      <c r="A4826" t="s">
        <v>4832</v>
      </c>
      <c r="B4826">
        <v>64534</v>
      </c>
      <c r="C4826">
        <v>7891035002496</v>
      </c>
      <c r="D4826">
        <v>24.9</v>
      </c>
      <c r="E4826">
        <v>14.55</v>
      </c>
      <c r="F4826" s="3">
        <v>0.34090000000000004</v>
      </c>
      <c r="G4826">
        <v>11.928699999999999</v>
      </c>
      <c r="H4826">
        <v>1.1000000000000001</v>
      </c>
    </row>
    <row r="4827" spans="1:8" x14ac:dyDescent="0.25">
      <c r="A4827" t="s">
        <v>4833</v>
      </c>
      <c r="B4827">
        <v>64535</v>
      </c>
      <c r="C4827">
        <v>7891035002502</v>
      </c>
      <c r="D4827">
        <v>24.9</v>
      </c>
      <c r="E4827">
        <v>14.55</v>
      </c>
      <c r="F4827" s="3">
        <v>0.34090000000000004</v>
      </c>
      <c r="G4827">
        <v>11.928699999999999</v>
      </c>
      <c r="H4827">
        <v>1.167</v>
      </c>
    </row>
    <row r="4828" spans="1:8" x14ac:dyDescent="0.25">
      <c r="A4828" t="s">
        <v>4834</v>
      </c>
      <c r="B4828">
        <v>67473</v>
      </c>
      <c r="C4828">
        <v>7898152998930</v>
      </c>
      <c r="D4828">
        <v>12.9</v>
      </c>
      <c r="E4828">
        <v>7.88</v>
      </c>
      <c r="F4828" s="3">
        <v>0.36159999999999998</v>
      </c>
      <c r="G4828">
        <v>7.3326000000000002</v>
      </c>
      <c r="H4828">
        <v>1.367</v>
      </c>
    </row>
    <row r="4829" spans="1:8" x14ac:dyDescent="0.25">
      <c r="A4829" t="s">
        <v>4835</v>
      </c>
      <c r="B4829">
        <v>65334</v>
      </c>
      <c r="C4829">
        <v>7898606180959</v>
      </c>
      <c r="D4829">
        <v>28.9</v>
      </c>
      <c r="E4829">
        <v>45.12</v>
      </c>
      <c r="F4829" s="3">
        <v>-0.4083</v>
      </c>
      <c r="G4829">
        <v>32.825699999999998</v>
      </c>
      <c r="H4829">
        <v>0.1</v>
      </c>
    </row>
    <row r="4830" spans="1:8" x14ac:dyDescent="0.25">
      <c r="A4830" t="s">
        <v>4836</v>
      </c>
      <c r="B4830">
        <v>69227</v>
      </c>
      <c r="C4830">
        <v>7898015780078</v>
      </c>
      <c r="D4830">
        <v>24.9</v>
      </c>
      <c r="E4830">
        <v>14.81</v>
      </c>
      <c r="F4830" s="3">
        <v>0.36770000000000003</v>
      </c>
      <c r="G4830">
        <v>13.441000000000001</v>
      </c>
      <c r="H4830">
        <v>0.2</v>
      </c>
    </row>
    <row r="4831" spans="1:8" x14ac:dyDescent="0.25">
      <c r="A4831" t="s">
        <v>4837</v>
      </c>
      <c r="B4831">
        <v>69228</v>
      </c>
      <c r="C4831">
        <v>7898015781501</v>
      </c>
      <c r="D4831">
        <v>24.9</v>
      </c>
      <c r="E4831">
        <v>14.81</v>
      </c>
      <c r="F4831" s="3">
        <v>0.36770000000000003</v>
      </c>
      <c r="G4831">
        <v>13.441000000000001</v>
      </c>
      <c r="H4831">
        <v>0.3</v>
      </c>
    </row>
    <row r="4832" spans="1:8" x14ac:dyDescent="0.25">
      <c r="A4832" t="s">
        <v>4838</v>
      </c>
      <c r="B4832">
        <v>69229</v>
      </c>
      <c r="C4832">
        <v>7898015780115</v>
      </c>
      <c r="D4832">
        <v>24.9</v>
      </c>
      <c r="E4832">
        <v>14.81</v>
      </c>
      <c r="F4832" s="3">
        <v>0.36770000000000003</v>
      </c>
      <c r="G4832">
        <v>13.441000000000001</v>
      </c>
      <c r="H4832">
        <v>0.56699999999999995</v>
      </c>
    </row>
    <row r="4833" spans="1:8" x14ac:dyDescent="0.25">
      <c r="A4833" t="s">
        <v>4839</v>
      </c>
      <c r="B4833">
        <v>69231</v>
      </c>
      <c r="C4833">
        <v>7898015781525</v>
      </c>
      <c r="D4833">
        <v>19.899999999999999</v>
      </c>
      <c r="E4833">
        <v>11.85</v>
      </c>
      <c r="F4833" s="3">
        <v>0.36719999999999997</v>
      </c>
      <c r="G4833">
        <v>10.752800000000001</v>
      </c>
      <c r="H4833">
        <v>0.3</v>
      </c>
    </row>
    <row r="4834" spans="1:8" x14ac:dyDescent="0.25">
      <c r="A4834" t="s">
        <v>4840</v>
      </c>
      <c r="B4834">
        <v>69230</v>
      </c>
      <c r="C4834">
        <v>7898015781532</v>
      </c>
      <c r="D4834">
        <v>19.899999999999999</v>
      </c>
      <c r="E4834">
        <v>11.85</v>
      </c>
      <c r="F4834" s="3">
        <v>0.36719999999999997</v>
      </c>
      <c r="G4834">
        <v>10.752800000000001</v>
      </c>
      <c r="H4834">
        <v>0.3</v>
      </c>
    </row>
    <row r="4835" spans="1:8" x14ac:dyDescent="0.25">
      <c r="A4835" t="s">
        <v>4841</v>
      </c>
      <c r="B4835">
        <v>7740</v>
      </c>
      <c r="C4835">
        <v>7896293803014</v>
      </c>
      <c r="D4835">
        <v>32.9</v>
      </c>
      <c r="E4835">
        <v>20.66</v>
      </c>
      <c r="F4835" s="3">
        <v>0.30510000000000004</v>
      </c>
      <c r="G4835">
        <v>16.940000000000001</v>
      </c>
      <c r="H4835">
        <v>0.7</v>
      </c>
    </row>
    <row r="4836" spans="1:8" x14ac:dyDescent="0.25">
      <c r="A4836" t="s">
        <v>4842</v>
      </c>
      <c r="B4836">
        <v>26265</v>
      </c>
      <c r="C4836">
        <v>7898629611539</v>
      </c>
      <c r="D4836">
        <v>9.99</v>
      </c>
      <c r="E4836">
        <v>4.3899999999999997</v>
      </c>
      <c r="F4836" s="3">
        <v>0.40770000000000001</v>
      </c>
      <c r="G4836">
        <v>3.1943999999999999</v>
      </c>
      <c r="H4836">
        <v>5.9</v>
      </c>
    </row>
    <row r="4837" spans="1:8" x14ac:dyDescent="0.25">
      <c r="A4837" t="s">
        <v>4843</v>
      </c>
      <c r="B4837">
        <v>4800</v>
      </c>
      <c r="C4837">
        <v>7891095154319</v>
      </c>
      <c r="D4837">
        <v>8.99</v>
      </c>
      <c r="E4837">
        <v>4.2</v>
      </c>
      <c r="F4837" s="3">
        <v>0.39</v>
      </c>
      <c r="G4837">
        <v>3.0343</v>
      </c>
      <c r="H4837">
        <v>2.7</v>
      </c>
    </row>
    <row r="4838" spans="1:8" x14ac:dyDescent="0.25">
      <c r="A4838" t="s">
        <v>4844</v>
      </c>
      <c r="B4838">
        <v>26264</v>
      </c>
      <c r="C4838">
        <v>7898629611546</v>
      </c>
      <c r="D4838">
        <v>9.99</v>
      </c>
      <c r="E4838">
        <v>4.3899999999999997</v>
      </c>
      <c r="F4838" s="3">
        <v>0.40770000000000001</v>
      </c>
      <c r="G4838">
        <v>3.1943999999999999</v>
      </c>
      <c r="H4838">
        <v>2.7669999999999999</v>
      </c>
    </row>
    <row r="4839" spans="1:8" x14ac:dyDescent="0.25">
      <c r="A4839" t="s">
        <v>4845</v>
      </c>
      <c r="B4839">
        <v>57625</v>
      </c>
      <c r="C4839">
        <v>7791130002950</v>
      </c>
      <c r="D4839">
        <v>17.79</v>
      </c>
      <c r="E4839">
        <v>9.73</v>
      </c>
      <c r="F4839" s="3">
        <v>0.32950000000000002</v>
      </c>
      <c r="G4839">
        <v>7.0789</v>
      </c>
      <c r="H4839">
        <v>0.53300000000000003</v>
      </c>
    </row>
    <row r="4840" spans="1:8" x14ac:dyDescent="0.25">
      <c r="A4840" t="s">
        <v>4846</v>
      </c>
      <c r="B4840">
        <v>34509</v>
      </c>
      <c r="C4840">
        <v>7791130002554</v>
      </c>
      <c r="D4840">
        <v>18.899999999999999</v>
      </c>
      <c r="E4840">
        <v>11.28</v>
      </c>
      <c r="F4840" s="3">
        <v>0.29309999999999997</v>
      </c>
      <c r="G4840">
        <v>8.2096</v>
      </c>
      <c r="H4840">
        <v>0.83299999999999996</v>
      </c>
    </row>
    <row r="4841" spans="1:8" x14ac:dyDescent="0.25">
      <c r="A4841" t="s">
        <v>4847</v>
      </c>
      <c r="B4841">
        <v>19624</v>
      </c>
      <c r="C4841">
        <v>7891035570209</v>
      </c>
      <c r="D4841">
        <v>22.9</v>
      </c>
      <c r="E4841">
        <v>16.25</v>
      </c>
      <c r="F4841" s="3">
        <v>0.2122</v>
      </c>
      <c r="G4841">
        <v>11.7994</v>
      </c>
      <c r="H4841">
        <v>0.23300000000000001</v>
      </c>
    </row>
    <row r="4842" spans="1:8" x14ac:dyDescent="0.25">
      <c r="A4842" t="s">
        <v>4848</v>
      </c>
      <c r="B4842">
        <v>19625</v>
      </c>
      <c r="C4842">
        <v>7891035570100</v>
      </c>
      <c r="D4842">
        <v>22.9</v>
      </c>
      <c r="E4842">
        <v>15.85</v>
      </c>
      <c r="F4842" s="3">
        <v>0.21460000000000001</v>
      </c>
      <c r="G4842">
        <v>11.745900000000001</v>
      </c>
      <c r="H4842">
        <v>0.433</v>
      </c>
    </row>
    <row r="4843" spans="1:8" x14ac:dyDescent="0.25">
      <c r="A4843" t="s">
        <v>4849</v>
      </c>
      <c r="B4843">
        <v>19626</v>
      </c>
      <c r="C4843">
        <v>7891035570001</v>
      </c>
      <c r="D4843">
        <v>22.9</v>
      </c>
      <c r="E4843">
        <v>16.05</v>
      </c>
      <c r="F4843" s="3">
        <v>0.21539999999999998</v>
      </c>
      <c r="G4843">
        <v>11.7277</v>
      </c>
      <c r="H4843">
        <v>1.1000000000000001</v>
      </c>
    </row>
    <row r="4844" spans="1:8" x14ac:dyDescent="0.25">
      <c r="A4844" t="s">
        <v>4850</v>
      </c>
      <c r="B4844">
        <v>34518</v>
      </c>
      <c r="C4844">
        <v>7891035918001</v>
      </c>
      <c r="D4844">
        <v>31.9</v>
      </c>
      <c r="E4844">
        <v>20.440000000000001</v>
      </c>
      <c r="F4844" s="3">
        <v>0.29469999999999996</v>
      </c>
      <c r="G4844">
        <v>16.757000000000001</v>
      </c>
      <c r="H4844">
        <v>2.4329999999999998</v>
      </c>
    </row>
    <row r="4845" spans="1:8" x14ac:dyDescent="0.25">
      <c r="A4845" t="s">
        <v>4851</v>
      </c>
      <c r="B4845">
        <v>63811</v>
      </c>
      <c r="C4845">
        <v>7891035002489</v>
      </c>
      <c r="D4845">
        <v>35.9</v>
      </c>
      <c r="E4845">
        <v>28.68</v>
      </c>
      <c r="F4845" s="3">
        <v>0.16469999999999999</v>
      </c>
      <c r="G4845">
        <v>23.5244</v>
      </c>
      <c r="H4845">
        <v>0.433</v>
      </c>
    </row>
    <row r="4846" spans="1:8" x14ac:dyDescent="0.25">
      <c r="A4846" t="s">
        <v>4852</v>
      </c>
      <c r="B4846">
        <v>69388</v>
      </c>
      <c r="C4846">
        <v>7891035002977</v>
      </c>
      <c r="D4846">
        <v>35.9</v>
      </c>
      <c r="E4846">
        <v>33.75</v>
      </c>
      <c r="F4846" s="3">
        <v>4.3499999999999997E-2</v>
      </c>
      <c r="G4846">
        <v>24.555599999999998</v>
      </c>
      <c r="H4846">
        <v>0.33300000000000002</v>
      </c>
    </row>
    <row r="4847" spans="1:8" x14ac:dyDescent="0.25">
      <c r="A4847" t="s">
        <v>4853</v>
      </c>
      <c r="B4847">
        <v>35401</v>
      </c>
      <c r="C4847">
        <v>7891035918025</v>
      </c>
      <c r="D4847">
        <v>25.9</v>
      </c>
      <c r="E4847">
        <v>16.87</v>
      </c>
      <c r="F4847" s="3">
        <v>0.28570000000000001</v>
      </c>
      <c r="G4847">
        <v>13.837899999999999</v>
      </c>
      <c r="H4847">
        <v>2.2000000000000002</v>
      </c>
    </row>
    <row r="4848" spans="1:8" x14ac:dyDescent="0.25">
      <c r="A4848" t="s">
        <v>4854</v>
      </c>
      <c r="B4848">
        <v>62714</v>
      </c>
      <c r="C4848">
        <v>7891035002397</v>
      </c>
      <c r="D4848">
        <v>25.9</v>
      </c>
      <c r="E4848">
        <v>17.61</v>
      </c>
      <c r="F4848" s="3">
        <v>0.23269999999999999</v>
      </c>
      <c r="G4848">
        <v>12.8142</v>
      </c>
      <c r="H4848">
        <v>1.2669999999999999</v>
      </c>
    </row>
    <row r="4849" spans="1:8" x14ac:dyDescent="0.25">
      <c r="A4849" t="s">
        <v>4855</v>
      </c>
      <c r="B4849">
        <v>34517</v>
      </c>
      <c r="C4849">
        <v>7891035918018</v>
      </c>
      <c r="D4849">
        <v>25.9</v>
      </c>
      <c r="E4849">
        <v>16.86</v>
      </c>
      <c r="F4849" s="3">
        <v>0.28589999999999999</v>
      </c>
      <c r="G4849">
        <v>13.8337</v>
      </c>
      <c r="H4849">
        <v>1.2669999999999999</v>
      </c>
    </row>
    <row r="4850" spans="1:8" x14ac:dyDescent="0.25">
      <c r="A4850" t="s">
        <v>4856</v>
      </c>
      <c r="B4850">
        <v>34516</v>
      </c>
      <c r="C4850">
        <v>7891035918032</v>
      </c>
      <c r="D4850">
        <v>25.9</v>
      </c>
      <c r="E4850">
        <v>16.86</v>
      </c>
      <c r="F4850" s="3">
        <v>0.28610000000000002</v>
      </c>
      <c r="G4850">
        <v>13.8287</v>
      </c>
      <c r="H4850">
        <v>1.5</v>
      </c>
    </row>
    <row r="4851" spans="1:8" x14ac:dyDescent="0.25">
      <c r="A4851" t="s">
        <v>4857</v>
      </c>
      <c r="B4851">
        <v>53272</v>
      </c>
      <c r="C4851">
        <v>7891035918285</v>
      </c>
      <c r="D4851">
        <v>68.900000000000006</v>
      </c>
      <c r="E4851">
        <v>43.76</v>
      </c>
      <c r="F4851" s="3">
        <v>0.29909999999999998</v>
      </c>
      <c r="G4851">
        <v>35.886899999999997</v>
      </c>
      <c r="H4851">
        <v>1.133</v>
      </c>
    </row>
    <row r="4852" spans="1:8" x14ac:dyDescent="0.25">
      <c r="A4852" t="s">
        <v>4858</v>
      </c>
      <c r="B4852">
        <v>56272</v>
      </c>
      <c r="C4852">
        <v>7891035991141</v>
      </c>
      <c r="D4852">
        <v>18.899999999999999</v>
      </c>
      <c r="E4852">
        <v>11.5</v>
      </c>
      <c r="F4852" s="3">
        <v>0.32100000000000001</v>
      </c>
      <c r="G4852">
        <v>9.4306999999999999</v>
      </c>
      <c r="H4852">
        <v>0.6</v>
      </c>
    </row>
    <row r="4853" spans="1:8" x14ac:dyDescent="0.25">
      <c r="A4853" t="s">
        <v>4859</v>
      </c>
      <c r="B4853">
        <v>42143</v>
      </c>
      <c r="C4853">
        <v>7891035536700</v>
      </c>
      <c r="D4853">
        <v>18.899999999999999</v>
      </c>
      <c r="E4853">
        <v>11.5</v>
      </c>
      <c r="F4853" s="3">
        <v>0.32100000000000001</v>
      </c>
      <c r="G4853">
        <v>9.4307999999999996</v>
      </c>
      <c r="H4853">
        <v>4.0330000000000004</v>
      </c>
    </row>
    <row r="4854" spans="1:8" x14ac:dyDescent="0.25">
      <c r="A4854" t="s">
        <v>4860</v>
      </c>
      <c r="B4854">
        <v>19441</v>
      </c>
      <c r="C4854">
        <v>7891035534072</v>
      </c>
      <c r="D4854">
        <v>18.899999999999999</v>
      </c>
      <c r="E4854">
        <v>11.5</v>
      </c>
      <c r="F4854" s="3">
        <v>0.32100000000000001</v>
      </c>
      <c r="G4854">
        <v>9.4307999999999996</v>
      </c>
      <c r="H4854">
        <v>1.6</v>
      </c>
    </row>
    <row r="4855" spans="1:8" x14ac:dyDescent="0.25">
      <c r="A4855" t="s">
        <v>4861</v>
      </c>
      <c r="B4855">
        <v>52016</v>
      </c>
      <c r="C4855">
        <v>7891035325618</v>
      </c>
      <c r="D4855">
        <v>18.899999999999999</v>
      </c>
      <c r="E4855">
        <v>11.5</v>
      </c>
      <c r="F4855" s="3">
        <v>0.32100000000000001</v>
      </c>
      <c r="G4855">
        <v>9.4304000000000006</v>
      </c>
      <c r="H4855">
        <v>3.1</v>
      </c>
    </row>
    <row r="4856" spans="1:8" x14ac:dyDescent="0.25">
      <c r="A4856" t="s">
        <v>4862</v>
      </c>
      <c r="B4856">
        <v>22585</v>
      </c>
      <c r="C4856">
        <v>7891035325595</v>
      </c>
      <c r="D4856">
        <v>18.899999999999999</v>
      </c>
      <c r="E4856">
        <v>11.5</v>
      </c>
      <c r="F4856" s="3">
        <v>0.32100000000000001</v>
      </c>
      <c r="G4856">
        <v>9.4306000000000001</v>
      </c>
      <c r="H4856">
        <v>4.7670000000000003</v>
      </c>
    </row>
    <row r="4857" spans="1:8" x14ac:dyDescent="0.25">
      <c r="A4857" t="s">
        <v>4863</v>
      </c>
      <c r="B4857">
        <v>56271</v>
      </c>
      <c r="C4857">
        <v>7891035991134</v>
      </c>
      <c r="D4857">
        <v>18.899999999999999</v>
      </c>
      <c r="E4857">
        <v>11.5</v>
      </c>
      <c r="F4857" s="3">
        <v>0.32100000000000001</v>
      </c>
      <c r="G4857">
        <v>9.4307999999999996</v>
      </c>
      <c r="H4857">
        <v>1.5</v>
      </c>
    </row>
    <row r="4858" spans="1:8" x14ac:dyDescent="0.25">
      <c r="A4858" t="s">
        <v>4864</v>
      </c>
      <c r="B4858">
        <v>22586</v>
      </c>
      <c r="C4858">
        <v>7891035325625</v>
      </c>
      <c r="D4858">
        <v>18.899999999999999</v>
      </c>
      <c r="E4858">
        <v>11.5</v>
      </c>
      <c r="F4858" s="3">
        <v>0.32100000000000001</v>
      </c>
      <c r="G4858">
        <v>9.4304000000000006</v>
      </c>
      <c r="H4858">
        <v>1.9330000000000001</v>
      </c>
    </row>
    <row r="4859" spans="1:8" x14ac:dyDescent="0.25">
      <c r="A4859" t="s">
        <v>4865</v>
      </c>
      <c r="B4859">
        <v>32010</v>
      </c>
      <c r="C4859">
        <v>7891035025280</v>
      </c>
      <c r="D4859">
        <v>20.85</v>
      </c>
      <c r="E4859">
        <v>12.87</v>
      </c>
      <c r="F4859" s="3">
        <v>0.31379999999999997</v>
      </c>
      <c r="G4859">
        <v>10.5542</v>
      </c>
      <c r="H4859">
        <v>1.2669999999999999</v>
      </c>
    </row>
    <row r="4860" spans="1:8" x14ac:dyDescent="0.25">
      <c r="A4860" t="s">
        <v>4866</v>
      </c>
      <c r="B4860">
        <v>19472</v>
      </c>
      <c r="C4860">
        <v>7891035539602</v>
      </c>
      <c r="D4860">
        <v>24.9</v>
      </c>
      <c r="E4860">
        <v>16.440000000000001</v>
      </c>
      <c r="F4860" s="3">
        <v>0.27879999999999999</v>
      </c>
      <c r="G4860">
        <v>13.4765</v>
      </c>
      <c r="H4860">
        <v>1.2330000000000001</v>
      </c>
    </row>
    <row r="4861" spans="1:8" x14ac:dyDescent="0.25">
      <c r="A4861" t="s">
        <v>4867</v>
      </c>
      <c r="B4861">
        <v>19478</v>
      </c>
      <c r="C4861">
        <v>7891035539404</v>
      </c>
      <c r="D4861">
        <v>24.9</v>
      </c>
      <c r="E4861">
        <v>16.45</v>
      </c>
      <c r="F4861" s="3">
        <v>0.27789999999999998</v>
      </c>
      <c r="G4861">
        <v>13.499000000000001</v>
      </c>
      <c r="H4861">
        <v>0.63300000000000001</v>
      </c>
    </row>
    <row r="4862" spans="1:8" x14ac:dyDescent="0.25">
      <c r="A4862" t="s">
        <v>4868</v>
      </c>
      <c r="B4862">
        <v>42148</v>
      </c>
      <c r="C4862">
        <v>7891035539206</v>
      </c>
      <c r="D4862">
        <v>14.9</v>
      </c>
      <c r="E4862">
        <v>8.6199999999999992</v>
      </c>
      <c r="F4862" s="3">
        <v>0.34560000000000002</v>
      </c>
      <c r="G4862">
        <v>7.0682</v>
      </c>
      <c r="H4862">
        <v>0.16700000000000001</v>
      </c>
    </row>
    <row r="4863" spans="1:8" x14ac:dyDescent="0.25">
      <c r="A4863" t="s">
        <v>4869</v>
      </c>
      <c r="B4863">
        <v>19477</v>
      </c>
      <c r="C4863">
        <v>7891035539701</v>
      </c>
      <c r="D4863">
        <v>14.9</v>
      </c>
      <c r="E4863">
        <v>8.6199999999999992</v>
      </c>
      <c r="F4863" s="3">
        <v>0.34560000000000002</v>
      </c>
      <c r="G4863">
        <v>7.0686999999999998</v>
      </c>
      <c r="H4863">
        <v>0.66700000000000004</v>
      </c>
    </row>
    <row r="4864" spans="1:8" x14ac:dyDescent="0.25">
      <c r="A4864" t="s">
        <v>4870</v>
      </c>
      <c r="B4864">
        <v>63799</v>
      </c>
      <c r="C4864">
        <v>7891035539527</v>
      </c>
      <c r="D4864">
        <v>27.8</v>
      </c>
      <c r="E4864">
        <v>17.18</v>
      </c>
      <c r="F4864" s="3">
        <v>0.31329999999999997</v>
      </c>
      <c r="G4864">
        <v>14.085800000000001</v>
      </c>
      <c r="H4864">
        <v>1.333</v>
      </c>
    </row>
    <row r="4865" spans="1:8" x14ac:dyDescent="0.25">
      <c r="A4865" t="s">
        <v>4871</v>
      </c>
      <c r="B4865">
        <v>57618</v>
      </c>
      <c r="C4865">
        <v>7891035918278</v>
      </c>
      <c r="D4865">
        <v>27.8</v>
      </c>
      <c r="E4865">
        <v>17.18</v>
      </c>
      <c r="F4865" s="3">
        <v>0.31329999999999997</v>
      </c>
      <c r="G4865">
        <v>14.087199999999999</v>
      </c>
      <c r="H4865">
        <v>1.133</v>
      </c>
    </row>
    <row r="4866" spans="1:8" x14ac:dyDescent="0.25">
      <c r="A4866" t="s">
        <v>4872</v>
      </c>
      <c r="B4866">
        <v>19479</v>
      </c>
      <c r="C4866">
        <v>7891035539503</v>
      </c>
      <c r="D4866">
        <v>14.9</v>
      </c>
      <c r="E4866">
        <v>8.6199999999999992</v>
      </c>
      <c r="F4866" s="3">
        <v>0.34570000000000001</v>
      </c>
      <c r="G4866">
        <v>7.0671999999999997</v>
      </c>
      <c r="H4866">
        <v>1.0669999999999999</v>
      </c>
    </row>
    <row r="4867" spans="1:8" x14ac:dyDescent="0.25">
      <c r="A4867" t="s">
        <v>4873</v>
      </c>
      <c r="B4867">
        <v>56276</v>
      </c>
      <c r="C4867">
        <v>7891035000102</v>
      </c>
      <c r="D4867">
        <v>34.9</v>
      </c>
      <c r="E4867">
        <v>37.39</v>
      </c>
      <c r="F4867" s="3">
        <v>-5.9800000000000006E-2</v>
      </c>
      <c r="G4867">
        <v>30.706700000000001</v>
      </c>
      <c r="H4867">
        <v>2.2669999999999999</v>
      </c>
    </row>
    <row r="4868" spans="1:8" x14ac:dyDescent="0.25">
      <c r="A4868" t="s">
        <v>4874</v>
      </c>
      <c r="B4868">
        <v>28090</v>
      </c>
      <c r="C4868">
        <v>7891035025273</v>
      </c>
      <c r="D4868">
        <v>34.9</v>
      </c>
      <c r="E4868">
        <v>37.049999999999997</v>
      </c>
      <c r="F4868" s="3">
        <v>-5.79E-2</v>
      </c>
      <c r="G4868">
        <v>30.638999999999999</v>
      </c>
      <c r="H4868">
        <v>3.367</v>
      </c>
    </row>
    <row r="4869" spans="1:8" x14ac:dyDescent="0.25">
      <c r="A4869" t="s">
        <v>4875</v>
      </c>
      <c r="B4869">
        <v>19463</v>
      </c>
      <c r="C4869">
        <v>7891035919787</v>
      </c>
      <c r="D4869">
        <v>68.02</v>
      </c>
      <c r="E4869">
        <v>43.77</v>
      </c>
      <c r="F4869" s="3">
        <v>0.2923</v>
      </c>
      <c r="G4869">
        <v>35.895299999999999</v>
      </c>
      <c r="H4869">
        <v>0.8</v>
      </c>
    </row>
    <row r="4870" spans="1:8" x14ac:dyDescent="0.25">
      <c r="A4870" t="s">
        <v>4876</v>
      </c>
      <c r="B4870">
        <v>58621</v>
      </c>
      <c r="C4870">
        <v>7891035001093</v>
      </c>
      <c r="D4870">
        <v>36.9</v>
      </c>
      <c r="E4870">
        <v>25.18</v>
      </c>
      <c r="F4870" s="3">
        <v>0.26039999999999996</v>
      </c>
      <c r="G4870">
        <v>20.65</v>
      </c>
      <c r="H4870">
        <v>0.56699999999999995</v>
      </c>
    </row>
    <row r="4871" spans="1:8" x14ac:dyDescent="0.25">
      <c r="A4871" t="s">
        <v>4877</v>
      </c>
      <c r="B4871">
        <v>53274</v>
      </c>
      <c r="C4871">
        <v>7891035918308</v>
      </c>
      <c r="D4871">
        <v>36.9</v>
      </c>
      <c r="E4871">
        <v>25.19</v>
      </c>
      <c r="F4871" s="3">
        <v>0.26030000000000003</v>
      </c>
      <c r="G4871">
        <v>20.654299999999999</v>
      </c>
      <c r="H4871">
        <v>0.33300000000000002</v>
      </c>
    </row>
    <row r="4872" spans="1:8" x14ac:dyDescent="0.25">
      <c r="A4872" t="s">
        <v>4878</v>
      </c>
      <c r="B4872">
        <v>53273</v>
      </c>
      <c r="C4872">
        <v>7891035918315</v>
      </c>
      <c r="D4872">
        <v>36.9</v>
      </c>
      <c r="E4872">
        <v>25.16</v>
      </c>
      <c r="F4872" s="3">
        <v>0.26050000000000001</v>
      </c>
      <c r="G4872">
        <v>20.6447</v>
      </c>
      <c r="H4872">
        <v>0.23300000000000001</v>
      </c>
    </row>
    <row r="4873" spans="1:8" x14ac:dyDescent="0.25">
      <c r="A4873" t="s">
        <v>4879</v>
      </c>
      <c r="B4873">
        <v>19464</v>
      </c>
      <c r="C4873">
        <v>7891035539947</v>
      </c>
      <c r="D4873">
        <v>36.9</v>
      </c>
      <c r="E4873">
        <v>24.97</v>
      </c>
      <c r="F4873" s="3">
        <v>0.26489999999999997</v>
      </c>
      <c r="G4873">
        <v>20.484100000000002</v>
      </c>
      <c r="H4873">
        <v>0.33300000000000002</v>
      </c>
    </row>
    <row r="4874" spans="1:8" x14ac:dyDescent="0.25">
      <c r="A4874" t="s">
        <v>4880</v>
      </c>
      <c r="B4874">
        <v>19462</v>
      </c>
      <c r="C4874">
        <v>7891035539930</v>
      </c>
      <c r="D4874">
        <v>36.9</v>
      </c>
      <c r="E4874">
        <v>25.19</v>
      </c>
      <c r="F4874" s="3">
        <v>0.26019999999999999</v>
      </c>
      <c r="G4874">
        <v>20.657900000000001</v>
      </c>
      <c r="H4874">
        <v>0.73299999999999998</v>
      </c>
    </row>
    <row r="4875" spans="1:8" x14ac:dyDescent="0.25">
      <c r="A4875" t="s">
        <v>4881</v>
      </c>
      <c r="B4875">
        <v>56275</v>
      </c>
      <c r="C4875">
        <v>7891035991172</v>
      </c>
      <c r="D4875">
        <v>36.9</v>
      </c>
      <c r="E4875">
        <v>25.19</v>
      </c>
      <c r="F4875" s="3">
        <v>0.26019999999999999</v>
      </c>
      <c r="G4875">
        <v>20.658100000000001</v>
      </c>
      <c r="H4875">
        <v>0.33300000000000002</v>
      </c>
    </row>
    <row r="4876" spans="1:8" x14ac:dyDescent="0.25">
      <c r="A4876" t="s">
        <v>4882</v>
      </c>
      <c r="B4876">
        <v>56274</v>
      </c>
      <c r="C4876">
        <v>7891035991165</v>
      </c>
      <c r="D4876">
        <v>36.9</v>
      </c>
      <c r="E4876">
        <v>25.19</v>
      </c>
      <c r="F4876" s="3">
        <v>0.26030000000000003</v>
      </c>
      <c r="G4876">
        <v>20.653199999999998</v>
      </c>
      <c r="H4876">
        <v>0.13300000000000001</v>
      </c>
    </row>
    <row r="4877" spans="1:8" x14ac:dyDescent="0.25">
      <c r="A4877" t="s">
        <v>4883</v>
      </c>
      <c r="B4877">
        <v>68669</v>
      </c>
      <c r="C4877">
        <v>7896183303822</v>
      </c>
      <c r="D4877">
        <v>35.9</v>
      </c>
      <c r="E4877">
        <v>25.36</v>
      </c>
      <c r="F4877" s="3">
        <v>0.24230000000000002</v>
      </c>
      <c r="G4877">
        <v>20.7409</v>
      </c>
      <c r="H4877">
        <v>0.56699999999999995</v>
      </c>
    </row>
    <row r="4878" spans="1:8" x14ac:dyDescent="0.25">
      <c r="A4878" t="s">
        <v>4884</v>
      </c>
      <c r="B4878">
        <v>68670</v>
      </c>
      <c r="C4878">
        <v>7896183303808</v>
      </c>
      <c r="D4878">
        <v>35.9</v>
      </c>
      <c r="E4878">
        <v>24.65</v>
      </c>
      <c r="F4878" s="3">
        <v>0.26170000000000004</v>
      </c>
      <c r="G4878">
        <v>20.0413</v>
      </c>
      <c r="H4878">
        <v>0.33300000000000002</v>
      </c>
    </row>
    <row r="4879" spans="1:8" x14ac:dyDescent="0.25">
      <c r="A4879" t="s">
        <v>4885</v>
      </c>
      <c r="B4879">
        <v>66955</v>
      </c>
      <c r="C4879">
        <v>7891150095540</v>
      </c>
      <c r="D4879">
        <v>44.9</v>
      </c>
      <c r="E4879">
        <v>30.99</v>
      </c>
      <c r="F4879" s="3">
        <v>0.30969999999999998</v>
      </c>
      <c r="G4879">
        <v>30.993500000000001</v>
      </c>
      <c r="H4879">
        <v>0.26700000000000002</v>
      </c>
    </row>
    <row r="4880" spans="1:8" x14ac:dyDescent="0.25">
      <c r="A4880" t="s">
        <v>4886</v>
      </c>
      <c r="B4880">
        <v>68858</v>
      </c>
      <c r="C4880">
        <v>5601252120901</v>
      </c>
      <c r="D4880">
        <v>39.9</v>
      </c>
      <c r="E4880">
        <v>28.28</v>
      </c>
      <c r="F4880" s="3">
        <v>0.26440000000000002</v>
      </c>
      <c r="G4880">
        <v>25.66</v>
      </c>
      <c r="H4880">
        <v>0.156</v>
      </c>
    </row>
    <row r="4881" spans="1:8" x14ac:dyDescent="0.25">
      <c r="A4881" t="s">
        <v>4887</v>
      </c>
      <c r="B4881">
        <v>68857</v>
      </c>
      <c r="C4881">
        <v>5601252120864</v>
      </c>
      <c r="D4881">
        <v>39.9</v>
      </c>
      <c r="E4881">
        <v>28.28</v>
      </c>
      <c r="F4881" s="3">
        <v>0.26440000000000002</v>
      </c>
      <c r="G4881">
        <v>25.66</v>
      </c>
      <c r="H4881">
        <v>0.25600000000000001</v>
      </c>
    </row>
    <row r="4882" spans="1:8" x14ac:dyDescent="0.25">
      <c r="A4882" t="s">
        <v>4888</v>
      </c>
      <c r="B4882">
        <v>68856</v>
      </c>
      <c r="C4882">
        <v>5601252120888</v>
      </c>
      <c r="D4882">
        <v>39.9</v>
      </c>
      <c r="E4882">
        <v>28.28</v>
      </c>
      <c r="F4882" s="3">
        <v>0.26440000000000002</v>
      </c>
      <c r="G4882">
        <v>25.66</v>
      </c>
      <c r="H4882">
        <v>0.33</v>
      </c>
    </row>
    <row r="4883" spans="1:8" x14ac:dyDescent="0.25">
      <c r="A4883" t="s">
        <v>4889</v>
      </c>
      <c r="B4883">
        <v>5886</v>
      </c>
      <c r="C4883">
        <v>7896050500255</v>
      </c>
      <c r="D4883">
        <v>11.9</v>
      </c>
      <c r="E4883">
        <v>6.31</v>
      </c>
      <c r="F4883" s="3">
        <v>0.34060000000000001</v>
      </c>
      <c r="G4883">
        <v>4.6044</v>
      </c>
      <c r="H4883">
        <v>6.3</v>
      </c>
    </row>
    <row r="4884" spans="1:8" x14ac:dyDescent="0.25">
      <c r="A4884" t="s">
        <v>4890</v>
      </c>
      <c r="B4884">
        <v>9771</v>
      </c>
      <c r="C4884">
        <v>7898247311491</v>
      </c>
      <c r="D4884">
        <v>14.9</v>
      </c>
      <c r="E4884">
        <v>14.35</v>
      </c>
      <c r="F4884" s="3">
        <v>3.1E-2</v>
      </c>
      <c r="G4884">
        <v>13.3949</v>
      </c>
      <c r="H4884">
        <v>5.9669999999999996</v>
      </c>
    </row>
    <row r="4885" spans="1:8" x14ac:dyDescent="0.25">
      <c r="A4885" t="s">
        <v>4891</v>
      </c>
      <c r="B4885">
        <v>65219</v>
      </c>
      <c r="C4885">
        <v>7891150094406</v>
      </c>
      <c r="D4885">
        <v>44.9</v>
      </c>
      <c r="E4885">
        <v>26.09</v>
      </c>
      <c r="F4885" s="3">
        <v>0.4264</v>
      </c>
      <c r="G4885">
        <v>25.7531</v>
      </c>
      <c r="H4885">
        <v>0.26700000000000002</v>
      </c>
    </row>
    <row r="4886" spans="1:8" x14ac:dyDescent="0.25">
      <c r="A4886" t="s">
        <v>4892</v>
      </c>
      <c r="B4886">
        <v>66940</v>
      </c>
      <c r="C4886">
        <v>7891150096240</v>
      </c>
      <c r="D4886">
        <v>21.9</v>
      </c>
      <c r="E4886">
        <v>20.399999999999999</v>
      </c>
      <c r="F4886" s="3">
        <v>6.5299999999999997E-2</v>
      </c>
      <c r="G4886">
        <v>20.469899999999999</v>
      </c>
      <c r="H4886">
        <v>0.53300000000000003</v>
      </c>
    </row>
    <row r="4887" spans="1:8" x14ac:dyDescent="0.25">
      <c r="A4887" t="s">
        <v>4893</v>
      </c>
      <c r="B4887">
        <v>7771</v>
      </c>
      <c r="C4887">
        <v>7896007830763</v>
      </c>
      <c r="D4887">
        <v>16.899999999999999</v>
      </c>
      <c r="E4887">
        <v>11.04</v>
      </c>
      <c r="F4887" s="3">
        <v>0.28989999999999999</v>
      </c>
      <c r="G4887">
        <v>9.2545000000000002</v>
      </c>
      <c r="H4887">
        <v>7.5330000000000004</v>
      </c>
    </row>
    <row r="4888" spans="1:8" x14ac:dyDescent="0.25">
      <c r="A4888" t="s">
        <v>4894</v>
      </c>
      <c r="B4888">
        <v>7774</v>
      </c>
      <c r="C4888">
        <v>7897600306006</v>
      </c>
      <c r="D4888">
        <v>21.9</v>
      </c>
      <c r="E4888">
        <v>14.03</v>
      </c>
      <c r="F4888" s="3">
        <v>0.29920000000000002</v>
      </c>
      <c r="G4888">
        <v>11.7888</v>
      </c>
      <c r="H4888">
        <v>1.7</v>
      </c>
    </row>
    <row r="4889" spans="1:8" x14ac:dyDescent="0.25">
      <c r="A4889" t="s">
        <v>4895</v>
      </c>
      <c r="B4889">
        <v>19761</v>
      </c>
      <c r="C4889">
        <v>7897600305009</v>
      </c>
      <c r="D4889">
        <v>63.9</v>
      </c>
      <c r="E4889">
        <v>47.25</v>
      </c>
      <c r="F4889" s="3">
        <v>0.21820000000000001</v>
      </c>
      <c r="G4889">
        <v>39.574199999999998</v>
      </c>
      <c r="H4889">
        <v>0.433</v>
      </c>
    </row>
    <row r="4890" spans="1:8" x14ac:dyDescent="0.25">
      <c r="A4890" t="s">
        <v>4896</v>
      </c>
      <c r="B4890">
        <v>66213</v>
      </c>
      <c r="C4890">
        <v>7891010877613</v>
      </c>
      <c r="D4890">
        <v>59.9</v>
      </c>
      <c r="E4890">
        <v>41.42</v>
      </c>
      <c r="F4890" s="3">
        <v>0.31140000000000001</v>
      </c>
      <c r="G4890">
        <v>41.2485</v>
      </c>
      <c r="H4890">
        <v>0.23300000000000001</v>
      </c>
    </row>
    <row r="4891" spans="1:8" x14ac:dyDescent="0.25">
      <c r="A4891" t="s">
        <v>4897</v>
      </c>
      <c r="B4891">
        <v>3354</v>
      </c>
      <c r="C4891">
        <v>7896036090626</v>
      </c>
      <c r="D4891">
        <v>16.899999999999999</v>
      </c>
      <c r="E4891">
        <v>13.11</v>
      </c>
      <c r="F4891" s="3">
        <v>0.20569999999999999</v>
      </c>
      <c r="G4891">
        <v>13.424300000000001</v>
      </c>
      <c r="H4891">
        <v>13.367000000000001</v>
      </c>
    </row>
    <row r="4892" spans="1:8" x14ac:dyDescent="0.25">
      <c r="A4892" t="s">
        <v>4898</v>
      </c>
      <c r="B4892">
        <v>9368</v>
      </c>
      <c r="C4892">
        <v>7896036090602</v>
      </c>
      <c r="D4892">
        <v>15.9</v>
      </c>
      <c r="E4892">
        <v>12.97</v>
      </c>
      <c r="F4892" s="3">
        <v>0.184</v>
      </c>
      <c r="G4892">
        <v>12.9747</v>
      </c>
      <c r="H4892">
        <v>17.899999999999999</v>
      </c>
    </row>
    <row r="4893" spans="1:8" x14ac:dyDescent="0.25">
      <c r="A4893" t="s">
        <v>4899</v>
      </c>
      <c r="B4893">
        <v>3308</v>
      </c>
      <c r="C4893">
        <v>7896036090619</v>
      </c>
      <c r="D4893">
        <v>16.899999999999999</v>
      </c>
      <c r="E4893">
        <v>13.1</v>
      </c>
      <c r="F4893" s="3">
        <v>0.2036</v>
      </c>
      <c r="G4893">
        <v>11.8957</v>
      </c>
      <c r="H4893">
        <v>14.733000000000001</v>
      </c>
    </row>
    <row r="4894" spans="1:8" x14ac:dyDescent="0.25">
      <c r="A4894" t="s">
        <v>4900</v>
      </c>
      <c r="B4894">
        <v>3317</v>
      </c>
      <c r="C4894">
        <v>7896036090244</v>
      </c>
      <c r="D4894">
        <v>7.57</v>
      </c>
      <c r="E4894">
        <v>7.39</v>
      </c>
      <c r="F4894" s="3">
        <v>3.6400000000000002E-2</v>
      </c>
      <c r="G4894">
        <v>7.2976000000000001</v>
      </c>
      <c r="H4894">
        <v>198.1</v>
      </c>
    </row>
    <row r="4895" spans="1:8" x14ac:dyDescent="0.25">
      <c r="A4895" t="s">
        <v>4901</v>
      </c>
      <c r="B4895">
        <v>68850</v>
      </c>
      <c r="C4895">
        <v>5601252120680</v>
      </c>
      <c r="D4895">
        <v>25.9</v>
      </c>
      <c r="E4895">
        <v>24.66</v>
      </c>
      <c r="F4895" s="3">
        <v>2.4199999999999999E-2</v>
      </c>
      <c r="G4895">
        <v>22.8779</v>
      </c>
      <c r="H4895">
        <v>3.0329999999999999</v>
      </c>
    </row>
    <row r="4896" spans="1:8" x14ac:dyDescent="0.25">
      <c r="A4896" t="s">
        <v>4902</v>
      </c>
      <c r="B4896">
        <v>33300</v>
      </c>
      <c r="C4896">
        <v>7891107101621</v>
      </c>
      <c r="D4896">
        <v>7.99</v>
      </c>
      <c r="E4896">
        <v>7.58</v>
      </c>
      <c r="F4896" s="3">
        <v>4.8499999999999995E-2</v>
      </c>
      <c r="G4896">
        <v>7.6024000000000003</v>
      </c>
      <c r="H4896">
        <v>167.2</v>
      </c>
    </row>
    <row r="4897" spans="1:8" x14ac:dyDescent="0.25">
      <c r="A4897" t="s">
        <v>4903</v>
      </c>
      <c r="B4897">
        <v>63787</v>
      </c>
      <c r="C4897">
        <v>7891080150449</v>
      </c>
      <c r="D4897">
        <v>16.899999999999999</v>
      </c>
      <c r="E4897">
        <v>12.31</v>
      </c>
      <c r="F4897" s="3">
        <v>0.26979999999999998</v>
      </c>
      <c r="G4897">
        <v>12.3407</v>
      </c>
      <c r="H4897">
        <v>10.032999999999999</v>
      </c>
    </row>
    <row r="4898" spans="1:8" x14ac:dyDescent="0.25">
      <c r="A4898" t="s">
        <v>4904</v>
      </c>
      <c r="B4898">
        <v>63786</v>
      </c>
      <c r="C4898">
        <v>7891080150463</v>
      </c>
      <c r="D4898">
        <v>15.9</v>
      </c>
      <c r="E4898">
        <v>9.9499999999999993</v>
      </c>
      <c r="F4898" s="3">
        <v>0.37619999999999998</v>
      </c>
      <c r="G4898">
        <v>9.9189000000000007</v>
      </c>
      <c r="H4898">
        <v>8.8330000000000002</v>
      </c>
    </row>
    <row r="4899" spans="1:8" x14ac:dyDescent="0.25">
      <c r="A4899" t="s">
        <v>4905</v>
      </c>
      <c r="B4899">
        <v>63788</v>
      </c>
      <c r="C4899">
        <v>7891080150456</v>
      </c>
      <c r="D4899">
        <v>16.899999999999999</v>
      </c>
      <c r="E4899">
        <v>12.81</v>
      </c>
      <c r="F4899" s="3">
        <v>0.21820000000000001</v>
      </c>
      <c r="G4899">
        <v>11.6495</v>
      </c>
      <c r="H4899">
        <v>10.8</v>
      </c>
    </row>
    <row r="4900" spans="1:8" x14ac:dyDescent="0.25">
      <c r="A4900" t="s">
        <v>4906</v>
      </c>
      <c r="B4900">
        <v>66643</v>
      </c>
      <c r="C4900">
        <v>7898453460792</v>
      </c>
      <c r="D4900">
        <v>15.9</v>
      </c>
      <c r="E4900">
        <v>9.9700000000000006</v>
      </c>
      <c r="F4900" s="3">
        <v>0.33850000000000002</v>
      </c>
      <c r="G4900">
        <v>9.0475999999999992</v>
      </c>
      <c r="H4900">
        <v>0.33300000000000002</v>
      </c>
    </row>
    <row r="4901" spans="1:8" x14ac:dyDescent="0.25">
      <c r="A4901" t="s">
        <v>4907</v>
      </c>
      <c r="B4901">
        <v>63760</v>
      </c>
      <c r="C4901">
        <v>7898635644132</v>
      </c>
      <c r="D4901">
        <v>14.9</v>
      </c>
      <c r="E4901">
        <v>7.46</v>
      </c>
      <c r="F4901" s="3">
        <v>0.36329999999999996</v>
      </c>
      <c r="G4901">
        <v>5.4268999999999998</v>
      </c>
      <c r="H4901">
        <v>1.2330000000000001</v>
      </c>
    </row>
    <row r="4902" spans="1:8" x14ac:dyDescent="0.25">
      <c r="A4902" t="s">
        <v>4908</v>
      </c>
      <c r="B4902">
        <v>26242</v>
      </c>
      <c r="C4902">
        <v>7898629611591</v>
      </c>
      <c r="D4902">
        <v>5.49</v>
      </c>
      <c r="E4902">
        <v>1.92</v>
      </c>
      <c r="F4902" s="3">
        <v>0.59020000000000006</v>
      </c>
      <c r="G4902">
        <v>1.7421</v>
      </c>
      <c r="H4902">
        <v>36.366999999999997</v>
      </c>
    </row>
    <row r="4903" spans="1:8" x14ac:dyDescent="0.25">
      <c r="A4903" t="s">
        <v>4909</v>
      </c>
      <c r="B4903">
        <v>4803</v>
      </c>
      <c r="C4903">
        <v>7891095154067</v>
      </c>
      <c r="D4903">
        <v>5.49</v>
      </c>
      <c r="E4903">
        <v>2.42</v>
      </c>
      <c r="F4903" s="3">
        <v>0.40450000000000003</v>
      </c>
      <c r="G4903">
        <v>1.7730999999999999</v>
      </c>
      <c r="H4903">
        <v>30.7</v>
      </c>
    </row>
    <row r="4904" spans="1:8" x14ac:dyDescent="0.25">
      <c r="A4904" t="s">
        <v>4910</v>
      </c>
      <c r="B4904">
        <v>17748</v>
      </c>
      <c r="C4904">
        <v>7891008490503</v>
      </c>
      <c r="D4904">
        <v>58.9</v>
      </c>
      <c r="E4904">
        <v>44.96</v>
      </c>
      <c r="F4904" s="3">
        <v>0.17219999999999999</v>
      </c>
      <c r="G4904">
        <v>32.71</v>
      </c>
      <c r="H4904">
        <v>0.86699999999999999</v>
      </c>
    </row>
    <row r="4905" spans="1:8" x14ac:dyDescent="0.25">
      <c r="A4905" t="s">
        <v>4911</v>
      </c>
      <c r="B4905">
        <v>69453</v>
      </c>
      <c r="C4905">
        <v>7898334666978</v>
      </c>
      <c r="D4905">
        <v>19.899999999999999</v>
      </c>
      <c r="E4905">
        <v>13.2</v>
      </c>
      <c r="F4905" s="3">
        <v>0.245</v>
      </c>
      <c r="G4905">
        <v>9.6019000000000005</v>
      </c>
      <c r="H4905">
        <v>0.36499999999999999</v>
      </c>
    </row>
    <row r="4906" spans="1:8" x14ac:dyDescent="0.25">
      <c r="A4906" t="s">
        <v>4912</v>
      </c>
      <c r="B4906">
        <v>69454</v>
      </c>
      <c r="C4906">
        <v>7898334660143</v>
      </c>
      <c r="D4906">
        <v>26.9</v>
      </c>
      <c r="E4906">
        <v>18</v>
      </c>
      <c r="F4906" s="3">
        <v>0.2407</v>
      </c>
      <c r="G4906">
        <v>13.0938</v>
      </c>
      <c r="H4906">
        <v>1.5189999999999999</v>
      </c>
    </row>
    <row r="4907" spans="1:8" x14ac:dyDescent="0.25">
      <c r="A4907" t="s">
        <v>4913</v>
      </c>
      <c r="B4907">
        <v>69458</v>
      </c>
      <c r="C4907">
        <v>7898334667326</v>
      </c>
      <c r="D4907">
        <v>34.9</v>
      </c>
      <c r="E4907">
        <v>25.2</v>
      </c>
      <c r="F4907" s="3">
        <v>0.20219999999999999</v>
      </c>
      <c r="G4907">
        <v>18.331700000000001</v>
      </c>
      <c r="H4907">
        <v>0.245</v>
      </c>
    </row>
    <row r="4908" spans="1:8" x14ac:dyDescent="0.25">
      <c r="A4908" t="s">
        <v>4914</v>
      </c>
      <c r="B4908">
        <v>69455</v>
      </c>
      <c r="C4908">
        <v>7898334660150</v>
      </c>
      <c r="D4908">
        <v>49.9</v>
      </c>
      <c r="E4908">
        <v>35.159999999999997</v>
      </c>
      <c r="F4908" s="3">
        <v>0.21489999999999998</v>
      </c>
      <c r="G4908">
        <v>25.576699999999999</v>
      </c>
      <c r="H4908">
        <v>0.08</v>
      </c>
    </row>
    <row r="4909" spans="1:8" x14ac:dyDescent="0.25">
      <c r="A4909" t="s">
        <v>4915</v>
      </c>
      <c r="B4909">
        <v>69459</v>
      </c>
      <c r="C4909">
        <v>7898334667319</v>
      </c>
      <c r="D4909">
        <v>49.9</v>
      </c>
      <c r="E4909">
        <v>37.56</v>
      </c>
      <c r="F4909" s="3">
        <v>0.18</v>
      </c>
      <c r="G4909">
        <v>27.322500000000002</v>
      </c>
      <c r="H4909">
        <v>3.7999999999999999E-2</v>
      </c>
    </row>
    <row r="4910" spans="1:8" x14ac:dyDescent="0.25">
      <c r="A4910" t="s">
        <v>4916</v>
      </c>
      <c r="B4910">
        <v>69461</v>
      </c>
      <c r="C4910">
        <v>7898334662666</v>
      </c>
      <c r="D4910">
        <v>59.9</v>
      </c>
      <c r="E4910">
        <v>43.92</v>
      </c>
      <c r="F4910" s="3">
        <v>0.19409999999999999</v>
      </c>
      <c r="G4910">
        <v>31.948799999999999</v>
      </c>
      <c r="H4910">
        <v>0</v>
      </c>
    </row>
    <row r="4911" spans="1:8" x14ac:dyDescent="0.25">
      <c r="A4911" t="s">
        <v>4917</v>
      </c>
      <c r="B4911">
        <v>69464</v>
      </c>
      <c r="C4911">
        <v>7898334661515</v>
      </c>
      <c r="D4911">
        <v>59.9</v>
      </c>
      <c r="E4911">
        <v>45.48</v>
      </c>
      <c r="F4911" s="3">
        <v>0.17519999999999999</v>
      </c>
      <c r="G4911">
        <v>33.083799999999997</v>
      </c>
      <c r="H4911">
        <v>7.6999999999999999E-2</v>
      </c>
    </row>
    <row r="4912" spans="1:8" x14ac:dyDescent="0.25">
      <c r="A4912" t="s">
        <v>4918</v>
      </c>
      <c r="B4912">
        <v>69456</v>
      </c>
      <c r="C4912">
        <v>7898334660310</v>
      </c>
      <c r="D4912">
        <v>79.900000000000006</v>
      </c>
      <c r="E4912">
        <v>63.78</v>
      </c>
      <c r="F4912" s="3">
        <v>0.14679999999999999</v>
      </c>
      <c r="G4912">
        <v>46.396700000000003</v>
      </c>
      <c r="H4912">
        <v>3.7999999999999999E-2</v>
      </c>
    </row>
    <row r="4913" spans="1:8" x14ac:dyDescent="0.25">
      <c r="A4913" t="s">
        <v>4919</v>
      </c>
      <c r="B4913">
        <v>69465</v>
      </c>
      <c r="C4913">
        <v>7898334668828</v>
      </c>
      <c r="D4913">
        <v>89.9</v>
      </c>
      <c r="E4913">
        <v>79.319999999999993</v>
      </c>
      <c r="F4913" s="3">
        <v>8.5699999999999998E-2</v>
      </c>
      <c r="G4913">
        <v>57.701700000000002</v>
      </c>
      <c r="H4913">
        <v>4.2000000000000003E-2</v>
      </c>
    </row>
    <row r="4914" spans="1:8" x14ac:dyDescent="0.25">
      <c r="A4914" t="s">
        <v>4920</v>
      </c>
      <c r="B4914">
        <v>61654</v>
      </c>
      <c r="C4914">
        <v>7890130400725</v>
      </c>
      <c r="D4914">
        <v>84.65</v>
      </c>
      <c r="E4914">
        <v>58.65</v>
      </c>
      <c r="F4914" s="3">
        <v>0.22339999999999999</v>
      </c>
      <c r="G4914">
        <v>42.670299999999997</v>
      </c>
      <c r="H4914">
        <v>2.54</v>
      </c>
    </row>
    <row r="4915" spans="1:8" x14ac:dyDescent="0.25">
      <c r="A4915" t="s">
        <v>4921</v>
      </c>
      <c r="B4915">
        <v>66575</v>
      </c>
      <c r="C4915">
        <v>7899516208993</v>
      </c>
      <c r="D4915">
        <v>34.9</v>
      </c>
      <c r="E4915">
        <v>24.33</v>
      </c>
      <c r="F4915" s="3">
        <v>0.22030000000000002</v>
      </c>
      <c r="G4915">
        <v>17.701000000000001</v>
      </c>
      <c r="H4915">
        <v>1.972</v>
      </c>
    </row>
    <row r="4916" spans="1:8" x14ac:dyDescent="0.25">
      <c r="A4916" t="s">
        <v>4922</v>
      </c>
      <c r="B4916">
        <v>69356</v>
      </c>
      <c r="C4916">
        <v>7899516209655</v>
      </c>
      <c r="D4916">
        <v>34.9</v>
      </c>
      <c r="E4916">
        <v>24.33</v>
      </c>
      <c r="F4916" s="3">
        <v>0.22030000000000002</v>
      </c>
      <c r="G4916">
        <v>17.7012</v>
      </c>
      <c r="H4916">
        <v>0.188</v>
      </c>
    </row>
    <row r="4917" spans="1:8" x14ac:dyDescent="0.25">
      <c r="A4917" t="s">
        <v>4923</v>
      </c>
      <c r="B4917">
        <v>66577</v>
      </c>
      <c r="C4917">
        <v>7899516209013</v>
      </c>
      <c r="D4917">
        <v>59.9</v>
      </c>
      <c r="E4917">
        <v>51.99</v>
      </c>
      <c r="F4917" s="3">
        <v>9.6000000000000002E-2</v>
      </c>
      <c r="G4917">
        <v>37.825000000000003</v>
      </c>
      <c r="H4917">
        <v>0.36699999999999999</v>
      </c>
    </row>
    <row r="4918" spans="1:8" x14ac:dyDescent="0.25">
      <c r="A4918" t="s">
        <v>4924</v>
      </c>
      <c r="B4918">
        <v>69357</v>
      </c>
      <c r="C4918">
        <v>7899516210217</v>
      </c>
      <c r="D4918">
        <v>54.9</v>
      </c>
      <c r="E4918">
        <v>40.93</v>
      </c>
      <c r="F4918" s="3">
        <v>0.1852</v>
      </c>
      <c r="G4918">
        <v>29.774100000000001</v>
      </c>
      <c r="H4918">
        <v>0.27400000000000002</v>
      </c>
    </row>
    <row r="4919" spans="1:8" x14ac:dyDescent="0.25">
      <c r="A4919" t="s">
        <v>4925</v>
      </c>
      <c r="B4919">
        <v>66578</v>
      </c>
      <c r="C4919">
        <v>7899516210194</v>
      </c>
      <c r="D4919">
        <v>54.9</v>
      </c>
      <c r="E4919">
        <v>40.93</v>
      </c>
      <c r="F4919" s="3">
        <v>0.18510000000000001</v>
      </c>
      <c r="G4919">
        <v>29.776</v>
      </c>
      <c r="H4919">
        <v>2.754</v>
      </c>
    </row>
    <row r="4920" spans="1:8" x14ac:dyDescent="0.25">
      <c r="A4920" t="s">
        <v>4926</v>
      </c>
      <c r="B4920">
        <v>66579</v>
      </c>
      <c r="C4920">
        <v>7899516210200</v>
      </c>
      <c r="D4920">
        <v>54.9</v>
      </c>
      <c r="E4920">
        <v>40.93</v>
      </c>
      <c r="F4920" s="3">
        <v>0.1852</v>
      </c>
      <c r="G4920">
        <v>29.774000000000001</v>
      </c>
      <c r="H4920">
        <v>1.4690000000000001</v>
      </c>
    </row>
    <row r="4921" spans="1:8" x14ac:dyDescent="0.25">
      <c r="A4921" t="s">
        <v>4927</v>
      </c>
      <c r="B4921">
        <v>69360</v>
      </c>
      <c r="C4921">
        <v>7899516210262</v>
      </c>
      <c r="D4921">
        <v>59.9</v>
      </c>
      <c r="E4921">
        <v>45.35</v>
      </c>
      <c r="F4921" s="3">
        <v>0.17670000000000002</v>
      </c>
      <c r="G4921">
        <v>32.993899999999996</v>
      </c>
      <c r="H4921">
        <v>0</v>
      </c>
    </row>
    <row r="4922" spans="1:8" x14ac:dyDescent="0.25">
      <c r="A4922" t="s">
        <v>4928</v>
      </c>
      <c r="B4922">
        <v>66581</v>
      </c>
      <c r="C4922">
        <v>7899516210279</v>
      </c>
      <c r="D4922">
        <v>59.9</v>
      </c>
      <c r="E4922">
        <v>45.35</v>
      </c>
      <c r="F4922" s="3">
        <v>0.17670000000000002</v>
      </c>
      <c r="G4922">
        <v>32.993600000000001</v>
      </c>
      <c r="H4922">
        <v>1.796</v>
      </c>
    </row>
    <row r="4923" spans="1:8" x14ac:dyDescent="0.25">
      <c r="A4923" t="s">
        <v>4929</v>
      </c>
      <c r="B4923">
        <v>69359</v>
      </c>
      <c r="C4923">
        <v>7899516210255</v>
      </c>
      <c r="D4923">
        <v>59.9</v>
      </c>
      <c r="E4923">
        <v>45.35</v>
      </c>
      <c r="F4923" s="3">
        <v>0.17670000000000002</v>
      </c>
      <c r="G4923">
        <v>32.993899999999996</v>
      </c>
      <c r="H4923">
        <v>0</v>
      </c>
    </row>
    <row r="4924" spans="1:8" x14ac:dyDescent="0.25">
      <c r="A4924" t="s">
        <v>4930</v>
      </c>
      <c r="B4924">
        <v>69358</v>
      </c>
      <c r="C4924">
        <v>7899516210248</v>
      </c>
      <c r="D4924">
        <v>59.9</v>
      </c>
      <c r="E4924">
        <v>45.35</v>
      </c>
      <c r="F4924" s="3">
        <v>0.17670000000000002</v>
      </c>
      <c r="G4924">
        <v>32.993899999999996</v>
      </c>
      <c r="H4924">
        <v>0</v>
      </c>
    </row>
    <row r="4925" spans="1:8" x14ac:dyDescent="0.25">
      <c r="A4925" t="s">
        <v>4931</v>
      </c>
      <c r="B4925">
        <v>47519</v>
      </c>
      <c r="C4925">
        <v>7898024397212</v>
      </c>
      <c r="D4925">
        <v>106.9</v>
      </c>
      <c r="E4925">
        <v>66.599999999999994</v>
      </c>
      <c r="F4925" s="3">
        <v>0.27429999999999999</v>
      </c>
      <c r="G4925">
        <v>48.448700000000002</v>
      </c>
      <c r="H4925">
        <v>1.9</v>
      </c>
    </row>
    <row r="4926" spans="1:8" x14ac:dyDescent="0.25">
      <c r="A4926" t="s">
        <v>4932</v>
      </c>
      <c r="B4926">
        <v>47518</v>
      </c>
      <c r="C4926">
        <v>7898024397229</v>
      </c>
      <c r="D4926">
        <v>128.9</v>
      </c>
      <c r="E4926">
        <v>85.32</v>
      </c>
      <c r="F4926" s="3">
        <v>0.24600000000000002</v>
      </c>
      <c r="G4926">
        <v>62.068800000000003</v>
      </c>
      <c r="H4926">
        <v>1.367</v>
      </c>
    </row>
    <row r="4927" spans="1:8" x14ac:dyDescent="0.25">
      <c r="A4927" t="s">
        <v>4933</v>
      </c>
      <c r="B4927">
        <v>61593</v>
      </c>
      <c r="C4927">
        <v>7898024398448</v>
      </c>
      <c r="D4927">
        <v>64.900000000000006</v>
      </c>
      <c r="E4927">
        <v>42.37</v>
      </c>
      <c r="F4927" s="3">
        <v>0.25259999999999999</v>
      </c>
      <c r="G4927">
        <v>30.823499999999999</v>
      </c>
      <c r="H4927">
        <v>1.2669999999999999</v>
      </c>
    </row>
    <row r="4928" spans="1:8" x14ac:dyDescent="0.25">
      <c r="A4928" t="s">
        <v>4934</v>
      </c>
      <c r="B4928">
        <v>66290</v>
      </c>
      <c r="C4928">
        <v>7898024398899</v>
      </c>
      <c r="D4928">
        <v>64.900000000000006</v>
      </c>
      <c r="E4928">
        <v>42.37</v>
      </c>
      <c r="F4928" s="3">
        <v>0.25259999999999999</v>
      </c>
      <c r="G4928">
        <v>30.823599999999999</v>
      </c>
      <c r="H4928">
        <v>1.1000000000000001</v>
      </c>
    </row>
    <row r="4929" spans="1:8" x14ac:dyDescent="0.25">
      <c r="A4929" t="s">
        <v>4935</v>
      </c>
      <c r="B4929">
        <v>47520</v>
      </c>
      <c r="C4929">
        <v>7898024397199</v>
      </c>
      <c r="D4929">
        <v>106.9</v>
      </c>
      <c r="E4929">
        <v>66.599999999999994</v>
      </c>
      <c r="F4929" s="3">
        <v>0.27429999999999999</v>
      </c>
      <c r="G4929">
        <v>48.448700000000002</v>
      </c>
      <c r="H4929">
        <v>3.7330000000000001</v>
      </c>
    </row>
    <row r="4930" spans="1:8" x14ac:dyDescent="0.25">
      <c r="A4930" t="s">
        <v>4936</v>
      </c>
      <c r="B4930">
        <v>47521</v>
      </c>
      <c r="C4930">
        <v>7898024397205</v>
      </c>
      <c r="D4930">
        <v>128.9</v>
      </c>
      <c r="E4930">
        <v>85.32</v>
      </c>
      <c r="F4930" s="3">
        <v>0.24600000000000002</v>
      </c>
      <c r="G4930">
        <v>62.068899999999999</v>
      </c>
      <c r="H4930">
        <v>2.5670000000000002</v>
      </c>
    </row>
    <row r="4931" spans="1:8" x14ac:dyDescent="0.25">
      <c r="A4931" t="s">
        <v>4937</v>
      </c>
      <c r="B4931">
        <v>66355</v>
      </c>
      <c r="C4931">
        <v>7891000394519</v>
      </c>
      <c r="D4931">
        <v>64.900000000000006</v>
      </c>
      <c r="E4931">
        <v>37.47</v>
      </c>
      <c r="F4931" s="3">
        <v>0.3075</v>
      </c>
      <c r="G4931">
        <v>27.257300000000001</v>
      </c>
      <c r="H4931">
        <v>2.2069999999999999</v>
      </c>
    </row>
    <row r="4932" spans="1:8" x14ac:dyDescent="0.25">
      <c r="A4932" t="s">
        <v>4938</v>
      </c>
      <c r="B4932">
        <v>17751</v>
      </c>
      <c r="C4932">
        <v>7891008746303</v>
      </c>
      <c r="D4932">
        <v>54.9</v>
      </c>
      <c r="E4932">
        <v>37.47</v>
      </c>
      <c r="F4932" s="3">
        <v>0.23100000000000001</v>
      </c>
      <c r="G4932">
        <v>27.257200000000001</v>
      </c>
      <c r="H4932">
        <v>0.5</v>
      </c>
    </row>
    <row r="4933" spans="1:8" x14ac:dyDescent="0.25">
      <c r="A4933" t="s">
        <v>4939</v>
      </c>
      <c r="B4933">
        <v>66356</v>
      </c>
      <c r="C4933">
        <v>7891000393130</v>
      </c>
      <c r="D4933">
        <v>54.9</v>
      </c>
      <c r="E4933">
        <v>37.47</v>
      </c>
      <c r="F4933" s="3">
        <v>0.23100000000000001</v>
      </c>
      <c r="G4933">
        <v>27.257300000000001</v>
      </c>
      <c r="H4933">
        <v>0.2</v>
      </c>
    </row>
    <row r="4934" spans="1:8" x14ac:dyDescent="0.25">
      <c r="A4934" t="s">
        <v>4940</v>
      </c>
      <c r="B4934">
        <v>69188</v>
      </c>
      <c r="C4934">
        <v>7891000408513</v>
      </c>
      <c r="D4934">
        <v>54.9</v>
      </c>
      <c r="E4934">
        <v>37.47</v>
      </c>
      <c r="F4934" s="3">
        <v>0.23100000000000001</v>
      </c>
      <c r="G4934">
        <v>27.257300000000001</v>
      </c>
      <c r="H4934">
        <v>0.60199999999999998</v>
      </c>
    </row>
    <row r="4935" spans="1:8" x14ac:dyDescent="0.25">
      <c r="A4935" t="s">
        <v>4941</v>
      </c>
      <c r="B4935">
        <v>17742</v>
      </c>
      <c r="C4935">
        <v>7891008181647</v>
      </c>
      <c r="D4935">
        <v>69.900000000000006</v>
      </c>
      <c r="E4935">
        <v>52.46</v>
      </c>
      <c r="F4935" s="3">
        <v>0.18160000000000001</v>
      </c>
      <c r="G4935">
        <v>38.161299999999997</v>
      </c>
      <c r="H4935">
        <v>0.66700000000000004</v>
      </c>
    </row>
    <row r="4936" spans="1:8" x14ac:dyDescent="0.25">
      <c r="A4936" t="s">
        <v>4942</v>
      </c>
      <c r="B4936">
        <v>17749</v>
      </c>
      <c r="C4936">
        <v>7891008183146</v>
      </c>
      <c r="D4936">
        <v>69.900000000000006</v>
      </c>
      <c r="E4936">
        <v>52.46</v>
      </c>
      <c r="F4936" s="3">
        <v>0.18160000000000001</v>
      </c>
      <c r="G4936">
        <v>38.1614</v>
      </c>
      <c r="H4936">
        <v>0.36699999999999999</v>
      </c>
    </row>
    <row r="4937" spans="1:8" x14ac:dyDescent="0.25">
      <c r="A4937" t="s">
        <v>4943</v>
      </c>
      <c r="B4937">
        <v>56851</v>
      </c>
      <c r="C4937">
        <v>7891008183207</v>
      </c>
      <c r="D4937">
        <v>69.900000000000006</v>
      </c>
      <c r="E4937">
        <v>52.46</v>
      </c>
      <c r="F4937" s="3">
        <v>0.18149999999999999</v>
      </c>
      <c r="G4937">
        <v>38.161999999999999</v>
      </c>
      <c r="H4937">
        <v>3.3000000000000002E-2</v>
      </c>
    </row>
    <row r="4938" spans="1:8" x14ac:dyDescent="0.25">
      <c r="A4938" t="s">
        <v>4944</v>
      </c>
      <c r="B4938">
        <v>47496</v>
      </c>
      <c r="C4938">
        <v>7898024397076</v>
      </c>
      <c r="D4938">
        <v>78.900000000000006</v>
      </c>
      <c r="E4938">
        <v>50.43</v>
      </c>
      <c r="F4938" s="3">
        <v>0.26250000000000001</v>
      </c>
      <c r="G4938">
        <v>36.689900000000002</v>
      </c>
      <c r="H4938">
        <v>3.4329999999999998</v>
      </c>
    </row>
    <row r="4939" spans="1:8" x14ac:dyDescent="0.25">
      <c r="A4939" t="s">
        <v>4945</v>
      </c>
      <c r="B4939">
        <v>27104</v>
      </c>
      <c r="C4939">
        <v>7898024396673</v>
      </c>
      <c r="D4939">
        <v>78.900000000000006</v>
      </c>
      <c r="E4939">
        <v>50.43</v>
      </c>
      <c r="F4939" s="3">
        <v>0.26250000000000001</v>
      </c>
      <c r="G4939">
        <v>36.69</v>
      </c>
      <c r="H4939">
        <v>3.1</v>
      </c>
    </row>
    <row r="4940" spans="1:8" x14ac:dyDescent="0.25">
      <c r="A4940" t="s">
        <v>4946</v>
      </c>
      <c r="B4940">
        <v>17909</v>
      </c>
      <c r="C4940">
        <v>8000500020012</v>
      </c>
      <c r="D4940">
        <v>96.9</v>
      </c>
      <c r="E4940">
        <v>61.46</v>
      </c>
      <c r="F4940" s="3">
        <v>0.2661</v>
      </c>
      <c r="G4940">
        <v>44.711300000000001</v>
      </c>
      <c r="H4940">
        <v>7.5670000000000002</v>
      </c>
    </row>
    <row r="4941" spans="1:8" x14ac:dyDescent="0.25">
      <c r="A4941" t="s">
        <v>4947</v>
      </c>
      <c r="B4941">
        <v>17908</v>
      </c>
      <c r="C4941">
        <v>7898024395706</v>
      </c>
      <c r="D4941">
        <v>96.9</v>
      </c>
      <c r="E4941">
        <v>61.46</v>
      </c>
      <c r="F4941" s="3">
        <v>0.2661</v>
      </c>
      <c r="G4941">
        <v>44.711300000000001</v>
      </c>
      <c r="H4941">
        <v>10.367000000000001</v>
      </c>
    </row>
    <row r="4942" spans="1:8" x14ac:dyDescent="0.25">
      <c r="A4942" t="s">
        <v>4948</v>
      </c>
      <c r="B4942">
        <v>27101</v>
      </c>
      <c r="C4942">
        <v>7898024396567</v>
      </c>
      <c r="D4942">
        <v>96.9</v>
      </c>
      <c r="E4942">
        <v>61.46</v>
      </c>
      <c r="F4942" s="3">
        <v>0.2661</v>
      </c>
      <c r="G4942">
        <v>44.711300000000001</v>
      </c>
      <c r="H4942">
        <v>6.2</v>
      </c>
    </row>
    <row r="4943" spans="1:8" x14ac:dyDescent="0.25">
      <c r="A4943" t="s">
        <v>4949</v>
      </c>
      <c r="B4943">
        <v>56842</v>
      </c>
      <c r="C4943">
        <v>7891000277249</v>
      </c>
      <c r="D4943">
        <v>69.900000000000006</v>
      </c>
      <c r="E4943">
        <v>52.46</v>
      </c>
      <c r="F4943" s="3">
        <v>0.18149999999999999</v>
      </c>
      <c r="G4943">
        <v>38.162300000000002</v>
      </c>
      <c r="H4943">
        <v>1.9670000000000001</v>
      </c>
    </row>
    <row r="4944" spans="1:8" x14ac:dyDescent="0.25">
      <c r="A4944" t="s">
        <v>4950</v>
      </c>
      <c r="B4944">
        <v>66353</v>
      </c>
      <c r="C4944">
        <v>7891000393161</v>
      </c>
      <c r="D4944">
        <v>69.900000000000006</v>
      </c>
      <c r="E4944">
        <v>52.46</v>
      </c>
      <c r="F4944" s="3">
        <v>0.18160000000000001</v>
      </c>
      <c r="G4944">
        <v>38.161900000000003</v>
      </c>
      <c r="H4944">
        <v>0.66900000000000004</v>
      </c>
    </row>
    <row r="4945" spans="1:8" x14ac:dyDescent="0.25">
      <c r="A4945" t="s">
        <v>4951</v>
      </c>
      <c r="B4945">
        <v>66318</v>
      </c>
      <c r="C4945">
        <v>7908492700725</v>
      </c>
      <c r="D4945">
        <v>84.9</v>
      </c>
      <c r="E4945">
        <v>58.65</v>
      </c>
      <c r="F4945" s="3">
        <v>0.22489999999999999</v>
      </c>
      <c r="G4945">
        <v>42.671199999999999</v>
      </c>
      <c r="H4945">
        <v>1.8</v>
      </c>
    </row>
    <row r="4946" spans="1:8" x14ac:dyDescent="0.25">
      <c r="A4946" t="s">
        <v>4952</v>
      </c>
      <c r="B4946">
        <v>61655</v>
      </c>
      <c r="C4946">
        <v>7890130401173</v>
      </c>
      <c r="D4946">
        <v>109.9</v>
      </c>
      <c r="E4946">
        <v>78.2</v>
      </c>
      <c r="F4946" s="3">
        <v>0.20989999999999998</v>
      </c>
      <c r="G4946">
        <v>56.889699999999998</v>
      </c>
      <c r="H4946">
        <v>1.214</v>
      </c>
    </row>
    <row r="4947" spans="1:8" x14ac:dyDescent="0.25">
      <c r="A4947" t="s">
        <v>4953</v>
      </c>
      <c r="B4947">
        <v>61656</v>
      </c>
      <c r="C4947">
        <v>7890130401180</v>
      </c>
      <c r="D4947">
        <v>109.9</v>
      </c>
      <c r="E4947">
        <v>78.2</v>
      </c>
      <c r="F4947" s="3">
        <v>0.20980000000000001</v>
      </c>
      <c r="G4947">
        <v>56.889800000000001</v>
      </c>
      <c r="H4947">
        <v>0.80700000000000005</v>
      </c>
    </row>
    <row r="4948" spans="1:8" x14ac:dyDescent="0.25">
      <c r="A4948" t="s">
        <v>4954</v>
      </c>
      <c r="B4948">
        <v>66783</v>
      </c>
      <c r="C4948">
        <v>7898972272050</v>
      </c>
      <c r="D4948">
        <v>159.9</v>
      </c>
      <c r="E4948">
        <v>148.44</v>
      </c>
      <c r="F4948" s="3">
        <v>5.21E-2</v>
      </c>
      <c r="G4948">
        <v>107.9933</v>
      </c>
      <c r="H4948">
        <v>0</v>
      </c>
    </row>
    <row r="4949" spans="1:8" x14ac:dyDescent="0.25">
      <c r="A4949" t="s">
        <v>4955</v>
      </c>
      <c r="B4949">
        <v>66785</v>
      </c>
      <c r="D4949">
        <v>159.9</v>
      </c>
      <c r="E4949">
        <v>138.46</v>
      </c>
      <c r="F4949" s="3">
        <v>9.7500000000000003E-2</v>
      </c>
      <c r="G4949">
        <v>100.7317</v>
      </c>
      <c r="H4949">
        <v>0</v>
      </c>
    </row>
    <row r="4950" spans="1:8" x14ac:dyDescent="0.25">
      <c r="A4950" t="s">
        <v>4956</v>
      </c>
      <c r="B4950">
        <v>66784</v>
      </c>
      <c r="C4950">
        <v>7898972272067</v>
      </c>
      <c r="D4950">
        <v>189.9</v>
      </c>
      <c r="E4950">
        <v>183.37</v>
      </c>
      <c r="F4950" s="3">
        <v>2.5000000000000001E-2</v>
      </c>
      <c r="G4950">
        <v>133.4033</v>
      </c>
      <c r="H4950">
        <v>0</v>
      </c>
    </row>
    <row r="4951" spans="1:8" x14ac:dyDescent="0.25">
      <c r="A4951" t="s">
        <v>4957</v>
      </c>
      <c r="B4951">
        <v>69707</v>
      </c>
      <c r="C4951">
        <v>7898606181543</v>
      </c>
      <c r="D4951">
        <v>42.9</v>
      </c>
      <c r="E4951">
        <v>33.01</v>
      </c>
      <c r="F4951" s="3">
        <v>0.20910000000000001</v>
      </c>
      <c r="G4951">
        <v>29.96</v>
      </c>
      <c r="H4951">
        <v>0.33300000000000002</v>
      </c>
    </row>
    <row r="4952" spans="1:8" x14ac:dyDescent="0.25">
      <c r="A4952" t="s">
        <v>4958</v>
      </c>
      <c r="B4952">
        <v>69336</v>
      </c>
      <c r="C4952">
        <v>7622201792077</v>
      </c>
      <c r="D4952">
        <v>59.99</v>
      </c>
      <c r="E4952">
        <v>40.51</v>
      </c>
      <c r="F4952" s="3">
        <v>0.23629999999999998</v>
      </c>
      <c r="G4952">
        <v>29.468</v>
      </c>
      <c r="H4952">
        <v>1.524</v>
      </c>
    </row>
    <row r="4953" spans="1:8" x14ac:dyDescent="0.25">
      <c r="A4953" t="s">
        <v>4959</v>
      </c>
      <c r="B4953">
        <v>69335</v>
      </c>
      <c r="C4953">
        <v>7622201791995</v>
      </c>
      <c r="D4953">
        <v>59.99</v>
      </c>
      <c r="E4953">
        <v>40.51</v>
      </c>
      <c r="F4953" s="3">
        <v>0.23629999999999998</v>
      </c>
      <c r="G4953">
        <v>29.468</v>
      </c>
      <c r="H4953">
        <v>1.1679999999999999</v>
      </c>
    </row>
    <row r="4954" spans="1:8" x14ac:dyDescent="0.25">
      <c r="A4954" t="s">
        <v>4960</v>
      </c>
      <c r="B4954">
        <v>69219</v>
      </c>
      <c r="C4954">
        <v>7622201791964</v>
      </c>
      <c r="D4954">
        <v>59.99</v>
      </c>
      <c r="E4954">
        <v>40.51</v>
      </c>
      <c r="F4954" s="3">
        <v>0.23629999999999998</v>
      </c>
      <c r="G4954">
        <v>29.4681</v>
      </c>
      <c r="H4954">
        <v>1.0669999999999999</v>
      </c>
    </row>
    <row r="4955" spans="1:8" x14ac:dyDescent="0.25">
      <c r="A4955" t="s">
        <v>4961</v>
      </c>
      <c r="B4955">
        <v>69220</v>
      </c>
      <c r="C4955">
        <v>7622201792022</v>
      </c>
      <c r="D4955">
        <v>59.99</v>
      </c>
      <c r="E4955">
        <v>40.51</v>
      </c>
      <c r="F4955" s="3">
        <v>0.23629999999999998</v>
      </c>
      <c r="G4955">
        <v>29.468</v>
      </c>
      <c r="H4955">
        <v>2.46</v>
      </c>
    </row>
    <row r="4956" spans="1:8" x14ac:dyDescent="0.25">
      <c r="A4956" t="s">
        <v>4962</v>
      </c>
      <c r="B4956">
        <v>26821</v>
      </c>
      <c r="C4956">
        <v>7891000390542</v>
      </c>
      <c r="D4956">
        <v>69.900000000000006</v>
      </c>
      <c r="E4956">
        <v>52.46</v>
      </c>
      <c r="F4956" s="3">
        <v>0.18160000000000001</v>
      </c>
      <c r="G4956">
        <v>38.161299999999997</v>
      </c>
      <c r="H4956">
        <v>2.9</v>
      </c>
    </row>
    <row r="4957" spans="1:8" x14ac:dyDescent="0.25">
      <c r="A4957" t="s">
        <v>4963</v>
      </c>
      <c r="B4957">
        <v>17668</v>
      </c>
      <c r="C4957">
        <v>7891000391358</v>
      </c>
      <c r="D4957">
        <v>52.9</v>
      </c>
      <c r="E4957">
        <v>37.47</v>
      </c>
      <c r="F4957" s="3">
        <v>0.2122</v>
      </c>
      <c r="G4957">
        <v>27.257200000000001</v>
      </c>
      <c r="H4957">
        <v>0.76700000000000002</v>
      </c>
    </row>
    <row r="4958" spans="1:8" x14ac:dyDescent="0.25">
      <c r="A4958" t="s">
        <v>4964</v>
      </c>
      <c r="B4958">
        <v>26842</v>
      </c>
      <c r="C4958">
        <v>7891000376683</v>
      </c>
      <c r="D4958">
        <v>54.9</v>
      </c>
      <c r="E4958">
        <v>37.47</v>
      </c>
      <c r="F4958" s="3">
        <v>0.23100000000000001</v>
      </c>
      <c r="G4958">
        <v>27.257200000000001</v>
      </c>
      <c r="H4958">
        <v>0.66900000000000004</v>
      </c>
    </row>
    <row r="4959" spans="1:8" x14ac:dyDescent="0.25">
      <c r="A4959" t="s">
        <v>4965</v>
      </c>
      <c r="B4959">
        <v>26843</v>
      </c>
      <c r="C4959">
        <v>7891000393017</v>
      </c>
      <c r="D4959">
        <v>54.9</v>
      </c>
      <c r="E4959">
        <v>37.47</v>
      </c>
      <c r="F4959" s="3">
        <v>0.23100000000000001</v>
      </c>
      <c r="G4959">
        <v>27.257200000000001</v>
      </c>
      <c r="H4959">
        <v>0.5</v>
      </c>
    </row>
    <row r="4960" spans="1:8" x14ac:dyDescent="0.25">
      <c r="A4960" t="s">
        <v>4966</v>
      </c>
      <c r="B4960">
        <v>34576</v>
      </c>
      <c r="C4960">
        <v>7891000393499</v>
      </c>
      <c r="D4960">
        <v>54.9</v>
      </c>
      <c r="E4960">
        <v>37.47</v>
      </c>
      <c r="F4960" s="3">
        <v>0.23100000000000001</v>
      </c>
      <c r="G4960">
        <v>27.257300000000001</v>
      </c>
      <c r="H4960">
        <v>1.0329999999999999</v>
      </c>
    </row>
    <row r="4961" spans="1:8" x14ac:dyDescent="0.25">
      <c r="A4961" t="s">
        <v>4967</v>
      </c>
      <c r="B4961">
        <v>69418</v>
      </c>
      <c r="C4961">
        <v>8000300419450</v>
      </c>
      <c r="D4961">
        <v>109.9</v>
      </c>
      <c r="E4961">
        <v>95.14</v>
      </c>
      <c r="F4961" s="3">
        <v>9.7699999999999995E-2</v>
      </c>
      <c r="G4961">
        <v>69.211100000000002</v>
      </c>
      <c r="H4961">
        <v>0.111</v>
      </c>
    </row>
    <row r="4962" spans="1:8" x14ac:dyDescent="0.25">
      <c r="A4962" t="s">
        <v>4968</v>
      </c>
      <c r="B4962">
        <v>63628</v>
      </c>
      <c r="C4962">
        <v>7891000376164</v>
      </c>
      <c r="D4962">
        <v>58.9</v>
      </c>
      <c r="E4962">
        <v>44.96</v>
      </c>
      <c r="F4962" s="3">
        <v>0.17219999999999999</v>
      </c>
      <c r="G4962">
        <v>32.709800000000001</v>
      </c>
      <c r="H4962">
        <v>1.667</v>
      </c>
    </row>
    <row r="4963" spans="1:8" x14ac:dyDescent="0.25">
      <c r="A4963" t="s">
        <v>4969</v>
      </c>
      <c r="B4963">
        <v>58778</v>
      </c>
      <c r="C4963">
        <v>7898331012426</v>
      </c>
      <c r="D4963">
        <v>14.9</v>
      </c>
      <c r="E4963">
        <v>9.92</v>
      </c>
      <c r="F4963" s="3">
        <v>0.23280000000000001</v>
      </c>
      <c r="G4963">
        <v>7.3707000000000003</v>
      </c>
      <c r="H4963">
        <v>2.9</v>
      </c>
    </row>
    <row r="4964" spans="1:8" x14ac:dyDescent="0.25">
      <c r="A4964" t="s">
        <v>4970</v>
      </c>
      <c r="B4964">
        <v>54738</v>
      </c>
      <c r="C4964">
        <v>7897309408421</v>
      </c>
      <c r="D4964">
        <v>5.99</v>
      </c>
      <c r="E4964">
        <v>3.91</v>
      </c>
      <c r="F4964" s="3">
        <v>0.24859999999999999</v>
      </c>
      <c r="G4964">
        <v>2.8685</v>
      </c>
      <c r="H4964">
        <v>14.3</v>
      </c>
    </row>
    <row r="4965" spans="1:8" x14ac:dyDescent="0.25">
      <c r="A4965" t="s">
        <v>4971</v>
      </c>
      <c r="B4965">
        <v>54737</v>
      </c>
      <c r="C4965">
        <v>7897309408414</v>
      </c>
      <c r="D4965">
        <v>13.9</v>
      </c>
      <c r="E4965">
        <v>9.98</v>
      </c>
      <c r="F4965" s="3">
        <v>0.2054</v>
      </c>
      <c r="G4965">
        <v>7.2568000000000001</v>
      </c>
      <c r="H4965">
        <v>2.2669999999999999</v>
      </c>
    </row>
    <row r="4966" spans="1:8" x14ac:dyDescent="0.25">
      <c r="A4966" t="s">
        <v>4972</v>
      </c>
      <c r="B4966">
        <v>3838</v>
      </c>
      <c r="C4966">
        <v>7891055150726</v>
      </c>
      <c r="D4966">
        <v>13.9</v>
      </c>
      <c r="E4966">
        <v>7.61</v>
      </c>
      <c r="F4966" s="3">
        <v>0.32919999999999999</v>
      </c>
      <c r="G4966">
        <v>5.5358000000000001</v>
      </c>
      <c r="H4966">
        <v>3.3000000000000002E-2</v>
      </c>
    </row>
    <row r="4967" spans="1:8" x14ac:dyDescent="0.25">
      <c r="A4967" t="s">
        <v>4973</v>
      </c>
      <c r="B4967">
        <v>66149</v>
      </c>
      <c r="C4967">
        <v>7896001001503</v>
      </c>
      <c r="D4967">
        <v>23.9</v>
      </c>
      <c r="E4967">
        <v>16.32</v>
      </c>
      <c r="F4967" s="3">
        <v>0.23300000000000001</v>
      </c>
      <c r="G4967">
        <v>11.8193</v>
      </c>
      <c r="H4967">
        <v>1.0669999999999999</v>
      </c>
    </row>
    <row r="4968" spans="1:8" x14ac:dyDescent="0.25">
      <c r="A4968" t="s">
        <v>4974</v>
      </c>
      <c r="B4968">
        <v>66148</v>
      </c>
      <c r="C4968">
        <v>7896001001459</v>
      </c>
      <c r="D4968">
        <v>12.9</v>
      </c>
      <c r="E4968">
        <v>6.85</v>
      </c>
      <c r="F4968" s="3">
        <v>0.34539999999999998</v>
      </c>
      <c r="G4968">
        <v>4.9294000000000002</v>
      </c>
      <c r="H4968">
        <v>0.83299999999999996</v>
      </c>
    </row>
    <row r="4969" spans="1:8" x14ac:dyDescent="0.25">
      <c r="A4969" t="s">
        <v>4975</v>
      </c>
      <c r="B4969">
        <v>64456</v>
      </c>
      <c r="C4969">
        <v>7896261405110</v>
      </c>
      <c r="D4969">
        <v>1.49</v>
      </c>
      <c r="E4969">
        <v>1.17</v>
      </c>
      <c r="F4969" s="3">
        <v>0.18289999999999998</v>
      </c>
      <c r="G4969">
        <v>1.0797000000000001</v>
      </c>
      <c r="H4969">
        <v>34.966999999999999</v>
      </c>
    </row>
    <row r="4970" spans="1:8" x14ac:dyDescent="0.25">
      <c r="A4970" t="s">
        <v>4976</v>
      </c>
      <c r="B4970">
        <v>9995</v>
      </c>
      <c r="C4970">
        <v>7896261401846</v>
      </c>
      <c r="D4970">
        <v>0.79</v>
      </c>
      <c r="E4970">
        <v>0.42</v>
      </c>
      <c r="F4970" s="3">
        <v>0.33340000000000003</v>
      </c>
      <c r="G4970">
        <v>0.31130000000000002</v>
      </c>
      <c r="H4970">
        <v>195.86699999999999</v>
      </c>
    </row>
    <row r="4971" spans="1:8" x14ac:dyDescent="0.25">
      <c r="A4971" t="s">
        <v>4977</v>
      </c>
      <c r="B4971">
        <v>65454</v>
      </c>
      <c r="C4971">
        <v>7898126320514</v>
      </c>
      <c r="D4971">
        <v>9.99</v>
      </c>
      <c r="E4971">
        <v>5.47</v>
      </c>
      <c r="F4971" s="3">
        <v>0.32150000000000001</v>
      </c>
      <c r="G4971">
        <v>4.0564</v>
      </c>
      <c r="H4971">
        <v>10.667</v>
      </c>
    </row>
    <row r="4972" spans="1:8" x14ac:dyDescent="0.25">
      <c r="A4972" t="s">
        <v>4978</v>
      </c>
      <c r="B4972">
        <v>65455</v>
      </c>
      <c r="C4972">
        <v>7898126320118</v>
      </c>
      <c r="D4972">
        <v>12.9</v>
      </c>
      <c r="E4972">
        <v>6.8</v>
      </c>
      <c r="F4972" s="3">
        <v>0.34450000000000003</v>
      </c>
      <c r="G4972">
        <v>4.9405000000000001</v>
      </c>
      <c r="H4972">
        <v>3.9</v>
      </c>
    </row>
    <row r="4973" spans="1:8" x14ac:dyDescent="0.25">
      <c r="A4973" t="s">
        <v>4979</v>
      </c>
      <c r="B4973">
        <v>9941</v>
      </c>
      <c r="C4973">
        <v>7891095007967</v>
      </c>
      <c r="D4973">
        <v>22.9</v>
      </c>
      <c r="E4973">
        <v>16.73</v>
      </c>
      <c r="F4973" s="3">
        <v>0.19589999999999999</v>
      </c>
      <c r="G4973">
        <v>12.1737</v>
      </c>
      <c r="H4973">
        <v>2.5670000000000002</v>
      </c>
    </row>
    <row r="4974" spans="1:8" x14ac:dyDescent="0.25">
      <c r="A4974" t="s">
        <v>4980</v>
      </c>
      <c r="B4974">
        <v>9943</v>
      </c>
      <c r="C4974">
        <v>7891095007974</v>
      </c>
      <c r="D4974">
        <v>22.9</v>
      </c>
      <c r="E4974">
        <v>16.53</v>
      </c>
      <c r="F4974" s="3">
        <v>0.20199999999999999</v>
      </c>
      <c r="G4974">
        <v>12.034700000000001</v>
      </c>
      <c r="H4974">
        <v>1.6</v>
      </c>
    </row>
    <row r="4975" spans="1:8" x14ac:dyDescent="0.25">
      <c r="A4975" t="s">
        <v>4981</v>
      </c>
      <c r="B4975">
        <v>67548</v>
      </c>
      <c r="C4975">
        <v>7896007972142</v>
      </c>
      <c r="D4975">
        <v>2.9</v>
      </c>
      <c r="E4975">
        <v>0.82</v>
      </c>
      <c r="F4975" s="3">
        <v>0.52359999999999995</v>
      </c>
      <c r="G4975">
        <v>0.59119999999999995</v>
      </c>
      <c r="H4975">
        <v>3.9670000000000001</v>
      </c>
    </row>
    <row r="4976" spans="1:8" x14ac:dyDescent="0.25">
      <c r="A4976" t="s">
        <v>4982</v>
      </c>
      <c r="B4976">
        <v>67549</v>
      </c>
      <c r="C4976">
        <v>7896007972159</v>
      </c>
      <c r="D4976">
        <v>3.9</v>
      </c>
      <c r="E4976">
        <v>1.2</v>
      </c>
      <c r="F4976" s="3">
        <v>0.50670000000000004</v>
      </c>
      <c r="G4976">
        <v>0.86119999999999997</v>
      </c>
      <c r="H4976">
        <v>3.4</v>
      </c>
    </row>
    <row r="4977" spans="1:8" x14ac:dyDescent="0.25">
      <c r="A4977" t="s">
        <v>4983</v>
      </c>
      <c r="B4977">
        <v>67550</v>
      </c>
      <c r="C4977">
        <v>7896007972104</v>
      </c>
      <c r="D4977">
        <v>4.9000000000000004</v>
      </c>
      <c r="E4977">
        <v>2.06</v>
      </c>
      <c r="F4977" s="3">
        <v>0.40610000000000002</v>
      </c>
      <c r="G4977">
        <v>1.5750999999999999</v>
      </c>
      <c r="H4977">
        <v>5.4329999999999998</v>
      </c>
    </row>
    <row r="4978" spans="1:8" x14ac:dyDescent="0.25">
      <c r="A4978" t="s">
        <v>4984</v>
      </c>
      <c r="B4978">
        <v>67546</v>
      </c>
      <c r="C4978">
        <v>7896007952144</v>
      </c>
      <c r="D4978">
        <v>2.9</v>
      </c>
      <c r="E4978">
        <v>0.56999999999999995</v>
      </c>
      <c r="F4978" s="3">
        <v>0.58119999999999994</v>
      </c>
      <c r="G4978">
        <v>0.42420000000000002</v>
      </c>
      <c r="H4978">
        <v>4.7670000000000003</v>
      </c>
    </row>
    <row r="4979" spans="1:8" x14ac:dyDescent="0.25">
      <c r="A4979" t="s">
        <v>4985</v>
      </c>
      <c r="B4979">
        <v>67547</v>
      </c>
      <c r="C4979">
        <v>7896007952151</v>
      </c>
      <c r="D4979">
        <v>3.9</v>
      </c>
      <c r="E4979">
        <v>1</v>
      </c>
      <c r="F4979" s="3">
        <v>0.53739999999999999</v>
      </c>
      <c r="G4979">
        <v>0.74119999999999997</v>
      </c>
      <c r="H4979">
        <v>8.2330000000000005</v>
      </c>
    </row>
    <row r="4980" spans="1:8" x14ac:dyDescent="0.25">
      <c r="A4980" t="s">
        <v>4986</v>
      </c>
      <c r="B4980">
        <v>6491</v>
      </c>
      <c r="C4980">
        <v>7896048201003</v>
      </c>
      <c r="D4980">
        <v>32.99</v>
      </c>
      <c r="E4980">
        <v>22.55</v>
      </c>
      <c r="F4980" s="3">
        <v>0.28710000000000002</v>
      </c>
      <c r="G4980">
        <v>20.466200000000001</v>
      </c>
      <c r="H4980">
        <v>2.2669999999999999</v>
      </c>
    </row>
    <row r="4981" spans="1:8" x14ac:dyDescent="0.25">
      <c r="A4981" t="s">
        <v>4987</v>
      </c>
      <c r="B4981">
        <v>61912</v>
      </c>
      <c r="C4981">
        <v>3083681133110</v>
      </c>
      <c r="D4981">
        <v>18.989999999999998</v>
      </c>
      <c r="E4981">
        <v>14.38</v>
      </c>
      <c r="F4981" s="3">
        <v>0.2291</v>
      </c>
      <c r="G4981">
        <v>12.882899999999999</v>
      </c>
      <c r="H4981">
        <v>4.3</v>
      </c>
    </row>
    <row r="4982" spans="1:8" x14ac:dyDescent="0.25">
      <c r="A4982" t="s">
        <v>4988</v>
      </c>
      <c r="B4982">
        <v>6522</v>
      </c>
      <c r="C4982">
        <v>7898167466004</v>
      </c>
      <c r="D4982">
        <v>29.9</v>
      </c>
      <c r="E4982">
        <v>19.89</v>
      </c>
      <c r="F4982" s="3">
        <v>0.29309999999999997</v>
      </c>
      <c r="G4982">
        <v>18.370799999999999</v>
      </c>
      <c r="H4982">
        <v>19.533000000000001</v>
      </c>
    </row>
    <row r="4983" spans="1:8" x14ac:dyDescent="0.25">
      <c r="A4983" t="s">
        <v>4989</v>
      </c>
      <c r="B4983">
        <v>51900</v>
      </c>
      <c r="C4983">
        <v>3083681095234</v>
      </c>
      <c r="D4983">
        <v>18.989999999999998</v>
      </c>
      <c r="E4983">
        <v>13.9</v>
      </c>
      <c r="F4983" s="3">
        <v>0.23129999999999998</v>
      </c>
      <c r="G4983">
        <v>12.8401</v>
      </c>
      <c r="H4983">
        <v>1.0669999999999999</v>
      </c>
    </row>
    <row r="4984" spans="1:8" x14ac:dyDescent="0.25">
      <c r="A4984" t="s">
        <v>4990</v>
      </c>
      <c r="B4984">
        <v>58805</v>
      </c>
      <c r="C4984">
        <v>7898915684827</v>
      </c>
      <c r="D4984">
        <v>24.9</v>
      </c>
      <c r="E4984">
        <v>15.89</v>
      </c>
      <c r="F4984" s="3">
        <v>0.32819999999999999</v>
      </c>
      <c r="G4984">
        <v>14.425800000000001</v>
      </c>
      <c r="H4984">
        <v>68.966999999999999</v>
      </c>
    </row>
    <row r="4985" spans="1:8" x14ac:dyDescent="0.25">
      <c r="A4985" t="s">
        <v>4991</v>
      </c>
      <c r="B4985">
        <v>59730</v>
      </c>
      <c r="C4985">
        <v>7898915684834</v>
      </c>
      <c r="D4985">
        <v>15.99</v>
      </c>
      <c r="E4985">
        <v>9.26</v>
      </c>
      <c r="F4985" s="3">
        <v>0.38140000000000002</v>
      </c>
      <c r="G4985">
        <v>8.4124999999999996</v>
      </c>
      <c r="H4985">
        <v>9</v>
      </c>
    </row>
    <row r="4986" spans="1:8" x14ac:dyDescent="0.25">
      <c r="A4986" t="s">
        <v>4992</v>
      </c>
      <c r="B4986">
        <v>59731</v>
      </c>
      <c r="C4986">
        <v>7898915684841</v>
      </c>
      <c r="D4986">
        <v>18.989999999999998</v>
      </c>
      <c r="E4986">
        <v>10.65</v>
      </c>
      <c r="F4986" s="3">
        <v>0.40329999999999999</v>
      </c>
      <c r="G4986">
        <v>9.5754000000000001</v>
      </c>
      <c r="H4986">
        <v>9.6329999999999991</v>
      </c>
    </row>
    <row r="4987" spans="1:8" x14ac:dyDescent="0.25">
      <c r="A4987" t="s">
        <v>4993</v>
      </c>
      <c r="B4987">
        <v>13241</v>
      </c>
      <c r="C4987">
        <v>7896048284136</v>
      </c>
      <c r="D4987">
        <v>27.9</v>
      </c>
      <c r="E4987">
        <v>19.38</v>
      </c>
      <c r="F4987" s="3">
        <v>0.27760000000000001</v>
      </c>
      <c r="G4987">
        <v>17.5731</v>
      </c>
      <c r="H4987">
        <v>14.2</v>
      </c>
    </row>
    <row r="4988" spans="1:8" x14ac:dyDescent="0.25">
      <c r="A4988" t="s">
        <v>4994</v>
      </c>
      <c r="B4988">
        <v>7873</v>
      </c>
      <c r="C4988">
        <v>7898140273254</v>
      </c>
      <c r="D4988">
        <v>7.9</v>
      </c>
      <c r="E4988">
        <v>3.69</v>
      </c>
      <c r="F4988" s="3">
        <v>0.38729999999999998</v>
      </c>
      <c r="G4988">
        <v>2.6877</v>
      </c>
      <c r="H4988">
        <v>7.5670000000000002</v>
      </c>
    </row>
    <row r="4989" spans="1:8" x14ac:dyDescent="0.25">
      <c r="A4989" t="s">
        <v>4995</v>
      </c>
      <c r="B4989">
        <v>66111</v>
      </c>
      <c r="C4989">
        <v>7896001049918</v>
      </c>
      <c r="D4989">
        <v>17.899999999999999</v>
      </c>
      <c r="E4989">
        <v>10.130000000000001</v>
      </c>
      <c r="F4989" s="3">
        <v>0.31590000000000001</v>
      </c>
      <c r="G4989">
        <v>7.3673999999999999</v>
      </c>
      <c r="H4989">
        <v>0.63300000000000001</v>
      </c>
    </row>
    <row r="4990" spans="1:8" x14ac:dyDescent="0.25">
      <c r="A4990" t="s">
        <v>4996</v>
      </c>
      <c r="B4990">
        <v>66112</v>
      </c>
      <c r="C4990">
        <v>7896001050075</v>
      </c>
      <c r="D4990">
        <v>12.9</v>
      </c>
      <c r="E4990">
        <v>6.62</v>
      </c>
      <c r="F4990" s="3">
        <v>0.3528</v>
      </c>
      <c r="G4990">
        <v>4.8330000000000002</v>
      </c>
      <c r="H4990">
        <v>1.633</v>
      </c>
    </row>
    <row r="4991" spans="1:8" x14ac:dyDescent="0.25">
      <c r="A4991" t="s">
        <v>4997</v>
      </c>
      <c r="B4991">
        <v>66109</v>
      </c>
      <c r="C4991">
        <v>7896001049055</v>
      </c>
      <c r="D4991">
        <v>7.9</v>
      </c>
      <c r="E4991">
        <v>4.66</v>
      </c>
      <c r="F4991" s="3">
        <v>0.29799999999999999</v>
      </c>
      <c r="G4991">
        <v>3.3927999999999998</v>
      </c>
      <c r="H4991">
        <v>5.7</v>
      </c>
    </row>
    <row r="4992" spans="1:8" x14ac:dyDescent="0.25">
      <c r="A4992" t="s">
        <v>4998</v>
      </c>
      <c r="B4992">
        <v>66110</v>
      </c>
      <c r="C4992">
        <v>7896001049079</v>
      </c>
      <c r="D4992">
        <v>7.9</v>
      </c>
      <c r="E4992">
        <v>4.66</v>
      </c>
      <c r="F4992" s="3">
        <v>0.2984</v>
      </c>
      <c r="G4992">
        <v>3.3895</v>
      </c>
      <c r="H4992">
        <v>1.9330000000000001</v>
      </c>
    </row>
    <row r="4993" spans="1:8" x14ac:dyDescent="0.25">
      <c r="A4993" t="s">
        <v>4999</v>
      </c>
      <c r="B4993">
        <v>66114</v>
      </c>
      <c r="C4993">
        <v>7896001049062</v>
      </c>
      <c r="D4993">
        <v>7.9</v>
      </c>
      <c r="E4993">
        <v>4.63</v>
      </c>
      <c r="F4993" s="3">
        <v>0.29960000000000003</v>
      </c>
      <c r="G4993">
        <v>3.3803999999999998</v>
      </c>
      <c r="H4993">
        <v>1.3</v>
      </c>
    </row>
    <row r="4994" spans="1:8" x14ac:dyDescent="0.25">
      <c r="A4994" t="s">
        <v>5000</v>
      </c>
      <c r="B4994">
        <v>5138</v>
      </c>
      <c r="C4994">
        <v>7898994438823</v>
      </c>
      <c r="D4994">
        <v>8.49</v>
      </c>
      <c r="E4994">
        <v>4.3099999999999996</v>
      </c>
      <c r="F4994" s="3">
        <v>0.35820000000000002</v>
      </c>
      <c r="G4994">
        <v>3.1355</v>
      </c>
      <c r="H4994">
        <v>10.933</v>
      </c>
    </row>
    <row r="4995" spans="1:8" x14ac:dyDescent="0.25">
      <c r="A4995" t="s">
        <v>5001</v>
      </c>
      <c r="B4995">
        <v>15011</v>
      </c>
      <c r="C4995">
        <v>7898065390272</v>
      </c>
      <c r="D4995">
        <v>8.49</v>
      </c>
      <c r="E4995">
        <v>4.3</v>
      </c>
      <c r="F4995" s="3">
        <v>0.35909999999999997</v>
      </c>
      <c r="G4995">
        <v>3.1276999999999999</v>
      </c>
      <c r="H4995">
        <v>3.3000000000000002E-2</v>
      </c>
    </row>
    <row r="4996" spans="1:8" x14ac:dyDescent="0.25">
      <c r="A4996" t="s">
        <v>5002</v>
      </c>
      <c r="B4996">
        <v>5142</v>
      </c>
      <c r="C4996">
        <v>7898959520051</v>
      </c>
      <c r="D4996">
        <v>8.49</v>
      </c>
      <c r="E4996">
        <v>4.3099999999999996</v>
      </c>
      <c r="F4996" s="3">
        <v>0.35830000000000001</v>
      </c>
      <c r="G4996">
        <v>3.1345999999999998</v>
      </c>
      <c r="H4996">
        <v>8.5329999999999995</v>
      </c>
    </row>
    <row r="4997" spans="1:8" x14ac:dyDescent="0.25">
      <c r="A4997" t="s">
        <v>5003</v>
      </c>
      <c r="B4997">
        <v>64921</v>
      </c>
      <c r="C4997">
        <v>7891172523335</v>
      </c>
      <c r="D4997">
        <v>30.9</v>
      </c>
      <c r="E4997">
        <v>17.760000000000002</v>
      </c>
      <c r="F4997" s="3">
        <v>0.3085</v>
      </c>
      <c r="G4997">
        <v>12.9459</v>
      </c>
      <c r="H4997">
        <v>1.7</v>
      </c>
    </row>
    <row r="4998" spans="1:8" x14ac:dyDescent="0.25">
      <c r="A4998" t="s">
        <v>5004</v>
      </c>
      <c r="B4998">
        <v>5111</v>
      </c>
      <c r="C4998">
        <v>7891172523328</v>
      </c>
      <c r="D4998">
        <v>16.899999999999999</v>
      </c>
      <c r="E4998">
        <v>9.89</v>
      </c>
      <c r="F4998" s="3">
        <v>0.30049999999999999</v>
      </c>
      <c r="G4998">
        <v>7.2161999999999997</v>
      </c>
      <c r="H4998">
        <v>41.167000000000002</v>
      </c>
    </row>
    <row r="4999" spans="1:8" x14ac:dyDescent="0.25">
      <c r="A4999" t="s">
        <v>5005</v>
      </c>
      <c r="B4999">
        <v>57144</v>
      </c>
      <c r="C4999">
        <v>7891172523311</v>
      </c>
      <c r="D4999">
        <v>16.899999999999999</v>
      </c>
      <c r="E4999">
        <v>9.82</v>
      </c>
      <c r="F4999" s="3">
        <v>0.3014</v>
      </c>
      <c r="G4999">
        <v>7.2015000000000002</v>
      </c>
      <c r="H4999">
        <v>19.667000000000002</v>
      </c>
    </row>
    <row r="5000" spans="1:8" x14ac:dyDescent="0.25">
      <c r="A5000" t="s">
        <v>5006</v>
      </c>
      <c r="B5000">
        <v>62866</v>
      </c>
      <c r="C5000">
        <v>7891172523359</v>
      </c>
      <c r="D5000">
        <v>16.899999999999999</v>
      </c>
      <c r="E5000">
        <v>9.94</v>
      </c>
      <c r="F5000" s="3">
        <v>0.2994</v>
      </c>
      <c r="G5000">
        <v>7.2352999999999996</v>
      </c>
      <c r="H5000">
        <v>12.8</v>
      </c>
    </row>
    <row r="5001" spans="1:8" x14ac:dyDescent="0.25">
      <c r="A5001" t="s">
        <v>5007</v>
      </c>
      <c r="B5001">
        <v>5100</v>
      </c>
      <c r="C5001">
        <v>7896090101351</v>
      </c>
      <c r="D5001">
        <v>9.9</v>
      </c>
      <c r="E5001">
        <v>5.07</v>
      </c>
      <c r="F5001" s="3">
        <v>0.33189999999999997</v>
      </c>
      <c r="G5001">
        <v>3.9167999999999998</v>
      </c>
      <c r="H5001">
        <v>2.2999999999999998</v>
      </c>
    </row>
    <row r="5002" spans="1:8" x14ac:dyDescent="0.25">
      <c r="A5002" t="s">
        <v>5008</v>
      </c>
      <c r="B5002">
        <v>5102</v>
      </c>
      <c r="C5002">
        <v>7896090101368</v>
      </c>
      <c r="D5002">
        <v>9.9</v>
      </c>
      <c r="E5002">
        <v>6.17</v>
      </c>
      <c r="F5002" s="3">
        <v>0.26429999999999998</v>
      </c>
      <c r="G5002">
        <v>4.5853000000000002</v>
      </c>
      <c r="H5002">
        <v>1.5</v>
      </c>
    </row>
    <row r="5003" spans="1:8" x14ac:dyDescent="0.25">
      <c r="A5003" t="s">
        <v>5009</v>
      </c>
      <c r="B5003">
        <v>50337</v>
      </c>
      <c r="C5003">
        <v>7896090700165</v>
      </c>
      <c r="D5003">
        <v>20.9</v>
      </c>
      <c r="E5003">
        <v>12.53</v>
      </c>
      <c r="F5003" s="3">
        <v>0.2923</v>
      </c>
      <c r="G5003">
        <v>9.0957000000000008</v>
      </c>
      <c r="H5003">
        <v>2.5</v>
      </c>
    </row>
    <row r="5004" spans="1:8" x14ac:dyDescent="0.25">
      <c r="A5004" t="s">
        <v>5010</v>
      </c>
      <c r="B5004">
        <v>50336</v>
      </c>
      <c r="C5004">
        <v>7896090700141</v>
      </c>
      <c r="D5004">
        <v>20.9</v>
      </c>
      <c r="E5004">
        <v>12.59</v>
      </c>
      <c r="F5004" s="3">
        <v>0.28939999999999999</v>
      </c>
      <c r="G5004">
        <v>9.1555</v>
      </c>
      <c r="H5004">
        <v>4.9329999999999998</v>
      </c>
    </row>
    <row r="5005" spans="1:8" x14ac:dyDescent="0.25">
      <c r="A5005" t="s">
        <v>5011</v>
      </c>
      <c r="B5005">
        <v>50339</v>
      </c>
      <c r="C5005">
        <v>7896090700172</v>
      </c>
      <c r="D5005">
        <v>20.9</v>
      </c>
      <c r="E5005">
        <v>12.51</v>
      </c>
      <c r="F5005" s="3">
        <v>0.29010000000000002</v>
      </c>
      <c r="G5005">
        <v>9.1408000000000005</v>
      </c>
      <c r="H5005">
        <v>3.2</v>
      </c>
    </row>
    <row r="5006" spans="1:8" x14ac:dyDescent="0.25">
      <c r="A5006" t="s">
        <v>5012</v>
      </c>
      <c r="B5006">
        <v>50338</v>
      </c>
      <c r="C5006">
        <v>7896090700158</v>
      </c>
      <c r="D5006">
        <v>20.9</v>
      </c>
      <c r="E5006">
        <v>12.45</v>
      </c>
      <c r="F5006" s="3">
        <v>0.29530000000000001</v>
      </c>
      <c r="G5006">
        <v>9.0337999999999994</v>
      </c>
      <c r="H5006">
        <v>1.4</v>
      </c>
    </row>
    <row r="5007" spans="1:8" x14ac:dyDescent="0.25">
      <c r="A5007" t="s">
        <v>5013</v>
      </c>
      <c r="B5007">
        <v>38728</v>
      </c>
      <c r="C5007">
        <v>8008698026885</v>
      </c>
      <c r="D5007">
        <v>32.9</v>
      </c>
      <c r="E5007">
        <v>23.55</v>
      </c>
      <c r="F5007" s="3">
        <v>0.25790000000000002</v>
      </c>
      <c r="G5007">
        <v>21.372699999999998</v>
      </c>
      <c r="H5007">
        <v>0.433</v>
      </c>
    </row>
    <row r="5008" spans="1:8" x14ac:dyDescent="0.25">
      <c r="A5008" t="s">
        <v>5014</v>
      </c>
      <c r="B5008">
        <v>66462</v>
      </c>
      <c r="C5008">
        <v>7891962073811</v>
      </c>
      <c r="D5008">
        <v>9.68</v>
      </c>
      <c r="E5008">
        <v>6.81</v>
      </c>
      <c r="F5008" s="3">
        <v>0.26940000000000003</v>
      </c>
      <c r="G5008">
        <v>6.1775000000000002</v>
      </c>
      <c r="H5008">
        <v>30.466999999999999</v>
      </c>
    </row>
    <row r="5009" spans="1:8" x14ac:dyDescent="0.25">
      <c r="A5009" t="s">
        <v>5015</v>
      </c>
      <c r="B5009">
        <v>32037</v>
      </c>
      <c r="C5009">
        <v>7891962042725</v>
      </c>
      <c r="D5009">
        <v>2.9</v>
      </c>
      <c r="E5009">
        <v>1.5</v>
      </c>
      <c r="F5009" s="3">
        <v>0.44700000000000001</v>
      </c>
      <c r="G5009">
        <v>1.3354999999999999</v>
      </c>
      <c r="H5009">
        <v>30.667000000000002</v>
      </c>
    </row>
    <row r="5010" spans="1:8" x14ac:dyDescent="0.25">
      <c r="A5010" t="s">
        <v>5016</v>
      </c>
      <c r="B5010">
        <v>36403</v>
      </c>
      <c r="C5010">
        <v>7891962070179</v>
      </c>
      <c r="D5010">
        <v>4.9000000000000004</v>
      </c>
      <c r="E5010">
        <v>3.5</v>
      </c>
      <c r="F5010" s="3">
        <v>0.2601</v>
      </c>
      <c r="G5010">
        <v>3.1720999999999999</v>
      </c>
      <c r="H5010">
        <v>6.1</v>
      </c>
    </row>
    <row r="5011" spans="1:8" x14ac:dyDescent="0.25">
      <c r="A5011" t="s">
        <v>5017</v>
      </c>
      <c r="B5011">
        <v>1477</v>
      </c>
      <c r="C5011">
        <v>7891203020260</v>
      </c>
      <c r="D5011">
        <v>10.9</v>
      </c>
      <c r="E5011">
        <v>7.88</v>
      </c>
      <c r="F5011" s="3">
        <v>0.25170000000000003</v>
      </c>
      <c r="G5011">
        <v>7.1486000000000001</v>
      </c>
      <c r="H5011">
        <v>11.667</v>
      </c>
    </row>
    <row r="5012" spans="1:8" x14ac:dyDescent="0.25">
      <c r="A5012" t="s">
        <v>5018</v>
      </c>
      <c r="B5012">
        <v>37102</v>
      </c>
      <c r="C5012">
        <v>7896283006142</v>
      </c>
      <c r="D5012">
        <v>24.9</v>
      </c>
      <c r="E5012">
        <v>14.96</v>
      </c>
      <c r="F5012" s="3">
        <v>0.36890000000000001</v>
      </c>
      <c r="G5012">
        <v>13.411199999999999</v>
      </c>
      <c r="H5012">
        <v>2.5670000000000002</v>
      </c>
    </row>
    <row r="5013" spans="1:8" x14ac:dyDescent="0.25">
      <c r="A5013" t="s">
        <v>5019</v>
      </c>
      <c r="B5013">
        <v>63043</v>
      </c>
      <c r="C5013">
        <v>7898952801096</v>
      </c>
      <c r="D5013">
        <v>25.9</v>
      </c>
      <c r="E5013">
        <v>17.329999999999998</v>
      </c>
      <c r="F5013" s="3">
        <v>0.3004</v>
      </c>
      <c r="G5013">
        <v>15.7234</v>
      </c>
      <c r="H5013">
        <v>1.1000000000000001</v>
      </c>
    </row>
    <row r="5014" spans="1:8" x14ac:dyDescent="0.25">
      <c r="A5014" t="s">
        <v>5020</v>
      </c>
      <c r="B5014">
        <v>63044</v>
      </c>
      <c r="C5014">
        <v>7908938700081</v>
      </c>
      <c r="D5014">
        <v>25.9</v>
      </c>
      <c r="E5014">
        <v>17.329999999999998</v>
      </c>
      <c r="F5014" s="3">
        <v>0.3004</v>
      </c>
      <c r="G5014">
        <v>15.7235</v>
      </c>
      <c r="H5014">
        <v>0.66700000000000004</v>
      </c>
    </row>
    <row r="5015" spans="1:8" x14ac:dyDescent="0.25">
      <c r="A5015" t="s">
        <v>5021</v>
      </c>
      <c r="B5015">
        <v>63045</v>
      </c>
      <c r="C5015">
        <v>7908938700098</v>
      </c>
      <c r="D5015">
        <v>25.9</v>
      </c>
      <c r="E5015">
        <v>16.649999999999999</v>
      </c>
      <c r="F5015" s="3">
        <v>0.32400000000000001</v>
      </c>
      <c r="G5015">
        <v>15.1119</v>
      </c>
      <c r="H5015">
        <v>0.23300000000000001</v>
      </c>
    </row>
    <row r="5016" spans="1:8" x14ac:dyDescent="0.25">
      <c r="A5016" t="s">
        <v>5022</v>
      </c>
      <c r="B5016">
        <v>63042</v>
      </c>
      <c r="C5016">
        <v>7898952806008</v>
      </c>
      <c r="D5016">
        <v>25.9</v>
      </c>
      <c r="E5016">
        <v>17.329999999999998</v>
      </c>
      <c r="F5016" s="3">
        <v>0.3004</v>
      </c>
      <c r="G5016">
        <v>15.7232</v>
      </c>
      <c r="H5016">
        <v>0.86699999999999999</v>
      </c>
    </row>
    <row r="5017" spans="1:8" x14ac:dyDescent="0.25">
      <c r="A5017" t="s">
        <v>5023</v>
      </c>
      <c r="B5017">
        <v>64442</v>
      </c>
      <c r="C5017">
        <v>7898954933634</v>
      </c>
      <c r="D5017">
        <v>16.899999999999999</v>
      </c>
      <c r="E5017">
        <v>11.09</v>
      </c>
      <c r="F5017" s="3">
        <v>0.31019999999999998</v>
      </c>
      <c r="G5017">
        <v>10.094099999999999</v>
      </c>
      <c r="H5017">
        <v>2.4670000000000001</v>
      </c>
    </row>
    <row r="5018" spans="1:8" x14ac:dyDescent="0.25">
      <c r="A5018" t="s">
        <v>5024</v>
      </c>
      <c r="B5018">
        <v>51200</v>
      </c>
      <c r="C5018">
        <v>7898954933467</v>
      </c>
      <c r="D5018">
        <v>16.899999999999999</v>
      </c>
      <c r="E5018">
        <v>10.74</v>
      </c>
      <c r="F5018" s="3">
        <v>0.33289999999999997</v>
      </c>
      <c r="G5018">
        <v>9.7110000000000003</v>
      </c>
      <c r="H5018">
        <v>5.3330000000000002</v>
      </c>
    </row>
    <row r="5019" spans="1:8" x14ac:dyDescent="0.25">
      <c r="A5019" t="s">
        <v>5025</v>
      </c>
      <c r="B5019">
        <v>64443</v>
      </c>
      <c r="C5019">
        <v>7898954933627</v>
      </c>
      <c r="D5019">
        <v>16.899999999999999</v>
      </c>
      <c r="E5019">
        <v>10.98</v>
      </c>
      <c r="F5019" s="3">
        <v>0.31780000000000003</v>
      </c>
      <c r="G5019">
        <v>9.9658999999999995</v>
      </c>
      <c r="H5019">
        <v>2.7</v>
      </c>
    </row>
    <row r="5020" spans="1:8" x14ac:dyDescent="0.25">
      <c r="A5020" t="s">
        <v>5026</v>
      </c>
      <c r="B5020">
        <v>51199</v>
      </c>
      <c r="C5020">
        <v>7898954933450</v>
      </c>
      <c r="D5020">
        <v>14.9</v>
      </c>
      <c r="E5020">
        <v>9.51</v>
      </c>
      <c r="F5020" s="3">
        <v>0.33069999999999999</v>
      </c>
      <c r="G5020">
        <v>8.5947999999999993</v>
      </c>
      <c r="H5020">
        <v>9.3330000000000002</v>
      </c>
    </row>
    <row r="5021" spans="1:8" x14ac:dyDescent="0.25">
      <c r="A5021" t="s">
        <v>5027</v>
      </c>
      <c r="B5021">
        <v>38738</v>
      </c>
      <c r="C5021">
        <v>8008698002599</v>
      </c>
      <c r="D5021">
        <v>32.9</v>
      </c>
      <c r="E5021">
        <v>22.11</v>
      </c>
      <c r="F5021" s="3">
        <v>0.29760000000000003</v>
      </c>
      <c r="G5021">
        <v>20.0671</v>
      </c>
      <c r="H5021">
        <v>0.73299999999999998</v>
      </c>
    </row>
    <row r="5022" spans="1:8" x14ac:dyDescent="0.25">
      <c r="A5022" t="s">
        <v>5028</v>
      </c>
      <c r="B5022">
        <v>62599</v>
      </c>
      <c r="C5022">
        <v>7898954933610</v>
      </c>
      <c r="D5022">
        <v>13.9</v>
      </c>
      <c r="E5022">
        <v>9.33</v>
      </c>
      <c r="F5022" s="3">
        <v>0.29570000000000002</v>
      </c>
      <c r="G5022">
        <v>8.5040999999999993</v>
      </c>
      <c r="H5022">
        <v>5.8</v>
      </c>
    </row>
    <row r="5023" spans="1:8" x14ac:dyDescent="0.25">
      <c r="A5023" t="s">
        <v>5029</v>
      </c>
      <c r="B5023">
        <v>67171</v>
      </c>
      <c r="C5023">
        <v>7898954933689</v>
      </c>
      <c r="D5023">
        <v>14.9</v>
      </c>
      <c r="E5023">
        <v>9.23</v>
      </c>
      <c r="F5023" s="3">
        <v>0.34490000000000004</v>
      </c>
      <c r="G5023">
        <v>8.3829999999999991</v>
      </c>
      <c r="H5023">
        <v>3.8</v>
      </c>
    </row>
    <row r="5024" spans="1:8" x14ac:dyDescent="0.25">
      <c r="A5024" t="s">
        <v>5030</v>
      </c>
      <c r="B5024">
        <v>61341</v>
      </c>
      <c r="C5024">
        <v>7896283007323</v>
      </c>
      <c r="D5024">
        <v>24.9</v>
      </c>
      <c r="E5024">
        <v>15.23</v>
      </c>
      <c r="F5024" s="3">
        <v>0.35389999999999999</v>
      </c>
      <c r="G5024">
        <v>13.7837</v>
      </c>
      <c r="H5024">
        <v>1</v>
      </c>
    </row>
    <row r="5025" spans="1:8" x14ac:dyDescent="0.25">
      <c r="A5025" t="s">
        <v>5031</v>
      </c>
      <c r="B5025">
        <v>57927</v>
      </c>
      <c r="C5025">
        <v>7896283007194</v>
      </c>
      <c r="D5025">
        <v>24.9</v>
      </c>
      <c r="E5025">
        <v>16.079999999999998</v>
      </c>
      <c r="F5025" s="3">
        <v>0.32159999999999994</v>
      </c>
      <c r="G5025">
        <v>14.589399999999999</v>
      </c>
      <c r="H5025">
        <v>0.1</v>
      </c>
    </row>
    <row r="5026" spans="1:8" x14ac:dyDescent="0.25">
      <c r="A5026" t="s">
        <v>5032</v>
      </c>
      <c r="B5026">
        <v>37104</v>
      </c>
      <c r="C5026">
        <v>7896283006043</v>
      </c>
      <c r="D5026">
        <v>24.9</v>
      </c>
      <c r="E5026">
        <v>14.88</v>
      </c>
      <c r="F5026" s="3">
        <v>0.3669</v>
      </c>
      <c r="G5026">
        <v>13.461</v>
      </c>
      <c r="H5026">
        <v>2.4670000000000001</v>
      </c>
    </row>
    <row r="5027" spans="1:8" x14ac:dyDescent="0.25">
      <c r="A5027" t="s">
        <v>5033</v>
      </c>
      <c r="B5027">
        <v>57928</v>
      </c>
      <c r="C5027">
        <v>7896283007200</v>
      </c>
      <c r="D5027">
        <v>24.9</v>
      </c>
      <c r="E5027">
        <v>14.97</v>
      </c>
      <c r="F5027" s="3">
        <v>0.36320000000000002</v>
      </c>
      <c r="G5027">
        <v>13.552300000000001</v>
      </c>
      <c r="H5027">
        <v>0.86699999999999999</v>
      </c>
    </row>
    <row r="5028" spans="1:8" x14ac:dyDescent="0.25">
      <c r="A5028" t="s">
        <v>5034</v>
      </c>
      <c r="B5028">
        <v>43626</v>
      </c>
      <c r="C5028">
        <v>7896283006241</v>
      </c>
      <c r="D5028">
        <v>24.9</v>
      </c>
      <c r="E5028">
        <v>14.91</v>
      </c>
      <c r="F5028" s="3">
        <v>0.36469999999999997</v>
      </c>
      <c r="G5028">
        <v>13.5162</v>
      </c>
      <c r="H5028">
        <v>3.1</v>
      </c>
    </row>
    <row r="5029" spans="1:8" x14ac:dyDescent="0.25">
      <c r="A5029" t="s">
        <v>5035</v>
      </c>
      <c r="B5029">
        <v>63782</v>
      </c>
      <c r="C5029">
        <v>7898952806862</v>
      </c>
      <c r="D5029">
        <v>22.9</v>
      </c>
      <c r="E5029">
        <v>14.16</v>
      </c>
      <c r="F5029" s="3">
        <v>0.34619999999999995</v>
      </c>
      <c r="G5029">
        <v>12.8544</v>
      </c>
      <c r="H5029">
        <v>1.5329999999999999</v>
      </c>
    </row>
    <row r="5030" spans="1:8" x14ac:dyDescent="0.25">
      <c r="A5030" t="s">
        <v>5036</v>
      </c>
      <c r="B5030">
        <v>55758</v>
      </c>
      <c r="C5030">
        <v>7898930673592</v>
      </c>
      <c r="D5030">
        <v>10.9</v>
      </c>
      <c r="E5030">
        <v>4.58</v>
      </c>
      <c r="F5030" s="3">
        <v>0.4219</v>
      </c>
      <c r="G5030">
        <v>3.3307000000000002</v>
      </c>
      <c r="H5030">
        <v>2.9</v>
      </c>
    </row>
    <row r="5031" spans="1:8" x14ac:dyDescent="0.25">
      <c r="A5031" t="s">
        <v>5037</v>
      </c>
      <c r="B5031">
        <v>64927</v>
      </c>
      <c r="C5031">
        <v>7898327431286</v>
      </c>
      <c r="D5031">
        <v>34.9</v>
      </c>
      <c r="E5031">
        <v>23.89</v>
      </c>
      <c r="F5031" s="3">
        <v>0.31540000000000001</v>
      </c>
      <c r="G5031">
        <v>23.891300000000001</v>
      </c>
      <c r="H5031">
        <v>1.2669999999999999</v>
      </c>
    </row>
    <row r="5032" spans="1:8" x14ac:dyDescent="0.25">
      <c r="A5032" t="s">
        <v>5038</v>
      </c>
      <c r="B5032">
        <v>66333</v>
      </c>
      <c r="C5032">
        <v>7898962794166</v>
      </c>
      <c r="D5032">
        <v>21.9</v>
      </c>
      <c r="E5032">
        <v>14.35</v>
      </c>
      <c r="F5032" s="3">
        <v>0.34229999999999999</v>
      </c>
      <c r="G5032">
        <v>14.4032</v>
      </c>
      <c r="H5032">
        <v>35.466999999999999</v>
      </c>
    </row>
    <row r="5033" spans="1:8" x14ac:dyDescent="0.25">
      <c r="A5033" t="s">
        <v>5039</v>
      </c>
      <c r="B5033">
        <v>69370</v>
      </c>
      <c r="C5033">
        <v>7898962794180</v>
      </c>
      <c r="D5033">
        <v>40.9</v>
      </c>
      <c r="E5033">
        <v>27.5</v>
      </c>
      <c r="F5033" s="3">
        <v>0.32770000000000005</v>
      </c>
      <c r="G5033">
        <v>27.4968</v>
      </c>
      <c r="H5033">
        <v>3.47</v>
      </c>
    </row>
    <row r="5034" spans="1:8" x14ac:dyDescent="0.25">
      <c r="A5034" t="s">
        <v>5040</v>
      </c>
      <c r="B5034">
        <v>66335</v>
      </c>
      <c r="C5034">
        <v>7898962794265</v>
      </c>
      <c r="D5034">
        <v>24.9</v>
      </c>
      <c r="E5034">
        <v>15.29</v>
      </c>
      <c r="F5034" s="3">
        <v>0.38600000000000001</v>
      </c>
      <c r="G5034">
        <v>15.287599999999999</v>
      </c>
      <c r="H5034">
        <v>18.367000000000001</v>
      </c>
    </row>
    <row r="5035" spans="1:8" x14ac:dyDescent="0.25">
      <c r="A5035" t="s">
        <v>5041</v>
      </c>
      <c r="B5035">
        <v>3847</v>
      </c>
      <c r="C5035">
        <v>7896075300205</v>
      </c>
      <c r="D5035">
        <v>39.9</v>
      </c>
      <c r="E5035">
        <v>24.34</v>
      </c>
      <c r="F5035" s="3">
        <v>0.3901</v>
      </c>
      <c r="G5035">
        <v>24.3338</v>
      </c>
      <c r="H5035">
        <v>7.3330000000000002</v>
      </c>
    </row>
    <row r="5036" spans="1:8" x14ac:dyDescent="0.25">
      <c r="A5036" t="s">
        <v>5042</v>
      </c>
      <c r="B5036">
        <v>3851</v>
      </c>
      <c r="C5036">
        <v>7896075300625</v>
      </c>
      <c r="D5036">
        <v>13.9</v>
      </c>
      <c r="E5036">
        <v>8.17</v>
      </c>
      <c r="F5036" s="3">
        <v>0.41240000000000004</v>
      </c>
      <c r="G5036">
        <v>8.1677</v>
      </c>
      <c r="H5036">
        <v>14</v>
      </c>
    </row>
    <row r="5037" spans="1:8" x14ac:dyDescent="0.25">
      <c r="A5037" t="s">
        <v>5043</v>
      </c>
      <c r="B5037">
        <v>59656</v>
      </c>
      <c r="C5037">
        <v>7896018704282</v>
      </c>
      <c r="D5037">
        <v>32.700000000000003</v>
      </c>
      <c r="E5037">
        <v>20.149999999999999</v>
      </c>
      <c r="F5037" s="3">
        <v>0.3826</v>
      </c>
      <c r="G5037">
        <v>20.1876</v>
      </c>
      <c r="H5037">
        <v>18.632999999999999</v>
      </c>
    </row>
    <row r="5038" spans="1:8" x14ac:dyDescent="0.25">
      <c r="A5038" t="s">
        <v>5044</v>
      </c>
      <c r="B5038">
        <v>59107</v>
      </c>
      <c r="C5038">
        <v>7896018704275</v>
      </c>
      <c r="D5038">
        <v>30.7</v>
      </c>
      <c r="E5038">
        <v>19.22</v>
      </c>
      <c r="F5038" s="3">
        <v>0.3725</v>
      </c>
      <c r="G5038">
        <v>19.263300000000001</v>
      </c>
      <c r="H5038">
        <v>23.466999999999999</v>
      </c>
    </row>
    <row r="5039" spans="1:8" x14ac:dyDescent="0.25">
      <c r="A5039" t="s">
        <v>5045</v>
      </c>
      <c r="B5039">
        <v>3870</v>
      </c>
      <c r="C5039">
        <v>7891172421174</v>
      </c>
      <c r="D5039">
        <v>11.19</v>
      </c>
      <c r="E5039">
        <v>6.92</v>
      </c>
      <c r="F5039" s="3">
        <v>0.3795</v>
      </c>
      <c r="G5039">
        <v>6.9439000000000002</v>
      </c>
      <c r="H5039">
        <v>42.6</v>
      </c>
    </row>
    <row r="5040" spans="1:8" x14ac:dyDescent="0.25">
      <c r="A5040" t="s">
        <v>5046</v>
      </c>
      <c r="B5040">
        <v>35325</v>
      </c>
      <c r="C5040">
        <v>7891172433085</v>
      </c>
      <c r="D5040">
        <v>58.9</v>
      </c>
      <c r="E5040">
        <v>37.71</v>
      </c>
      <c r="F5040" s="3">
        <v>0.35930000000000001</v>
      </c>
      <c r="G5040">
        <v>37.735199999999999</v>
      </c>
      <c r="H5040">
        <v>21.867000000000001</v>
      </c>
    </row>
    <row r="5041" spans="1:8" x14ac:dyDescent="0.25">
      <c r="A5041" t="s">
        <v>5047</v>
      </c>
      <c r="B5041">
        <v>55112</v>
      </c>
      <c r="C5041">
        <v>7896018703896</v>
      </c>
      <c r="D5041">
        <v>47.6</v>
      </c>
      <c r="E5041">
        <v>29.57</v>
      </c>
      <c r="F5041" s="3">
        <v>0.37859999999999999</v>
      </c>
      <c r="G5041">
        <v>29.578900000000001</v>
      </c>
      <c r="H5041">
        <v>31</v>
      </c>
    </row>
    <row r="5042" spans="1:8" x14ac:dyDescent="0.25">
      <c r="A5042" t="s">
        <v>5048</v>
      </c>
      <c r="B5042">
        <v>3881</v>
      </c>
      <c r="C5042">
        <v>7891172422607</v>
      </c>
      <c r="D5042">
        <v>11.9</v>
      </c>
      <c r="E5042">
        <v>7.32</v>
      </c>
      <c r="F5042" s="3">
        <v>0.38119999999999998</v>
      </c>
      <c r="G5042">
        <v>7.3638000000000003</v>
      </c>
      <c r="H5042">
        <v>17.266999999999999</v>
      </c>
    </row>
    <row r="5043" spans="1:8" x14ac:dyDescent="0.25">
      <c r="A5043" t="s">
        <v>5049</v>
      </c>
      <c r="B5043">
        <v>42381</v>
      </c>
      <c r="C5043">
        <v>7896018704367</v>
      </c>
      <c r="D5043">
        <v>44.7</v>
      </c>
      <c r="E5043">
        <v>28.03</v>
      </c>
      <c r="F5043" s="3">
        <v>0.37219999999999998</v>
      </c>
      <c r="G5043">
        <v>28.061800000000002</v>
      </c>
      <c r="H5043">
        <v>42.466999999999999</v>
      </c>
    </row>
    <row r="5044" spans="1:8" x14ac:dyDescent="0.25">
      <c r="A5044" t="s">
        <v>5050</v>
      </c>
      <c r="B5044">
        <v>36068</v>
      </c>
      <c r="C5044">
        <v>7891172433078</v>
      </c>
      <c r="D5044">
        <v>57.9</v>
      </c>
      <c r="E5044">
        <v>36.32</v>
      </c>
      <c r="F5044" s="3">
        <v>0.37020000000000003</v>
      </c>
      <c r="G5044">
        <v>36.462800000000001</v>
      </c>
      <c r="H5044">
        <v>16.533000000000001</v>
      </c>
    </row>
    <row r="5045" spans="1:8" x14ac:dyDescent="0.25">
      <c r="A5045" t="s">
        <v>5051</v>
      </c>
      <c r="B5045">
        <v>68860</v>
      </c>
      <c r="C5045">
        <v>7891172523724</v>
      </c>
      <c r="D5045">
        <v>34.9</v>
      </c>
      <c r="E5045">
        <v>22.67</v>
      </c>
      <c r="F5045" s="3">
        <v>0.35039999999999999</v>
      </c>
      <c r="G5045">
        <v>22.670400000000001</v>
      </c>
      <c r="H5045">
        <v>2.0670000000000002</v>
      </c>
    </row>
    <row r="5046" spans="1:8" x14ac:dyDescent="0.25">
      <c r="A5046" t="s">
        <v>5052</v>
      </c>
      <c r="B5046">
        <v>68859</v>
      </c>
      <c r="C5046">
        <v>7891172523717</v>
      </c>
      <c r="D5046">
        <v>12.9</v>
      </c>
      <c r="E5046">
        <v>8.41</v>
      </c>
      <c r="F5046" s="3">
        <v>0.34920000000000001</v>
      </c>
      <c r="G5046">
        <v>8.3949999999999996</v>
      </c>
      <c r="H5046">
        <v>7.4329999999999998</v>
      </c>
    </row>
    <row r="5047" spans="1:8" x14ac:dyDescent="0.25">
      <c r="A5047" t="s">
        <v>5053</v>
      </c>
      <c r="B5047">
        <v>62995</v>
      </c>
      <c r="C5047">
        <v>7896110008011</v>
      </c>
      <c r="D5047">
        <v>69.900000000000006</v>
      </c>
      <c r="E5047">
        <v>42.17</v>
      </c>
      <c r="F5047" s="3">
        <v>0.39679999999999999</v>
      </c>
      <c r="G5047">
        <v>42.164200000000001</v>
      </c>
      <c r="H5047">
        <v>4.6669999999999998</v>
      </c>
    </row>
    <row r="5048" spans="1:8" x14ac:dyDescent="0.25">
      <c r="A5048" t="s">
        <v>5054</v>
      </c>
      <c r="B5048">
        <v>62999</v>
      </c>
      <c r="C5048">
        <v>7896110000176</v>
      </c>
      <c r="D5048">
        <v>9.9</v>
      </c>
      <c r="E5048">
        <v>5.82</v>
      </c>
      <c r="F5048" s="3">
        <v>0.41259999999999997</v>
      </c>
      <c r="G5048">
        <v>5.8150000000000004</v>
      </c>
      <c r="H5048">
        <v>56.866999999999997</v>
      </c>
    </row>
    <row r="5049" spans="1:8" x14ac:dyDescent="0.25">
      <c r="A5049" t="s">
        <v>5055</v>
      </c>
      <c r="B5049">
        <v>62996</v>
      </c>
      <c r="C5049">
        <v>7896110004648</v>
      </c>
      <c r="D5049">
        <v>34.9</v>
      </c>
      <c r="E5049">
        <v>21.17</v>
      </c>
      <c r="F5049" s="3">
        <v>0.39350000000000002</v>
      </c>
      <c r="G5049">
        <v>21.166499999999999</v>
      </c>
      <c r="H5049">
        <v>18.933</v>
      </c>
    </row>
    <row r="5050" spans="1:8" x14ac:dyDescent="0.25">
      <c r="A5050" t="s">
        <v>5056</v>
      </c>
      <c r="B5050">
        <v>62997</v>
      </c>
      <c r="C5050">
        <v>7896110007427</v>
      </c>
      <c r="D5050">
        <v>47.9</v>
      </c>
      <c r="E5050">
        <v>31.99</v>
      </c>
      <c r="F5050" s="3">
        <v>0.33229999999999998</v>
      </c>
      <c r="G5050">
        <v>31.982800000000001</v>
      </c>
      <c r="H5050">
        <v>25.7</v>
      </c>
    </row>
    <row r="5051" spans="1:8" x14ac:dyDescent="0.25">
      <c r="A5051" t="s">
        <v>5057</v>
      </c>
      <c r="B5051">
        <v>68236</v>
      </c>
      <c r="C5051">
        <v>7896110011103</v>
      </c>
      <c r="D5051">
        <v>35.9</v>
      </c>
      <c r="E5051">
        <v>17.079999999999998</v>
      </c>
      <c r="F5051" s="3">
        <v>0.52300000000000002</v>
      </c>
      <c r="G5051">
        <v>17.123200000000001</v>
      </c>
      <c r="H5051">
        <v>6.5670000000000002</v>
      </c>
    </row>
    <row r="5052" spans="1:8" x14ac:dyDescent="0.25">
      <c r="A5052" t="s">
        <v>5058</v>
      </c>
      <c r="B5052">
        <v>68238</v>
      </c>
      <c r="C5052">
        <v>7896110011028</v>
      </c>
      <c r="D5052">
        <v>31.9</v>
      </c>
      <c r="E5052">
        <v>21.17</v>
      </c>
      <c r="F5052" s="3">
        <v>0.33649999999999997</v>
      </c>
      <c r="G5052">
        <v>21.165400000000002</v>
      </c>
      <c r="H5052">
        <v>17.632999999999999</v>
      </c>
    </row>
    <row r="5053" spans="1:8" x14ac:dyDescent="0.25">
      <c r="A5053" t="s">
        <v>5059</v>
      </c>
      <c r="B5053">
        <v>68237</v>
      </c>
      <c r="C5053">
        <v>7896110011035</v>
      </c>
      <c r="D5053">
        <v>47.9</v>
      </c>
      <c r="E5053">
        <v>32.090000000000003</v>
      </c>
      <c r="F5053" s="3">
        <v>0.33</v>
      </c>
      <c r="G5053">
        <v>32.093499999999999</v>
      </c>
      <c r="H5053">
        <v>0.93300000000000005</v>
      </c>
    </row>
    <row r="5054" spans="1:8" x14ac:dyDescent="0.25">
      <c r="A5054" t="s">
        <v>5060</v>
      </c>
      <c r="B5054">
        <v>15440</v>
      </c>
      <c r="C5054">
        <v>7898930672694</v>
      </c>
      <c r="D5054">
        <v>9.9</v>
      </c>
      <c r="E5054">
        <v>4.28</v>
      </c>
      <c r="F5054" s="3">
        <v>0.41289999999999999</v>
      </c>
      <c r="G5054">
        <v>3.1147</v>
      </c>
      <c r="H5054">
        <v>4.2329999999999997</v>
      </c>
    </row>
    <row r="5055" spans="1:8" x14ac:dyDescent="0.25">
      <c r="A5055" t="s">
        <v>5061</v>
      </c>
      <c r="B5055">
        <v>48528</v>
      </c>
      <c r="C5055">
        <v>7896061920202</v>
      </c>
      <c r="D5055">
        <v>9.9</v>
      </c>
      <c r="E5055">
        <v>5.08</v>
      </c>
      <c r="F5055" s="3">
        <v>0.44140000000000001</v>
      </c>
      <c r="G5055">
        <v>4.6146000000000003</v>
      </c>
      <c r="H5055">
        <v>28.067</v>
      </c>
    </row>
    <row r="5056" spans="1:8" x14ac:dyDescent="0.25">
      <c r="A5056" t="s">
        <v>5062</v>
      </c>
      <c r="B5056">
        <v>48524</v>
      </c>
      <c r="C5056">
        <v>7896061920318</v>
      </c>
      <c r="D5056">
        <v>16.899999999999999</v>
      </c>
      <c r="E5056">
        <v>9.1199999999999992</v>
      </c>
      <c r="F5056" s="3">
        <v>0.41920000000000002</v>
      </c>
      <c r="G5056">
        <v>8.2522000000000002</v>
      </c>
      <c r="H5056">
        <v>90.966999999999999</v>
      </c>
    </row>
    <row r="5057" spans="1:8" x14ac:dyDescent="0.25">
      <c r="A5057" t="s">
        <v>5063</v>
      </c>
      <c r="B5057">
        <v>58118</v>
      </c>
      <c r="C5057">
        <v>7896061920417</v>
      </c>
      <c r="D5057">
        <v>12.9</v>
      </c>
      <c r="E5057">
        <v>7.37</v>
      </c>
      <c r="F5057" s="3">
        <v>0.38950000000000001</v>
      </c>
      <c r="G5057">
        <v>6.6816000000000004</v>
      </c>
      <c r="H5057">
        <v>2.8330000000000002</v>
      </c>
    </row>
    <row r="5058" spans="1:8" x14ac:dyDescent="0.25">
      <c r="A5058" t="s">
        <v>5064</v>
      </c>
      <c r="B5058">
        <v>3806</v>
      </c>
      <c r="C5058">
        <v>7896075300410</v>
      </c>
      <c r="D5058">
        <v>9.9</v>
      </c>
      <c r="E5058">
        <v>4.1900000000000004</v>
      </c>
      <c r="F5058" s="3">
        <v>0.52159999999999995</v>
      </c>
      <c r="G5058">
        <v>3.8203999999999998</v>
      </c>
      <c r="H5058">
        <v>11.5</v>
      </c>
    </row>
    <row r="5059" spans="1:8" x14ac:dyDescent="0.25">
      <c r="A5059" t="s">
        <v>5065</v>
      </c>
      <c r="B5059">
        <v>66340</v>
      </c>
      <c r="C5059">
        <v>7898962794289</v>
      </c>
      <c r="D5059">
        <v>7.9</v>
      </c>
      <c r="E5059">
        <v>4.4800000000000004</v>
      </c>
      <c r="F5059" s="3">
        <v>0.38799999999999996</v>
      </c>
      <c r="G5059">
        <v>4.1040000000000001</v>
      </c>
      <c r="H5059">
        <v>103.6</v>
      </c>
    </row>
    <row r="5060" spans="1:8" x14ac:dyDescent="0.25">
      <c r="A5060" t="s">
        <v>5066</v>
      </c>
      <c r="B5060">
        <v>66341</v>
      </c>
      <c r="C5060">
        <v>7898962794302</v>
      </c>
      <c r="D5060">
        <v>20.9</v>
      </c>
      <c r="E5060">
        <v>12.69</v>
      </c>
      <c r="F5060" s="3">
        <v>0.35600000000000004</v>
      </c>
      <c r="G5060">
        <v>11.526199999999999</v>
      </c>
      <c r="H5060">
        <v>16.966999999999999</v>
      </c>
    </row>
    <row r="5061" spans="1:8" x14ac:dyDescent="0.25">
      <c r="A5061" t="s">
        <v>5067</v>
      </c>
      <c r="B5061">
        <v>64616</v>
      </c>
      <c r="C5061">
        <v>7896110012162</v>
      </c>
      <c r="D5061">
        <v>17.899999999999999</v>
      </c>
      <c r="E5061">
        <v>9.57</v>
      </c>
      <c r="F5061" s="3">
        <v>0.41960000000000003</v>
      </c>
      <c r="G5061">
        <v>8.7327999999999992</v>
      </c>
      <c r="H5061">
        <v>5.2</v>
      </c>
    </row>
    <row r="5062" spans="1:8" x14ac:dyDescent="0.25">
      <c r="A5062" t="s">
        <v>5068</v>
      </c>
      <c r="B5062">
        <v>64617</v>
      </c>
      <c r="C5062">
        <v>7896110012179</v>
      </c>
      <c r="D5062">
        <v>24.9</v>
      </c>
      <c r="E5062">
        <v>13.71</v>
      </c>
      <c r="F5062" s="3">
        <v>0.39939999999999998</v>
      </c>
      <c r="G5062">
        <v>12.6523</v>
      </c>
      <c r="H5062">
        <v>3.5670000000000002</v>
      </c>
    </row>
    <row r="5063" spans="1:8" x14ac:dyDescent="0.25">
      <c r="A5063" t="s">
        <v>5069</v>
      </c>
      <c r="B5063">
        <v>64615</v>
      </c>
      <c r="C5063">
        <v>7896110012148</v>
      </c>
      <c r="D5063">
        <v>9.9</v>
      </c>
      <c r="E5063">
        <v>5.19</v>
      </c>
      <c r="F5063" s="3">
        <v>0.43130000000000002</v>
      </c>
      <c r="G5063">
        <v>4.7141999999999999</v>
      </c>
      <c r="H5063">
        <v>11.233000000000001</v>
      </c>
    </row>
    <row r="5064" spans="1:8" x14ac:dyDescent="0.25">
      <c r="A5064" t="s">
        <v>5070</v>
      </c>
      <c r="B5064">
        <v>63000</v>
      </c>
      <c r="C5064">
        <v>7896110061122</v>
      </c>
      <c r="D5064">
        <v>9.9</v>
      </c>
      <c r="E5064">
        <v>5.16</v>
      </c>
      <c r="F5064" s="3">
        <v>0.43530000000000002</v>
      </c>
      <c r="G5064">
        <v>4.6752000000000002</v>
      </c>
      <c r="H5064">
        <v>7.3330000000000002</v>
      </c>
    </row>
    <row r="5065" spans="1:8" x14ac:dyDescent="0.25">
      <c r="A5065" t="s">
        <v>5071</v>
      </c>
      <c r="B5065">
        <v>66644</v>
      </c>
      <c r="C5065">
        <v>7898453462017</v>
      </c>
      <c r="D5065">
        <v>39.9</v>
      </c>
      <c r="E5065">
        <v>25.84</v>
      </c>
      <c r="F5065" s="3">
        <v>0.25640000000000002</v>
      </c>
      <c r="G5065">
        <v>18.7989</v>
      </c>
      <c r="H5065">
        <v>0.23300000000000001</v>
      </c>
    </row>
    <row r="5066" spans="1:8" x14ac:dyDescent="0.25">
      <c r="A5066" t="s">
        <v>5072</v>
      </c>
      <c r="B5066">
        <v>63761</v>
      </c>
      <c r="C5066">
        <v>7898635644149</v>
      </c>
      <c r="D5066">
        <v>24.9</v>
      </c>
      <c r="E5066">
        <v>13.95</v>
      </c>
      <c r="F5066" s="3">
        <v>0.32819999999999999</v>
      </c>
      <c r="G5066">
        <v>9.9428000000000001</v>
      </c>
      <c r="H5066">
        <v>0.73299999999999998</v>
      </c>
    </row>
    <row r="5067" spans="1:8" x14ac:dyDescent="0.25">
      <c r="A5067" t="s">
        <v>5073</v>
      </c>
      <c r="B5067">
        <v>26249</v>
      </c>
      <c r="C5067">
        <v>7898629611270</v>
      </c>
      <c r="D5067">
        <v>8.99</v>
      </c>
      <c r="E5067">
        <v>2.74</v>
      </c>
      <c r="F5067" s="3">
        <v>0.50549999999999995</v>
      </c>
      <c r="G5067">
        <v>1.9959</v>
      </c>
      <c r="H5067">
        <v>36.433</v>
      </c>
    </row>
    <row r="5068" spans="1:8" x14ac:dyDescent="0.25">
      <c r="A5068" t="s">
        <v>5074</v>
      </c>
      <c r="B5068">
        <v>66645</v>
      </c>
      <c r="C5068">
        <v>7898453460822</v>
      </c>
      <c r="D5068">
        <v>22.9</v>
      </c>
      <c r="E5068">
        <v>14.83</v>
      </c>
      <c r="F5068" s="3">
        <v>0.25640000000000002</v>
      </c>
      <c r="G5068">
        <v>10.789</v>
      </c>
      <c r="H5068">
        <v>0.56699999999999995</v>
      </c>
    </row>
    <row r="5069" spans="1:8" x14ac:dyDescent="0.25">
      <c r="A5069" t="s">
        <v>5075</v>
      </c>
      <c r="B5069">
        <v>26244</v>
      </c>
      <c r="C5069">
        <v>7898629611294</v>
      </c>
      <c r="D5069">
        <v>8.99</v>
      </c>
      <c r="E5069">
        <v>2.56</v>
      </c>
      <c r="F5069" s="3">
        <v>0.52060000000000006</v>
      </c>
      <c r="G5069">
        <v>1.8603000000000001</v>
      </c>
      <c r="H5069">
        <v>17.899999999999999</v>
      </c>
    </row>
    <row r="5070" spans="1:8" x14ac:dyDescent="0.25">
      <c r="A5070" t="s">
        <v>5076</v>
      </c>
      <c r="B5070">
        <v>66646</v>
      </c>
      <c r="C5070">
        <v>7898453460839</v>
      </c>
      <c r="D5070">
        <v>22.9</v>
      </c>
      <c r="E5070">
        <v>14.83</v>
      </c>
      <c r="F5070" s="3">
        <v>0.25640000000000002</v>
      </c>
      <c r="G5070">
        <v>10.789099999999999</v>
      </c>
      <c r="H5070">
        <v>0.46700000000000003</v>
      </c>
    </row>
    <row r="5071" spans="1:8" x14ac:dyDescent="0.25">
      <c r="A5071" t="s">
        <v>5077</v>
      </c>
      <c r="B5071">
        <v>67360</v>
      </c>
      <c r="C5071">
        <v>7898635644163</v>
      </c>
      <c r="D5071">
        <v>17.72</v>
      </c>
      <c r="E5071">
        <v>10.77</v>
      </c>
      <c r="F5071" s="3">
        <v>0.28449999999999998</v>
      </c>
      <c r="G5071">
        <v>7.8494999999999999</v>
      </c>
      <c r="H5071">
        <v>2.3330000000000002</v>
      </c>
    </row>
    <row r="5072" spans="1:8" x14ac:dyDescent="0.25">
      <c r="A5072" t="s">
        <v>5078</v>
      </c>
      <c r="B5072">
        <v>26243</v>
      </c>
      <c r="C5072">
        <v>7898629611287</v>
      </c>
      <c r="D5072">
        <v>8.99</v>
      </c>
      <c r="E5072">
        <v>2.56</v>
      </c>
      <c r="F5072" s="3">
        <v>0.52060000000000006</v>
      </c>
      <c r="G5072">
        <v>1.8603000000000001</v>
      </c>
      <c r="H5072">
        <v>12.766999999999999</v>
      </c>
    </row>
    <row r="5073" spans="1:8" x14ac:dyDescent="0.25">
      <c r="A5073" t="s">
        <v>5079</v>
      </c>
      <c r="B5073">
        <v>69374</v>
      </c>
      <c r="C5073">
        <v>7897173024581</v>
      </c>
      <c r="D5073">
        <v>22.9</v>
      </c>
      <c r="E5073">
        <v>16.32</v>
      </c>
      <c r="F5073" s="3">
        <v>0.2263</v>
      </c>
      <c r="G5073">
        <v>12.852399999999999</v>
      </c>
      <c r="H5073">
        <v>1.1000000000000001</v>
      </c>
    </row>
    <row r="5074" spans="1:8" x14ac:dyDescent="0.25">
      <c r="A5074" t="s">
        <v>5080</v>
      </c>
      <c r="B5074">
        <v>69375</v>
      </c>
      <c r="C5074">
        <v>7897173024291</v>
      </c>
      <c r="D5074">
        <v>22.9</v>
      </c>
      <c r="E5074">
        <v>16.32</v>
      </c>
      <c r="F5074" s="3">
        <v>0.2263</v>
      </c>
      <c r="G5074">
        <v>12.852399999999999</v>
      </c>
      <c r="H5074">
        <v>1.9330000000000001</v>
      </c>
    </row>
    <row r="5075" spans="1:8" x14ac:dyDescent="0.25">
      <c r="A5075" t="s">
        <v>5081</v>
      </c>
      <c r="B5075">
        <v>69378</v>
      </c>
      <c r="C5075">
        <v>7897173023621</v>
      </c>
      <c r="D5075">
        <v>32.9</v>
      </c>
      <c r="E5075">
        <v>22</v>
      </c>
      <c r="F5075" s="3">
        <v>0.26090000000000002</v>
      </c>
      <c r="G5075">
        <v>17.3249</v>
      </c>
      <c r="H5075">
        <v>0.83299999999999996</v>
      </c>
    </row>
    <row r="5076" spans="1:8" x14ac:dyDescent="0.25">
      <c r="A5076" t="s">
        <v>5082</v>
      </c>
      <c r="B5076">
        <v>69379</v>
      </c>
      <c r="C5076">
        <v>7897173022761</v>
      </c>
      <c r="D5076">
        <v>32.9</v>
      </c>
      <c r="E5076">
        <v>22</v>
      </c>
      <c r="F5076" s="3">
        <v>0.26090000000000002</v>
      </c>
      <c r="G5076">
        <v>17.3249</v>
      </c>
      <c r="H5076">
        <v>0.9</v>
      </c>
    </row>
    <row r="5077" spans="1:8" x14ac:dyDescent="0.25">
      <c r="A5077" t="s">
        <v>5083</v>
      </c>
      <c r="B5077">
        <v>69377</v>
      </c>
      <c r="C5077">
        <v>7897173023911</v>
      </c>
      <c r="D5077">
        <v>32.9</v>
      </c>
      <c r="E5077">
        <v>22</v>
      </c>
      <c r="F5077" s="3">
        <v>0.26090000000000002</v>
      </c>
      <c r="G5077">
        <v>17.3249</v>
      </c>
      <c r="H5077">
        <v>0.63300000000000001</v>
      </c>
    </row>
    <row r="5078" spans="1:8" x14ac:dyDescent="0.25">
      <c r="A5078" t="s">
        <v>5084</v>
      </c>
      <c r="B5078">
        <v>5306</v>
      </c>
      <c r="C5078">
        <v>7891022849585</v>
      </c>
      <c r="D5078">
        <v>16.899999999999999</v>
      </c>
      <c r="E5078">
        <v>10.67</v>
      </c>
      <c r="F5078" s="3">
        <v>0.26839999999999997</v>
      </c>
      <c r="G5078">
        <v>7.7584</v>
      </c>
      <c r="H5078">
        <v>2.0329999999999999</v>
      </c>
    </row>
    <row r="5079" spans="1:8" x14ac:dyDescent="0.25">
      <c r="A5079" t="s">
        <v>5085</v>
      </c>
      <c r="B5079">
        <v>5139</v>
      </c>
      <c r="C5079">
        <v>7891022849592</v>
      </c>
      <c r="D5079">
        <v>12.9</v>
      </c>
      <c r="E5079">
        <v>8.01</v>
      </c>
      <c r="F5079" s="3">
        <v>0.27600000000000002</v>
      </c>
      <c r="G5079">
        <v>5.8247</v>
      </c>
      <c r="H5079">
        <v>3.2330000000000001</v>
      </c>
    </row>
    <row r="5080" spans="1:8" x14ac:dyDescent="0.25">
      <c r="A5080" t="s">
        <v>5086</v>
      </c>
      <c r="B5080">
        <v>19511</v>
      </c>
      <c r="C5080">
        <v>7891035032103</v>
      </c>
      <c r="D5080">
        <v>22.9</v>
      </c>
      <c r="E5080">
        <v>14.96</v>
      </c>
      <c r="F5080" s="3">
        <v>0.25230000000000002</v>
      </c>
      <c r="G5080">
        <v>10.881399999999999</v>
      </c>
      <c r="H5080">
        <v>0</v>
      </c>
    </row>
    <row r="5081" spans="1:8" x14ac:dyDescent="0.25">
      <c r="A5081" t="s">
        <v>5087</v>
      </c>
      <c r="B5081">
        <v>63802</v>
      </c>
      <c r="C5081">
        <v>7891035002441</v>
      </c>
      <c r="D5081">
        <v>17.899999999999999</v>
      </c>
      <c r="E5081">
        <v>10.58</v>
      </c>
      <c r="F5081" s="3">
        <v>0.29760000000000003</v>
      </c>
      <c r="G5081">
        <v>7.6959999999999997</v>
      </c>
      <c r="H5081">
        <v>3.7</v>
      </c>
    </row>
    <row r="5082" spans="1:8" x14ac:dyDescent="0.25">
      <c r="A5082" t="s">
        <v>5088</v>
      </c>
      <c r="B5082">
        <v>54156</v>
      </c>
      <c r="C5082">
        <v>7898649351255</v>
      </c>
      <c r="D5082">
        <v>21.9</v>
      </c>
      <c r="E5082">
        <v>14.22</v>
      </c>
      <c r="F5082" s="3">
        <v>0.3196</v>
      </c>
      <c r="G5082">
        <v>12.875999999999999</v>
      </c>
      <c r="H5082">
        <v>1.3</v>
      </c>
    </row>
    <row r="5083" spans="1:8" x14ac:dyDescent="0.25">
      <c r="A5083" t="s">
        <v>5089</v>
      </c>
      <c r="B5083">
        <v>54157</v>
      </c>
      <c r="C5083">
        <v>7898649351248</v>
      </c>
      <c r="D5083">
        <v>20.89</v>
      </c>
      <c r="E5083">
        <v>13.33</v>
      </c>
      <c r="F5083" s="3">
        <v>0.33529999999999999</v>
      </c>
      <c r="G5083">
        <v>11.955</v>
      </c>
      <c r="H5083">
        <v>4.9669999999999996</v>
      </c>
    </row>
    <row r="5084" spans="1:8" x14ac:dyDescent="0.25">
      <c r="A5084" t="s">
        <v>5090</v>
      </c>
      <c r="B5084">
        <v>55674</v>
      </c>
      <c r="C5084">
        <v>7898126320941</v>
      </c>
      <c r="D5084">
        <v>32.9</v>
      </c>
      <c r="E5084">
        <v>18.72</v>
      </c>
      <c r="F5084" s="3">
        <v>0.31409999999999999</v>
      </c>
      <c r="G5084">
        <v>13.600099999999999</v>
      </c>
      <c r="H5084">
        <v>1.3</v>
      </c>
    </row>
    <row r="5085" spans="1:8" x14ac:dyDescent="0.25">
      <c r="A5085" t="s">
        <v>5091</v>
      </c>
      <c r="B5085">
        <v>55673</v>
      </c>
      <c r="C5085">
        <v>7898126320859</v>
      </c>
      <c r="D5085">
        <v>32.9</v>
      </c>
      <c r="E5085">
        <v>18.579999999999998</v>
      </c>
      <c r="F5085" s="3">
        <v>0.31640000000000001</v>
      </c>
      <c r="G5085">
        <v>13.525</v>
      </c>
      <c r="H5085">
        <v>1.0669999999999999</v>
      </c>
    </row>
    <row r="5086" spans="1:8" x14ac:dyDescent="0.25">
      <c r="A5086" t="s">
        <v>5092</v>
      </c>
      <c r="B5086">
        <v>55671</v>
      </c>
      <c r="C5086">
        <v>7898126320897</v>
      </c>
      <c r="D5086">
        <v>21.9</v>
      </c>
      <c r="E5086">
        <v>13.05</v>
      </c>
      <c r="F5086" s="3">
        <v>0.3669</v>
      </c>
      <c r="G5086">
        <v>11.8385</v>
      </c>
      <c r="H5086">
        <v>1.2330000000000001</v>
      </c>
    </row>
    <row r="5087" spans="1:8" x14ac:dyDescent="0.25">
      <c r="A5087" t="s">
        <v>5093</v>
      </c>
      <c r="B5087">
        <v>68475</v>
      </c>
      <c r="C5087">
        <v>7898126321030</v>
      </c>
      <c r="D5087">
        <v>21.9</v>
      </c>
      <c r="E5087">
        <v>14.27</v>
      </c>
      <c r="F5087" s="3">
        <v>0.316</v>
      </c>
      <c r="G5087">
        <v>12.9542</v>
      </c>
      <c r="H5087">
        <v>1.0329999999999999</v>
      </c>
    </row>
    <row r="5088" spans="1:8" x14ac:dyDescent="0.25">
      <c r="A5088" t="s">
        <v>5094</v>
      </c>
      <c r="B5088">
        <v>68479</v>
      </c>
      <c r="C5088">
        <v>7898126321016</v>
      </c>
      <c r="D5088">
        <v>21.9</v>
      </c>
      <c r="E5088">
        <v>14.27</v>
      </c>
      <c r="F5088" s="3">
        <v>0.31719999999999998</v>
      </c>
      <c r="G5088">
        <v>12.9284</v>
      </c>
      <c r="H5088">
        <v>1.5669999999999999</v>
      </c>
    </row>
    <row r="5089" spans="1:8" x14ac:dyDescent="0.25">
      <c r="A5089" t="s">
        <v>5095</v>
      </c>
      <c r="B5089">
        <v>68478</v>
      </c>
      <c r="C5089">
        <v>7898126321047</v>
      </c>
      <c r="D5089">
        <v>21.9</v>
      </c>
      <c r="E5089">
        <v>14.3</v>
      </c>
      <c r="F5089" s="3">
        <v>0.31489999999999996</v>
      </c>
      <c r="G5089">
        <v>12.977399999999999</v>
      </c>
      <c r="H5089">
        <v>0.5</v>
      </c>
    </row>
    <row r="5090" spans="1:8" x14ac:dyDescent="0.25">
      <c r="A5090" t="s">
        <v>5096</v>
      </c>
      <c r="B5090">
        <v>55670</v>
      </c>
      <c r="C5090">
        <v>7898126320873</v>
      </c>
      <c r="D5090">
        <v>16.899999999999999</v>
      </c>
      <c r="E5090">
        <v>9.65</v>
      </c>
      <c r="F5090" s="3">
        <v>0.38929999999999998</v>
      </c>
      <c r="G5090">
        <v>8.7579999999999991</v>
      </c>
      <c r="H5090">
        <v>6.0670000000000002</v>
      </c>
    </row>
    <row r="5091" spans="1:8" x14ac:dyDescent="0.25">
      <c r="A5091" t="s">
        <v>5097</v>
      </c>
      <c r="B5091">
        <v>55669</v>
      </c>
      <c r="C5091">
        <v>7898126320842</v>
      </c>
      <c r="D5091">
        <v>16.899999999999999</v>
      </c>
      <c r="E5091">
        <v>9.76</v>
      </c>
      <c r="F5091" s="3">
        <v>0.38420000000000004</v>
      </c>
      <c r="G5091">
        <v>8.8434000000000008</v>
      </c>
      <c r="H5091">
        <v>15.433</v>
      </c>
    </row>
    <row r="5092" spans="1:8" x14ac:dyDescent="0.25">
      <c r="A5092" t="s">
        <v>5098</v>
      </c>
      <c r="B5092">
        <v>68477</v>
      </c>
      <c r="C5092">
        <v>7898126321023</v>
      </c>
      <c r="D5092">
        <v>21.9</v>
      </c>
      <c r="E5092">
        <v>14.33</v>
      </c>
      <c r="F5092" s="3">
        <v>0.31440000000000001</v>
      </c>
      <c r="G5092">
        <v>12.988200000000001</v>
      </c>
      <c r="H5092">
        <v>1.133</v>
      </c>
    </row>
    <row r="5093" spans="1:8" x14ac:dyDescent="0.25">
      <c r="A5093" t="s">
        <v>5099</v>
      </c>
      <c r="B5093">
        <v>55677</v>
      </c>
      <c r="C5093">
        <v>7898126320460</v>
      </c>
      <c r="D5093">
        <v>21.9</v>
      </c>
      <c r="E5093">
        <v>12.96</v>
      </c>
      <c r="F5093" s="3">
        <v>0.3705</v>
      </c>
      <c r="G5093">
        <v>11.76</v>
      </c>
      <c r="H5093">
        <v>0</v>
      </c>
    </row>
    <row r="5094" spans="1:8" x14ac:dyDescent="0.25">
      <c r="A5094" t="s">
        <v>5100</v>
      </c>
      <c r="B5094">
        <v>67958</v>
      </c>
      <c r="C5094">
        <v>7898599218110</v>
      </c>
      <c r="D5094">
        <v>69.900000000000006</v>
      </c>
      <c r="E5094">
        <v>40.799999999999997</v>
      </c>
      <c r="F5094" s="3">
        <v>0.3029</v>
      </c>
      <c r="G5094">
        <v>29.678999999999998</v>
      </c>
      <c r="H5094">
        <v>0.33300000000000002</v>
      </c>
    </row>
    <row r="5095" spans="1:8" x14ac:dyDescent="0.25">
      <c r="A5095" t="s">
        <v>5101</v>
      </c>
      <c r="B5095">
        <v>67903</v>
      </c>
      <c r="C5095">
        <v>619205803431</v>
      </c>
      <c r="D5095">
        <v>29.9</v>
      </c>
      <c r="E5095">
        <v>18.39</v>
      </c>
      <c r="F5095" s="3">
        <v>0.34920000000000001</v>
      </c>
      <c r="G5095">
        <v>16.693300000000001</v>
      </c>
      <c r="H5095">
        <v>0</v>
      </c>
    </row>
    <row r="5096" spans="1:8" x14ac:dyDescent="0.25">
      <c r="A5096" t="s">
        <v>5102</v>
      </c>
      <c r="B5096">
        <v>67904</v>
      </c>
      <c r="C5096">
        <v>619205803400</v>
      </c>
      <c r="D5096">
        <v>29.9</v>
      </c>
      <c r="E5096">
        <v>17.91</v>
      </c>
      <c r="F5096" s="3">
        <v>0.3639</v>
      </c>
      <c r="G5096">
        <v>16.253299999999999</v>
      </c>
      <c r="H5096">
        <v>0</v>
      </c>
    </row>
    <row r="5097" spans="1:8" x14ac:dyDescent="0.25">
      <c r="A5097" t="s">
        <v>5103</v>
      </c>
      <c r="B5097">
        <v>39948</v>
      </c>
      <c r="C5097">
        <v>7896028700090</v>
      </c>
      <c r="D5097">
        <v>49.9</v>
      </c>
      <c r="E5097">
        <v>29.7</v>
      </c>
      <c r="F5097" s="3">
        <v>0.29109999999999997</v>
      </c>
      <c r="G5097">
        <v>21.775200000000002</v>
      </c>
      <c r="H5097">
        <v>0.8</v>
      </c>
    </row>
    <row r="5098" spans="1:8" x14ac:dyDescent="0.25">
      <c r="A5098" t="s">
        <v>5104</v>
      </c>
      <c r="B5098">
        <v>67902</v>
      </c>
      <c r="C5098">
        <v>619205803462</v>
      </c>
      <c r="D5098">
        <v>69.900000000000006</v>
      </c>
      <c r="E5098">
        <v>53.71</v>
      </c>
      <c r="F5098" s="3">
        <v>0.2102</v>
      </c>
      <c r="G5098">
        <v>48.739199999999997</v>
      </c>
      <c r="H5098">
        <v>3.3000000000000002E-2</v>
      </c>
    </row>
    <row r="5099" spans="1:8" x14ac:dyDescent="0.25">
      <c r="A5099" t="s">
        <v>5105</v>
      </c>
      <c r="B5099">
        <v>64219</v>
      </c>
      <c r="C5099">
        <v>7896029079508</v>
      </c>
      <c r="D5099">
        <v>10.9</v>
      </c>
      <c r="E5099">
        <v>6.63</v>
      </c>
      <c r="F5099" s="3">
        <v>0.35570000000000002</v>
      </c>
      <c r="G5099">
        <v>6.0151000000000003</v>
      </c>
      <c r="H5099">
        <v>2.133</v>
      </c>
    </row>
    <row r="5100" spans="1:8" x14ac:dyDescent="0.25">
      <c r="A5100" t="s">
        <v>5106</v>
      </c>
      <c r="B5100">
        <v>64220</v>
      </c>
      <c r="C5100">
        <v>7896029079546</v>
      </c>
      <c r="D5100">
        <v>10.9</v>
      </c>
      <c r="E5100">
        <v>6.63</v>
      </c>
      <c r="F5100" s="3">
        <v>0.35560000000000003</v>
      </c>
      <c r="G5100">
        <v>6.0156999999999998</v>
      </c>
      <c r="H5100">
        <v>0.46700000000000003</v>
      </c>
    </row>
    <row r="5101" spans="1:8" x14ac:dyDescent="0.25">
      <c r="A5101" t="s">
        <v>5107</v>
      </c>
      <c r="B5101">
        <v>64166</v>
      </c>
      <c r="C5101">
        <v>7896029079607</v>
      </c>
      <c r="D5101">
        <v>10.9</v>
      </c>
      <c r="E5101">
        <v>6.63</v>
      </c>
      <c r="F5101" s="3">
        <v>0.35570000000000002</v>
      </c>
      <c r="G5101">
        <v>6.0149999999999997</v>
      </c>
      <c r="H5101">
        <v>0.46700000000000003</v>
      </c>
    </row>
    <row r="5102" spans="1:8" x14ac:dyDescent="0.25">
      <c r="A5102" t="s">
        <v>5108</v>
      </c>
      <c r="B5102">
        <v>64161</v>
      </c>
      <c r="C5102">
        <v>7896029079447</v>
      </c>
      <c r="D5102">
        <v>10.9</v>
      </c>
      <c r="E5102">
        <v>6.63</v>
      </c>
      <c r="F5102" s="3">
        <v>0.35570000000000002</v>
      </c>
      <c r="G5102">
        <v>6.0149999999999997</v>
      </c>
      <c r="H5102">
        <v>1.5</v>
      </c>
    </row>
    <row r="5103" spans="1:8" x14ac:dyDescent="0.25">
      <c r="A5103" t="s">
        <v>5109</v>
      </c>
      <c r="B5103">
        <v>64162</v>
      </c>
      <c r="C5103">
        <v>7896029079461</v>
      </c>
      <c r="D5103">
        <v>10.9</v>
      </c>
      <c r="E5103">
        <v>6.63</v>
      </c>
      <c r="F5103" s="3">
        <v>0.35549999999999998</v>
      </c>
      <c r="G5103">
        <v>6.0164</v>
      </c>
      <c r="H5103">
        <v>1.4330000000000001</v>
      </c>
    </row>
    <row r="5104" spans="1:8" x14ac:dyDescent="0.25">
      <c r="A5104" t="s">
        <v>5110</v>
      </c>
      <c r="B5104">
        <v>64164</v>
      </c>
      <c r="C5104">
        <v>7896029079485</v>
      </c>
      <c r="D5104">
        <v>10.9</v>
      </c>
      <c r="E5104">
        <v>6.63</v>
      </c>
      <c r="F5104" s="3">
        <v>0.35560000000000003</v>
      </c>
      <c r="G5104">
        <v>6.0152000000000001</v>
      </c>
      <c r="H5104">
        <v>0.23300000000000001</v>
      </c>
    </row>
    <row r="5105" spans="1:8" x14ac:dyDescent="0.25">
      <c r="A5105" t="s">
        <v>5111</v>
      </c>
      <c r="B5105">
        <v>6570</v>
      </c>
      <c r="C5105">
        <v>7891167011861</v>
      </c>
      <c r="D5105">
        <v>10.9</v>
      </c>
      <c r="E5105">
        <v>7.07</v>
      </c>
      <c r="F5105" s="3">
        <v>0.31900000000000001</v>
      </c>
      <c r="G5105">
        <v>6.4151999999999996</v>
      </c>
      <c r="H5105">
        <v>1.4330000000000001</v>
      </c>
    </row>
    <row r="5106" spans="1:8" x14ac:dyDescent="0.25">
      <c r="A5106" t="s">
        <v>5112</v>
      </c>
      <c r="B5106">
        <v>6571</v>
      </c>
      <c r="C5106">
        <v>7891167015012</v>
      </c>
      <c r="D5106">
        <v>10.9</v>
      </c>
      <c r="E5106">
        <v>7.05</v>
      </c>
      <c r="F5106" s="3">
        <v>0.32040000000000002</v>
      </c>
      <c r="G5106">
        <v>6.3997000000000002</v>
      </c>
      <c r="H5106">
        <v>3.3000000000000002E-2</v>
      </c>
    </row>
    <row r="5107" spans="1:8" x14ac:dyDescent="0.25">
      <c r="A5107" t="s">
        <v>5113</v>
      </c>
      <c r="B5107">
        <v>6572</v>
      </c>
      <c r="C5107">
        <v>7891167011854</v>
      </c>
      <c r="D5107">
        <v>10.9</v>
      </c>
      <c r="E5107">
        <v>7.06</v>
      </c>
      <c r="F5107" s="3">
        <v>0.31929999999999997</v>
      </c>
      <c r="G5107">
        <v>6.4112</v>
      </c>
      <c r="H5107">
        <v>0</v>
      </c>
    </row>
    <row r="5108" spans="1:8" x14ac:dyDescent="0.25">
      <c r="A5108" t="s">
        <v>5114</v>
      </c>
      <c r="B5108">
        <v>20363</v>
      </c>
      <c r="C5108">
        <v>7891167015029</v>
      </c>
      <c r="D5108">
        <v>10.9</v>
      </c>
      <c r="E5108">
        <v>7.08</v>
      </c>
      <c r="F5108" s="3">
        <v>0.31819999999999998</v>
      </c>
      <c r="G5108">
        <v>6.423</v>
      </c>
      <c r="H5108">
        <v>6.7000000000000004E-2</v>
      </c>
    </row>
    <row r="5109" spans="1:8" x14ac:dyDescent="0.25">
      <c r="A5109" t="s">
        <v>5115</v>
      </c>
      <c r="B5109">
        <v>6573</v>
      </c>
      <c r="C5109">
        <v>7891167011847</v>
      </c>
      <c r="D5109">
        <v>10.9</v>
      </c>
      <c r="E5109">
        <v>7.05</v>
      </c>
      <c r="F5109" s="3">
        <v>0.32020000000000004</v>
      </c>
      <c r="G5109">
        <v>6.4020000000000001</v>
      </c>
      <c r="H5109">
        <v>3.8</v>
      </c>
    </row>
    <row r="5110" spans="1:8" x14ac:dyDescent="0.25">
      <c r="A5110" t="s">
        <v>5116</v>
      </c>
      <c r="B5110">
        <v>66984</v>
      </c>
      <c r="C5110">
        <v>7891167831667</v>
      </c>
      <c r="D5110">
        <v>9.9</v>
      </c>
      <c r="E5110">
        <v>6.01</v>
      </c>
      <c r="F5110" s="3">
        <v>0.35590000000000005</v>
      </c>
      <c r="G5110">
        <v>5.4612999999999996</v>
      </c>
      <c r="H5110">
        <v>10.967000000000001</v>
      </c>
    </row>
    <row r="5111" spans="1:8" x14ac:dyDescent="0.25">
      <c r="A5111" t="s">
        <v>5117</v>
      </c>
      <c r="B5111">
        <v>66983</v>
      </c>
      <c r="C5111">
        <v>7891167831650</v>
      </c>
      <c r="D5111">
        <v>9.9</v>
      </c>
      <c r="E5111">
        <v>6.09</v>
      </c>
      <c r="F5111" s="3">
        <v>0.34899999999999998</v>
      </c>
      <c r="G5111">
        <v>5.5290999999999997</v>
      </c>
      <c r="H5111">
        <v>8.8330000000000002</v>
      </c>
    </row>
    <row r="5112" spans="1:8" x14ac:dyDescent="0.25">
      <c r="A5112" t="s">
        <v>5118</v>
      </c>
      <c r="B5112">
        <v>64221</v>
      </c>
      <c r="C5112">
        <v>7896029079522</v>
      </c>
      <c r="D5112">
        <v>10.9</v>
      </c>
      <c r="E5112">
        <v>6.63</v>
      </c>
      <c r="F5112" s="3">
        <v>0.35570000000000002</v>
      </c>
      <c r="G5112">
        <v>6.0151000000000003</v>
      </c>
      <c r="H5112">
        <v>0.83299999999999996</v>
      </c>
    </row>
    <row r="5113" spans="1:8" x14ac:dyDescent="0.25">
      <c r="A5113" t="s">
        <v>5119</v>
      </c>
      <c r="B5113">
        <v>67919</v>
      </c>
      <c r="C5113">
        <v>7896659120830</v>
      </c>
      <c r="D5113">
        <v>12.19</v>
      </c>
      <c r="E5113">
        <v>7.72</v>
      </c>
      <c r="F5113" s="3">
        <v>0.3332</v>
      </c>
      <c r="G5113">
        <v>7.0033000000000003</v>
      </c>
      <c r="H5113">
        <v>0.2</v>
      </c>
    </row>
    <row r="5114" spans="1:8" x14ac:dyDescent="0.25">
      <c r="A5114" t="s">
        <v>5120</v>
      </c>
      <c r="B5114">
        <v>9940</v>
      </c>
      <c r="C5114">
        <v>7891095007981</v>
      </c>
      <c r="D5114">
        <v>20.9</v>
      </c>
      <c r="E5114">
        <v>15.54</v>
      </c>
      <c r="F5114" s="3">
        <v>0.18640000000000001</v>
      </c>
      <c r="G5114">
        <v>11.308999999999999</v>
      </c>
      <c r="H5114">
        <v>0.76700000000000002</v>
      </c>
    </row>
    <row r="5115" spans="1:8" x14ac:dyDescent="0.25">
      <c r="A5115" t="s">
        <v>5121</v>
      </c>
      <c r="B5115">
        <v>42141</v>
      </c>
      <c r="C5115">
        <v>7891035560798</v>
      </c>
      <c r="D5115">
        <v>4.1500000000000004</v>
      </c>
      <c r="E5115">
        <v>2.74</v>
      </c>
      <c r="F5115" s="3">
        <v>0.30820000000000003</v>
      </c>
      <c r="G5115">
        <v>2.4872000000000001</v>
      </c>
      <c r="H5115">
        <v>3.3330000000000002</v>
      </c>
    </row>
    <row r="5116" spans="1:8" x14ac:dyDescent="0.25">
      <c r="A5116" t="s">
        <v>5122</v>
      </c>
      <c r="B5116">
        <v>19542</v>
      </c>
      <c r="C5116">
        <v>7891035524349</v>
      </c>
      <c r="D5116">
        <v>4.1500000000000004</v>
      </c>
      <c r="E5116">
        <v>2.74</v>
      </c>
      <c r="F5116" s="3">
        <v>0.30730000000000002</v>
      </c>
      <c r="G5116">
        <v>2.4906999999999999</v>
      </c>
      <c r="H5116">
        <v>2.8330000000000002</v>
      </c>
    </row>
    <row r="5117" spans="1:8" x14ac:dyDescent="0.25">
      <c r="A5117" t="s">
        <v>5123</v>
      </c>
      <c r="B5117">
        <v>39982</v>
      </c>
      <c r="C5117">
        <v>7891035524189</v>
      </c>
      <c r="D5117">
        <v>4.1500000000000004</v>
      </c>
      <c r="E5117">
        <v>2.74</v>
      </c>
      <c r="F5117" s="3">
        <v>0.31140000000000001</v>
      </c>
      <c r="G5117">
        <v>2.4739</v>
      </c>
      <c r="H5117">
        <v>4.4669999999999996</v>
      </c>
    </row>
    <row r="5118" spans="1:8" x14ac:dyDescent="0.25">
      <c r="A5118" t="s">
        <v>5124</v>
      </c>
      <c r="B5118">
        <v>39981</v>
      </c>
      <c r="C5118">
        <v>7891035524271</v>
      </c>
      <c r="D5118">
        <v>4.1500000000000004</v>
      </c>
      <c r="E5118">
        <v>2.74</v>
      </c>
      <c r="F5118" s="3">
        <v>0.3075</v>
      </c>
      <c r="G5118">
        <v>2.4900000000000002</v>
      </c>
      <c r="H5118">
        <v>2.8</v>
      </c>
    </row>
    <row r="5119" spans="1:8" x14ac:dyDescent="0.25">
      <c r="A5119" t="s">
        <v>5125</v>
      </c>
      <c r="B5119">
        <v>57623</v>
      </c>
      <c r="C5119">
        <v>7891035524240</v>
      </c>
      <c r="D5119">
        <v>4.1500000000000004</v>
      </c>
      <c r="E5119">
        <v>2.74</v>
      </c>
      <c r="F5119" s="3">
        <v>0.30760000000000004</v>
      </c>
      <c r="G5119">
        <v>2.4897</v>
      </c>
      <c r="H5119">
        <v>3.5670000000000002</v>
      </c>
    </row>
    <row r="5120" spans="1:8" x14ac:dyDescent="0.25">
      <c r="A5120" t="s">
        <v>5126</v>
      </c>
      <c r="B5120">
        <v>63800</v>
      </c>
      <c r="C5120">
        <v>7891035002359</v>
      </c>
      <c r="D5120">
        <v>6.2</v>
      </c>
      <c r="E5120">
        <v>4.1900000000000004</v>
      </c>
      <c r="F5120" s="3">
        <v>0.29469999999999996</v>
      </c>
      <c r="G5120">
        <v>3.7991999999999999</v>
      </c>
      <c r="H5120">
        <v>4.4669999999999996</v>
      </c>
    </row>
    <row r="5121" spans="1:8" x14ac:dyDescent="0.25">
      <c r="A5121" t="s">
        <v>5127</v>
      </c>
      <c r="B5121">
        <v>63801</v>
      </c>
      <c r="C5121">
        <v>7891035002403</v>
      </c>
      <c r="D5121">
        <v>6.2</v>
      </c>
      <c r="E5121">
        <v>4.2</v>
      </c>
      <c r="F5121" s="3">
        <v>0.29320000000000002</v>
      </c>
      <c r="G5121">
        <v>3.8089</v>
      </c>
      <c r="H5121">
        <v>1.7669999999999999</v>
      </c>
    </row>
    <row r="5122" spans="1:8" x14ac:dyDescent="0.25">
      <c r="A5122" t="s">
        <v>5128</v>
      </c>
      <c r="B5122">
        <v>58312</v>
      </c>
      <c r="C5122">
        <v>7891116149485</v>
      </c>
      <c r="D5122">
        <v>20.9</v>
      </c>
      <c r="E5122">
        <v>10.25</v>
      </c>
      <c r="F5122" s="3">
        <v>0.36799999999999999</v>
      </c>
      <c r="G5122">
        <v>7.5141999999999998</v>
      </c>
      <c r="H5122">
        <v>0.56699999999999995</v>
      </c>
    </row>
    <row r="5123" spans="1:8" x14ac:dyDescent="0.25">
      <c r="A5123" t="s">
        <v>5129</v>
      </c>
      <c r="B5123">
        <v>5315</v>
      </c>
      <c r="C5123">
        <v>7891055131626</v>
      </c>
      <c r="D5123">
        <v>16.899999999999999</v>
      </c>
      <c r="E5123">
        <v>8.33</v>
      </c>
      <c r="F5123" s="3">
        <v>0.46920000000000001</v>
      </c>
      <c r="G5123">
        <v>7.4071999999999996</v>
      </c>
      <c r="H5123">
        <v>3.3000000000000002E-2</v>
      </c>
    </row>
    <row r="5124" spans="1:8" x14ac:dyDescent="0.25">
      <c r="A5124" t="s">
        <v>5130</v>
      </c>
      <c r="B5124">
        <v>64886</v>
      </c>
      <c r="C5124">
        <v>7908049501386</v>
      </c>
      <c r="D5124">
        <v>24.9</v>
      </c>
      <c r="E5124">
        <v>17.670000000000002</v>
      </c>
      <c r="F5124" s="3">
        <v>0.26619999999999999</v>
      </c>
      <c r="G5124">
        <v>15.967599999999999</v>
      </c>
      <c r="H5124">
        <v>1.2</v>
      </c>
    </row>
    <row r="5125" spans="1:8" x14ac:dyDescent="0.25">
      <c r="A5125" t="s">
        <v>5131</v>
      </c>
      <c r="B5125">
        <v>25741</v>
      </c>
      <c r="C5125">
        <v>7898968066380</v>
      </c>
      <c r="D5125">
        <v>16.899999999999999</v>
      </c>
      <c r="E5125">
        <v>8.77</v>
      </c>
      <c r="F5125" s="3">
        <v>0.43659999999999999</v>
      </c>
      <c r="G5125">
        <v>7.9583000000000004</v>
      </c>
      <c r="H5125">
        <v>0.96699999999999997</v>
      </c>
    </row>
    <row r="5126" spans="1:8" x14ac:dyDescent="0.25">
      <c r="A5126" t="s">
        <v>5132</v>
      </c>
      <c r="B5126">
        <v>6582</v>
      </c>
      <c r="C5126">
        <v>7891031112304</v>
      </c>
      <c r="D5126">
        <v>19.899999999999999</v>
      </c>
      <c r="E5126">
        <v>14.14</v>
      </c>
      <c r="F5126" s="3">
        <v>0.1946</v>
      </c>
      <c r="G5126">
        <v>14.187200000000001</v>
      </c>
      <c r="H5126">
        <v>5.133</v>
      </c>
    </row>
    <row r="5127" spans="1:8" x14ac:dyDescent="0.25">
      <c r="A5127" t="s">
        <v>5133</v>
      </c>
      <c r="B5127">
        <v>68107</v>
      </c>
      <c r="C5127">
        <v>7891150098725</v>
      </c>
      <c r="D5127">
        <v>18.899999999999999</v>
      </c>
      <c r="E5127">
        <v>12.42</v>
      </c>
      <c r="F5127" s="3">
        <v>0.31120000000000003</v>
      </c>
      <c r="G5127">
        <v>11.2697</v>
      </c>
      <c r="H5127">
        <v>17.766999999999999</v>
      </c>
    </row>
    <row r="5128" spans="1:8" x14ac:dyDescent="0.25">
      <c r="A5128" t="s">
        <v>5134</v>
      </c>
      <c r="B5128">
        <v>68106</v>
      </c>
      <c r="C5128">
        <v>7891150098732</v>
      </c>
      <c r="D5128">
        <v>18.899999999999999</v>
      </c>
      <c r="E5128">
        <v>12.42</v>
      </c>
      <c r="F5128" s="3">
        <v>0.31120000000000003</v>
      </c>
      <c r="G5128">
        <v>11.2697</v>
      </c>
      <c r="H5128">
        <v>24</v>
      </c>
    </row>
    <row r="5129" spans="1:8" x14ac:dyDescent="0.25">
      <c r="A5129" t="s">
        <v>5135</v>
      </c>
      <c r="B5129">
        <v>13013</v>
      </c>
      <c r="C5129">
        <v>7896196000022</v>
      </c>
      <c r="D5129">
        <v>44.9</v>
      </c>
      <c r="E5129">
        <v>30.39</v>
      </c>
      <c r="F5129" s="3">
        <v>0.28710000000000002</v>
      </c>
      <c r="G5129">
        <v>27.8537</v>
      </c>
      <c r="H5129">
        <v>0.36699999999999999</v>
      </c>
    </row>
    <row r="5130" spans="1:8" x14ac:dyDescent="0.25">
      <c r="A5130" t="s">
        <v>5136</v>
      </c>
      <c r="B5130">
        <v>9586</v>
      </c>
      <c r="C5130">
        <v>7896196082110</v>
      </c>
      <c r="D5130">
        <v>44.9</v>
      </c>
      <c r="E5130">
        <v>31.61</v>
      </c>
      <c r="F5130" s="3">
        <v>0.26860000000000001</v>
      </c>
      <c r="G5130">
        <v>28.6875</v>
      </c>
      <c r="H5130">
        <v>0.16700000000000001</v>
      </c>
    </row>
    <row r="5131" spans="1:8" x14ac:dyDescent="0.25">
      <c r="A5131" t="s">
        <v>5137</v>
      </c>
      <c r="B5131">
        <v>9416</v>
      </c>
      <c r="C5131">
        <v>7891032016106</v>
      </c>
      <c r="D5131">
        <v>15.99</v>
      </c>
      <c r="E5131">
        <v>10.33</v>
      </c>
      <c r="F5131" s="3">
        <v>0.32150000000000001</v>
      </c>
      <c r="G5131">
        <v>9.3698999999999995</v>
      </c>
      <c r="H5131">
        <v>7.8</v>
      </c>
    </row>
    <row r="5132" spans="1:8" x14ac:dyDescent="0.25">
      <c r="A5132" t="s">
        <v>5138</v>
      </c>
      <c r="B5132">
        <v>64233</v>
      </c>
      <c r="C5132">
        <v>7896029041932</v>
      </c>
      <c r="D5132">
        <v>25.9</v>
      </c>
      <c r="E5132">
        <v>15.2</v>
      </c>
      <c r="F5132" s="3">
        <v>0.30049999999999999</v>
      </c>
      <c r="G5132">
        <v>11.059200000000001</v>
      </c>
      <c r="H5132">
        <v>1.9330000000000001</v>
      </c>
    </row>
    <row r="5133" spans="1:8" x14ac:dyDescent="0.25">
      <c r="A5133" t="s">
        <v>5139</v>
      </c>
      <c r="B5133">
        <v>64174</v>
      </c>
      <c r="C5133">
        <v>7896029028414</v>
      </c>
      <c r="D5133">
        <v>5.9</v>
      </c>
      <c r="E5133">
        <v>4.58</v>
      </c>
      <c r="F5133" s="3">
        <v>0.16289999999999999</v>
      </c>
      <c r="G5133">
        <v>3.3309000000000002</v>
      </c>
      <c r="H5133">
        <v>6.0330000000000004</v>
      </c>
    </row>
    <row r="5134" spans="1:8" x14ac:dyDescent="0.25">
      <c r="A5134" t="s">
        <v>5140</v>
      </c>
      <c r="B5134">
        <v>64178</v>
      </c>
      <c r="C5134">
        <v>7896029028438</v>
      </c>
      <c r="D5134">
        <v>5.9</v>
      </c>
      <c r="E5134">
        <v>4.57</v>
      </c>
      <c r="F5134" s="3">
        <v>0.16320000000000001</v>
      </c>
      <c r="G5134">
        <v>3.3294000000000001</v>
      </c>
      <c r="H5134">
        <v>4</v>
      </c>
    </row>
    <row r="5135" spans="1:8" x14ac:dyDescent="0.25">
      <c r="A5135" t="s">
        <v>5141</v>
      </c>
      <c r="B5135">
        <v>64175</v>
      </c>
      <c r="C5135">
        <v>7896029021569</v>
      </c>
      <c r="D5135">
        <v>5.9</v>
      </c>
      <c r="E5135">
        <v>4.57</v>
      </c>
      <c r="F5135" s="3">
        <v>0.16329999999999997</v>
      </c>
      <c r="G5135">
        <v>3.3289</v>
      </c>
      <c r="H5135">
        <v>3.867</v>
      </c>
    </row>
    <row r="5136" spans="1:8" x14ac:dyDescent="0.25">
      <c r="A5136" t="s">
        <v>5142</v>
      </c>
      <c r="B5136">
        <v>59309</v>
      </c>
      <c r="C5136">
        <v>7891000407189</v>
      </c>
      <c r="D5136">
        <v>7.9</v>
      </c>
      <c r="E5136">
        <v>4.4400000000000004</v>
      </c>
      <c r="F5136" s="3">
        <v>0.31879999999999997</v>
      </c>
      <c r="G5136">
        <v>3.2290999999999999</v>
      </c>
      <c r="H5136">
        <v>4.7329999999999997</v>
      </c>
    </row>
    <row r="5137" spans="1:8" x14ac:dyDescent="0.25">
      <c r="A5137" t="s">
        <v>5143</v>
      </c>
      <c r="B5137">
        <v>51953</v>
      </c>
      <c r="C5137">
        <v>7891000407196</v>
      </c>
      <c r="D5137">
        <v>7.9</v>
      </c>
      <c r="E5137">
        <v>4.47</v>
      </c>
      <c r="F5137" s="3">
        <v>0.31569999999999998</v>
      </c>
      <c r="G5137">
        <v>3.2532999999999999</v>
      </c>
      <c r="H5137">
        <v>5.0999999999999996</v>
      </c>
    </row>
    <row r="5138" spans="1:8" x14ac:dyDescent="0.25">
      <c r="A5138" t="s">
        <v>5144</v>
      </c>
      <c r="B5138">
        <v>51952</v>
      </c>
      <c r="C5138">
        <v>7891000406960</v>
      </c>
      <c r="D5138">
        <v>7.9</v>
      </c>
      <c r="E5138">
        <v>4.4400000000000004</v>
      </c>
      <c r="F5138" s="3">
        <v>0.31890000000000002</v>
      </c>
      <c r="G5138">
        <v>3.2282000000000002</v>
      </c>
      <c r="H5138">
        <v>4.9000000000000004</v>
      </c>
    </row>
    <row r="5139" spans="1:8" x14ac:dyDescent="0.25">
      <c r="A5139" t="s">
        <v>5145</v>
      </c>
      <c r="B5139">
        <v>64227</v>
      </c>
      <c r="C5139">
        <v>7896029052365</v>
      </c>
      <c r="D5139">
        <v>29.9</v>
      </c>
      <c r="E5139">
        <v>18.25</v>
      </c>
      <c r="F5139" s="3">
        <v>0.28339999999999999</v>
      </c>
      <c r="G5139">
        <v>13.277200000000001</v>
      </c>
      <c r="H5139">
        <v>1.0329999999999999</v>
      </c>
    </row>
    <row r="5140" spans="1:8" x14ac:dyDescent="0.25">
      <c r="A5140" t="s">
        <v>5146</v>
      </c>
      <c r="B5140">
        <v>68790</v>
      </c>
      <c r="C5140">
        <v>7896029043394</v>
      </c>
      <c r="D5140">
        <v>14.9</v>
      </c>
      <c r="E5140">
        <v>10.68</v>
      </c>
      <c r="F5140" s="3">
        <v>0.20579999999999998</v>
      </c>
      <c r="G5140">
        <v>7.7727000000000004</v>
      </c>
      <c r="H5140">
        <v>0.53300000000000003</v>
      </c>
    </row>
    <row r="5141" spans="1:8" x14ac:dyDescent="0.25">
      <c r="A5141" t="s">
        <v>5147</v>
      </c>
      <c r="B5141">
        <v>64225</v>
      </c>
      <c r="C5141">
        <v>7896029052358</v>
      </c>
      <c r="D5141">
        <v>25.9</v>
      </c>
      <c r="E5141">
        <v>15.09</v>
      </c>
      <c r="F5141" s="3">
        <v>0.3054</v>
      </c>
      <c r="G5141">
        <v>10.933400000000001</v>
      </c>
      <c r="H5141">
        <v>1.3</v>
      </c>
    </row>
    <row r="5142" spans="1:8" x14ac:dyDescent="0.25">
      <c r="A5142" t="s">
        <v>5148</v>
      </c>
      <c r="B5142">
        <v>64222</v>
      </c>
      <c r="C5142">
        <v>7896029052341</v>
      </c>
      <c r="D5142">
        <v>13.9</v>
      </c>
      <c r="E5142">
        <v>7.85</v>
      </c>
      <c r="F5142" s="3">
        <v>0.31590000000000001</v>
      </c>
      <c r="G5142">
        <v>5.7210999999999999</v>
      </c>
      <c r="H5142">
        <v>2.367</v>
      </c>
    </row>
    <row r="5143" spans="1:8" x14ac:dyDescent="0.25">
      <c r="A5143" t="s">
        <v>5149</v>
      </c>
      <c r="B5143">
        <v>64223</v>
      </c>
      <c r="C5143">
        <v>7896029052334</v>
      </c>
      <c r="D5143">
        <v>19.899999999999999</v>
      </c>
      <c r="E5143">
        <v>11.54</v>
      </c>
      <c r="F5143" s="3">
        <v>0.30570000000000003</v>
      </c>
      <c r="G5143">
        <v>8.3938000000000006</v>
      </c>
      <c r="H5143">
        <v>1.633</v>
      </c>
    </row>
    <row r="5144" spans="1:8" x14ac:dyDescent="0.25">
      <c r="A5144" t="s">
        <v>5150</v>
      </c>
      <c r="B5144">
        <v>64212</v>
      </c>
      <c r="C5144">
        <v>7896029052327</v>
      </c>
      <c r="D5144">
        <v>11.49</v>
      </c>
      <c r="E5144">
        <v>6.65</v>
      </c>
      <c r="F5144" s="3">
        <v>0.30620000000000003</v>
      </c>
      <c r="G5144">
        <v>4.8410000000000002</v>
      </c>
      <c r="H5144">
        <v>2.5</v>
      </c>
    </row>
    <row r="5145" spans="1:8" x14ac:dyDescent="0.25">
      <c r="A5145" t="s">
        <v>5151</v>
      </c>
      <c r="B5145">
        <v>64234</v>
      </c>
      <c r="C5145">
        <v>7896029043387</v>
      </c>
      <c r="D5145">
        <v>25.9</v>
      </c>
      <c r="E5145">
        <v>15.2</v>
      </c>
      <c r="F5145" s="3">
        <v>0.30049999999999999</v>
      </c>
      <c r="G5145">
        <v>11.058999999999999</v>
      </c>
      <c r="H5145">
        <v>0.93300000000000005</v>
      </c>
    </row>
    <row r="5146" spans="1:8" x14ac:dyDescent="0.25">
      <c r="A5146" t="s">
        <v>5152</v>
      </c>
      <c r="B5146">
        <v>56875</v>
      </c>
      <c r="C5146">
        <v>7891000262023</v>
      </c>
      <c r="D5146">
        <v>16.899999999999999</v>
      </c>
      <c r="E5146">
        <v>9.91</v>
      </c>
      <c r="F5146" s="3">
        <v>0.30109999999999998</v>
      </c>
      <c r="G5146">
        <v>7.2053000000000003</v>
      </c>
      <c r="H5146">
        <v>1.133</v>
      </c>
    </row>
    <row r="5147" spans="1:8" x14ac:dyDescent="0.25">
      <c r="A5147" t="s">
        <v>5153</v>
      </c>
      <c r="B5147">
        <v>68261</v>
      </c>
      <c r="C5147">
        <v>7891000400548</v>
      </c>
      <c r="D5147">
        <v>18.899999999999999</v>
      </c>
      <c r="E5147">
        <v>12.03</v>
      </c>
      <c r="F5147" s="3">
        <v>0.2646</v>
      </c>
      <c r="G5147">
        <v>8.7486999999999995</v>
      </c>
      <c r="H5147">
        <v>0.6</v>
      </c>
    </row>
    <row r="5148" spans="1:8" x14ac:dyDescent="0.25">
      <c r="A5148" t="s">
        <v>5154</v>
      </c>
      <c r="B5148">
        <v>56876</v>
      </c>
      <c r="C5148">
        <v>7891000262009</v>
      </c>
      <c r="D5148">
        <v>10.9</v>
      </c>
      <c r="E5148">
        <v>6.23</v>
      </c>
      <c r="F5148" s="3">
        <v>0.31120000000000003</v>
      </c>
      <c r="G5148">
        <v>4.5373999999999999</v>
      </c>
      <c r="H5148">
        <v>1.1000000000000001</v>
      </c>
    </row>
    <row r="5149" spans="1:8" x14ac:dyDescent="0.25">
      <c r="A5149" t="s">
        <v>5155</v>
      </c>
      <c r="B5149">
        <v>56874</v>
      </c>
      <c r="C5149">
        <v>7891000261989</v>
      </c>
      <c r="D5149">
        <v>10.9</v>
      </c>
      <c r="E5149">
        <v>7.28</v>
      </c>
      <c r="F5149" s="3">
        <v>0.2419</v>
      </c>
      <c r="G5149">
        <v>5.2931999999999997</v>
      </c>
      <c r="H5149">
        <v>2.4670000000000001</v>
      </c>
    </row>
    <row r="5150" spans="1:8" x14ac:dyDescent="0.25">
      <c r="A5150" t="s">
        <v>5156</v>
      </c>
      <c r="B5150">
        <v>64188</v>
      </c>
      <c r="C5150">
        <v>7896029021743</v>
      </c>
      <c r="D5150">
        <v>12.9</v>
      </c>
      <c r="E5150">
        <v>7.85</v>
      </c>
      <c r="F5150" s="3">
        <v>0.28389999999999999</v>
      </c>
      <c r="G5150">
        <v>5.7225000000000001</v>
      </c>
      <c r="H5150">
        <v>4.2</v>
      </c>
    </row>
    <row r="5151" spans="1:8" x14ac:dyDescent="0.25">
      <c r="A5151" t="s">
        <v>5157</v>
      </c>
      <c r="B5151">
        <v>64230</v>
      </c>
      <c r="C5151">
        <v>7896029041949</v>
      </c>
      <c r="D5151">
        <v>20.9</v>
      </c>
      <c r="E5151">
        <v>12.15</v>
      </c>
      <c r="F5151" s="3">
        <v>0.30459999999999998</v>
      </c>
      <c r="G5151">
        <v>8.8385999999999996</v>
      </c>
      <c r="H5151">
        <v>0.3</v>
      </c>
    </row>
    <row r="5152" spans="1:8" x14ac:dyDescent="0.25">
      <c r="A5152" t="s">
        <v>5158</v>
      </c>
      <c r="B5152">
        <v>64190</v>
      </c>
      <c r="C5152">
        <v>7896029021798</v>
      </c>
      <c r="D5152">
        <v>11.9</v>
      </c>
      <c r="E5152">
        <v>7.21</v>
      </c>
      <c r="F5152" s="3">
        <v>0.28639999999999999</v>
      </c>
      <c r="G5152">
        <v>5.2485999999999997</v>
      </c>
      <c r="H5152">
        <v>0.5</v>
      </c>
    </row>
    <row r="5153" spans="1:8" x14ac:dyDescent="0.25">
      <c r="A5153" t="s">
        <v>5159</v>
      </c>
      <c r="B5153">
        <v>64189</v>
      </c>
      <c r="C5153">
        <v>7896029021781</v>
      </c>
      <c r="D5153">
        <v>11.9</v>
      </c>
      <c r="E5153">
        <v>7.26</v>
      </c>
      <c r="F5153" s="3">
        <v>0.28350000000000003</v>
      </c>
      <c r="G5153">
        <v>5.2835999999999999</v>
      </c>
      <c r="H5153">
        <v>2.0670000000000002</v>
      </c>
    </row>
    <row r="5154" spans="1:8" x14ac:dyDescent="0.25">
      <c r="A5154" t="s">
        <v>5160</v>
      </c>
      <c r="B5154">
        <v>64191</v>
      </c>
      <c r="C5154">
        <v>7896029021804</v>
      </c>
      <c r="D5154">
        <v>15.99</v>
      </c>
      <c r="E5154">
        <v>11.88</v>
      </c>
      <c r="F5154" s="3">
        <v>0.1862</v>
      </c>
      <c r="G5154">
        <v>8.6556999999999995</v>
      </c>
      <c r="H5154">
        <v>1.9670000000000001</v>
      </c>
    </row>
    <row r="5155" spans="1:8" x14ac:dyDescent="0.25">
      <c r="A5155" t="s">
        <v>5161</v>
      </c>
      <c r="B5155">
        <v>66459</v>
      </c>
      <c r="C5155">
        <v>5601378940520</v>
      </c>
      <c r="D5155">
        <v>44.9</v>
      </c>
      <c r="E5155">
        <v>29.68</v>
      </c>
      <c r="F5155" s="3">
        <v>0.30760000000000004</v>
      </c>
      <c r="G5155">
        <v>26.9375</v>
      </c>
      <c r="H5155">
        <v>3.3000000000000002E-2</v>
      </c>
    </row>
    <row r="5156" spans="1:8" x14ac:dyDescent="0.25">
      <c r="A5156" t="s">
        <v>5162</v>
      </c>
      <c r="B5156">
        <v>64887</v>
      </c>
      <c r="C5156">
        <v>7908049501393</v>
      </c>
      <c r="D5156">
        <v>25.99</v>
      </c>
      <c r="E5156">
        <v>18.11</v>
      </c>
      <c r="F5156" s="3">
        <v>0.27500000000000002</v>
      </c>
      <c r="G5156">
        <v>16.439699999999998</v>
      </c>
      <c r="H5156">
        <v>0.93300000000000005</v>
      </c>
    </row>
    <row r="5157" spans="1:8" x14ac:dyDescent="0.25">
      <c r="A5157" t="s">
        <v>5163</v>
      </c>
      <c r="B5157">
        <v>68211</v>
      </c>
      <c r="C5157">
        <v>7896007904471</v>
      </c>
      <c r="D5157">
        <v>17.899999999999999</v>
      </c>
      <c r="E5157">
        <v>7</v>
      </c>
      <c r="F5157" s="3">
        <v>0.44090000000000001</v>
      </c>
      <c r="G5157">
        <v>5.1307999999999998</v>
      </c>
      <c r="H5157">
        <v>4.4329999999999998</v>
      </c>
    </row>
    <row r="5158" spans="1:8" x14ac:dyDescent="0.25">
      <c r="A5158" t="s">
        <v>5164</v>
      </c>
      <c r="B5158">
        <v>68212</v>
      </c>
      <c r="C5158">
        <v>7896007904174</v>
      </c>
      <c r="D5158">
        <v>9.9</v>
      </c>
      <c r="E5158">
        <v>3.6</v>
      </c>
      <c r="F5158" s="3">
        <v>0.46310000000000001</v>
      </c>
      <c r="G5158">
        <v>2.6171000000000002</v>
      </c>
      <c r="H5158">
        <v>3.6669999999999998</v>
      </c>
    </row>
    <row r="5159" spans="1:8" x14ac:dyDescent="0.25">
      <c r="A5159" t="s">
        <v>5165</v>
      </c>
      <c r="B5159">
        <v>68210</v>
      </c>
      <c r="C5159">
        <v>7896007904372</v>
      </c>
      <c r="D5159">
        <v>9.9</v>
      </c>
      <c r="E5159">
        <v>3.67</v>
      </c>
      <c r="F5159" s="3">
        <v>0.45530000000000004</v>
      </c>
      <c r="G5159">
        <v>2.6953</v>
      </c>
      <c r="H5159">
        <v>2.9670000000000001</v>
      </c>
    </row>
    <row r="5160" spans="1:8" x14ac:dyDescent="0.25">
      <c r="A5160" t="s">
        <v>5166</v>
      </c>
      <c r="B5160">
        <v>3766</v>
      </c>
      <c r="C5160">
        <v>41333001005</v>
      </c>
      <c r="D5160">
        <v>17.899999999999999</v>
      </c>
      <c r="E5160">
        <v>8.16</v>
      </c>
      <c r="F5160" s="3">
        <v>0.39579999999999999</v>
      </c>
      <c r="G5160">
        <v>5.9381000000000004</v>
      </c>
      <c r="H5160">
        <v>7.7329999999999997</v>
      </c>
    </row>
    <row r="5161" spans="1:8" x14ac:dyDescent="0.25">
      <c r="A5161" t="s">
        <v>5167</v>
      </c>
      <c r="B5161">
        <v>3764</v>
      </c>
      <c r="C5161">
        <v>41333001074</v>
      </c>
      <c r="D5161">
        <v>17.899999999999999</v>
      </c>
      <c r="E5161">
        <v>8.16</v>
      </c>
      <c r="F5161" s="3">
        <v>0.39560000000000001</v>
      </c>
      <c r="G5161">
        <v>5.9401000000000002</v>
      </c>
      <c r="H5161">
        <v>6.4</v>
      </c>
    </row>
    <row r="5162" spans="1:8" x14ac:dyDescent="0.25">
      <c r="A5162" t="s">
        <v>5168</v>
      </c>
      <c r="B5162">
        <v>3767</v>
      </c>
      <c r="C5162">
        <v>41333000992</v>
      </c>
      <c r="D5162">
        <v>39.9</v>
      </c>
      <c r="E5162">
        <v>24.04</v>
      </c>
      <c r="F5162" s="3">
        <v>0.28520000000000001</v>
      </c>
      <c r="G5162">
        <v>17.648800000000001</v>
      </c>
      <c r="H5162">
        <v>0.16700000000000001</v>
      </c>
    </row>
    <row r="5163" spans="1:8" x14ac:dyDescent="0.25">
      <c r="A5163" t="s">
        <v>5169</v>
      </c>
      <c r="B5163">
        <v>3769</v>
      </c>
      <c r="C5163">
        <v>41333000985</v>
      </c>
      <c r="D5163">
        <v>59.9</v>
      </c>
      <c r="E5163">
        <v>33.369999999999997</v>
      </c>
      <c r="F5163" s="3">
        <v>0.32229999999999998</v>
      </c>
      <c r="G5163">
        <v>24.268999999999998</v>
      </c>
      <c r="H5163">
        <v>0.16700000000000001</v>
      </c>
    </row>
    <row r="5164" spans="1:8" x14ac:dyDescent="0.25">
      <c r="A5164" t="s">
        <v>5170</v>
      </c>
      <c r="B5164">
        <v>16923</v>
      </c>
      <c r="C5164">
        <v>41333121062</v>
      </c>
      <c r="D5164">
        <v>0</v>
      </c>
      <c r="E5164">
        <v>17.420000000000002</v>
      </c>
      <c r="F5164" s="3">
        <v>0</v>
      </c>
      <c r="G5164">
        <v>12.67</v>
      </c>
      <c r="H5164">
        <v>0.26700000000000002</v>
      </c>
    </row>
    <row r="5165" spans="1:8" x14ac:dyDescent="0.25">
      <c r="A5165" t="s">
        <v>5171</v>
      </c>
      <c r="B5165">
        <v>68208</v>
      </c>
      <c r="C5165">
        <v>7896007974177</v>
      </c>
      <c r="D5165">
        <v>7.9</v>
      </c>
      <c r="E5165">
        <v>1.87</v>
      </c>
      <c r="F5165" s="3">
        <v>0.5554</v>
      </c>
      <c r="G5165">
        <v>1.3597999999999999</v>
      </c>
      <c r="H5165">
        <v>2.367</v>
      </c>
    </row>
    <row r="5166" spans="1:8" x14ac:dyDescent="0.25">
      <c r="A5166" t="s">
        <v>5172</v>
      </c>
      <c r="B5166">
        <v>68209</v>
      </c>
      <c r="C5166">
        <v>7896007974276</v>
      </c>
      <c r="D5166">
        <v>9.9</v>
      </c>
      <c r="E5166">
        <v>3.59</v>
      </c>
      <c r="F5166" s="3">
        <v>0.46179999999999999</v>
      </c>
      <c r="G5166">
        <v>2.63</v>
      </c>
      <c r="H5166">
        <v>3.7330000000000001</v>
      </c>
    </row>
    <row r="5167" spans="1:8" x14ac:dyDescent="0.25">
      <c r="A5167" t="s">
        <v>5173</v>
      </c>
      <c r="B5167">
        <v>68206</v>
      </c>
      <c r="C5167">
        <v>7896007974375</v>
      </c>
      <c r="D5167">
        <v>7.9</v>
      </c>
      <c r="E5167">
        <v>1.49</v>
      </c>
      <c r="F5167" s="3">
        <v>0.59040000000000004</v>
      </c>
      <c r="G5167">
        <v>1.0829</v>
      </c>
      <c r="H5167">
        <v>2.2000000000000002</v>
      </c>
    </row>
    <row r="5168" spans="1:8" x14ac:dyDescent="0.25">
      <c r="A5168" t="s">
        <v>5174</v>
      </c>
      <c r="B5168">
        <v>68207</v>
      </c>
      <c r="C5168">
        <v>7896007974474</v>
      </c>
      <c r="D5168">
        <v>7.9</v>
      </c>
      <c r="E5168">
        <v>2.84</v>
      </c>
      <c r="F5168" s="3">
        <v>0.46229999999999999</v>
      </c>
      <c r="G5168">
        <v>2.0952000000000002</v>
      </c>
      <c r="H5168">
        <v>3.1</v>
      </c>
    </row>
    <row r="5169" spans="1:8" x14ac:dyDescent="0.25">
      <c r="A5169" t="s">
        <v>5175</v>
      </c>
      <c r="B5169">
        <v>41477</v>
      </c>
      <c r="C5169">
        <v>7896028700892</v>
      </c>
      <c r="D5169">
        <v>8.99</v>
      </c>
      <c r="E5169">
        <v>5.85</v>
      </c>
      <c r="F5169" s="3">
        <v>0.3165</v>
      </c>
      <c r="G5169">
        <v>5.3131000000000004</v>
      </c>
      <c r="H5169">
        <v>3</v>
      </c>
    </row>
    <row r="5170" spans="1:8" x14ac:dyDescent="0.25">
      <c r="A5170" t="s">
        <v>5176</v>
      </c>
      <c r="B5170">
        <v>64888</v>
      </c>
      <c r="C5170">
        <v>7908049501249</v>
      </c>
      <c r="D5170">
        <v>16.989999999999998</v>
      </c>
      <c r="E5170">
        <v>11.67</v>
      </c>
      <c r="F5170" s="3">
        <v>0.28399999999999997</v>
      </c>
      <c r="G5170">
        <v>10.592700000000001</v>
      </c>
      <c r="H5170">
        <v>1.2</v>
      </c>
    </row>
    <row r="5171" spans="1:8" x14ac:dyDescent="0.25">
      <c r="A5171" t="s">
        <v>5177</v>
      </c>
      <c r="B5171">
        <v>64889</v>
      </c>
      <c r="C5171">
        <v>7908049501256</v>
      </c>
      <c r="D5171">
        <v>18.989999999999998</v>
      </c>
      <c r="E5171">
        <v>12.72</v>
      </c>
      <c r="F5171" s="3">
        <v>0.2999</v>
      </c>
      <c r="G5171">
        <v>11.5389</v>
      </c>
      <c r="H5171">
        <v>3.3000000000000002E-2</v>
      </c>
    </row>
    <row r="5172" spans="1:8" x14ac:dyDescent="0.25">
      <c r="A5172" t="s">
        <v>5178</v>
      </c>
      <c r="B5172">
        <v>26267</v>
      </c>
      <c r="C5172">
        <v>7898629611256</v>
      </c>
      <c r="D5172">
        <v>7.99</v>
      </c>
      <c r="E5172">
        <v>2.76</v>
      </c>
      <c r="F5172" s="3">
        <v>0.47600000000000003</v>
      </c>
      <c r="G5172">
        <v>2.0091999999999999</v>
      </c>
      <c r="H5172">
        <v>0</v>
      </c>
    </row>
    <row r="5173" spans="1:8" x14ac:dyDescent="0.25">
      <c r="A5173" t="s">
        <v>5179</v>
      </c>
      <c r="B5173">
        <v>31222</v>
      </c>
      <c r="C5173">
        <v>5601252111602</v>
      </c>
      <c r="D5173">
        <v>16.899999999999999</v>
      </c>
      <c r="E5173">
        <v>10.86</v>
      </c>
      <c r="F5173" s="3">
        <v>0.32229999999999998</v>
      </c>
      <c r="G5173">
        <v>9.8890999999999991</v>
      </c>
      <c r="H5173">
        <v>0.7</v>
      </c>
    </row>
    <row r="5174" spans="1:8" x14ac:dyDescent="0.25">
      <c r="A5174" t="s">
        <v>5180</v>
      </c>
      <c r="B5174">
        <v>54889</v>
      </c>
      <c r="C5174">
        <v>5601252116676</v>
      </c>
      <c r="D5174">
        <v>19.899999999999999</v>
      </c>
      <c r="E5174">
        <v>12.65</v>
      </c>
      <c r="F5174" s="3">
        <v>0.32390000000000002</v>
      </c>
      <c r="G5174">
        <v>11.6127</v>
      </c>
      <c r="H5174">
        <v>0.73299999999999998</v>
      </c>
    </row>
    <row r="5175" spans="1:8" x14ac:dyDescent="0.25">
      <c r="A5175" t="s">
        <v>5181</v>
      </c>
      <c r="B5175">
        <v>66647</v>
      </c>
      <c r="C5175">
        <v>7898453461140</v>
      </c>
      <c r="D5175">
        <v>24.9</v>
      </c>
      <c r="E5175">
        <v>14.83</v>
      </c>
      <c r="F5175" s="3">
        <v>0.29420000000000002</v>
      </c>
      <c r="G5175">
        <v>10.789199999999999</v>
      </c>
      <c r="H5175">
        <v>0.33300000000000002</v>
      </c>
    </row>
    <row r="5176" spans="1:8" x14ac:dyDescent="0.25">
      <c r="A5176" t="s">
        <v>5182</v>
      </c>
      <c r="B5176">
        <v>26301</v>
      </c>
      <c r="C5176">
        <v>7898629611188</v>
      </c>
      <c r="D5176">
        <v>7.99</v>
      </c>
      <c r="E5176">
        <v>1.92</v>
      </c>
      <c r="F5176" s="3">
        <v>0.623</v>
      </c>
      <c r="G5176">
        <v>1.5744</v>
      </c>
      <c r="H5176">
        <v>4.7329999999999997</v>
      </c>
    </row>
    <row r="5177" spans="1:8" x14ac:dyDescent="0.25">
      <c r="A5177" t="s">
        <v>5183</v>
      </c>
      <c r="B5177">
        <v>4813</v>
      </c>
      <c r="C5177">
        <v>7891095156139</v>
      </c>
      <c r="D5177">
        <v>5.99</v>
      </c>
      <c r="E5177">
        <v>3.81</v>
      </c>
      <c r="F5177" s="3">
        <v>0.26500000000000001</v>
      </c>
      <c r="G5177">
        <v>2.7703000000000002</v>
      </c>
      <c r="H5177">
        <v>3</v>
      </c>
    </row>
    <row r="5178" spans="1:8" x14ac:dyDescent="0.25">
      <c r="A5178" t="s">
        <v>5184</v>
      </c>
      <c r="B5178">
        <v>26279</v>
      </c>
      <c r="C5178">
        <v>7898629611232</v>
      </c>
      <c r="D5178">
        <v>6.99</v>
      </c>
      <c r="E5178">
        <v>2.68</v>
      </c>
      <c r="F5178" s="3">
        <v>0.50529999999999997</v>
      </c>
      <c r="G5178">
        <v>2.2000000000000002</v>
      </c>
      <c r="H5178">
        <v>17.832999999999998</v>
      </c>
    </row>
    <row r="5179" spans="1:8" x14ac:dyDescent="0.25">
      <c r="A5179" t="s">
        <v>5185</v>
      </c>
      <c r="B5179">
        <v>64890</v>
      </c>
      <c r="C5179">
        <v>7908049501263</v>
      </c>
      <c r="D5179">
        <v>22.9</v>
      </c>
      <c r="E5179">
        <v>15.26</v>
      </c>
      <c r="F5179" s="3">
        <v>0.30280000000000001</v>
      </c>
      <c r="G5179">
        <v>13.8467</v>
      </c>
      <c r="H5179">
        <v>6.7000000000000004E-2</v>
      </c>
    </row>
    <row r="5180" spans="1:8" x14ac:dyDescent="0.25">
      <c r="A5180" t="s">
        <v>5186</v>
      </c>
      <c r="B5180">
        <v>67354</v>
      </c>
      <c r="C5180">
        <v>7898635644712</v>
      </c>
      <c r="D5180">
        <v>18.899999999999999</v>
      </c>
      <c r="E5180">
        <v>10.61</v>
      </c>
      <c r="F5180" s="3">
        <v>0.31929999999999997</v>
      </c>
      <c r="G5180">
        <v>7.7141000000000002</v>
      </c>
      <c r="H5180">
        <v>1.2669999999999999</v>
      </c>
    </row>
    <row r="5181" spans="1:8" x14ac:dyDescent="0.25">
      <c r="A5181" t="s">
        <v>5187</v>
      </c>
      <c r="B5181">
        <v>26293</v>
      </c>
      <c r="C5181">
        <v>7898629611218</v>
      </c>
      <c r="D5181">
        <v>5.99</v>
      </c>
      <c r="E5181">
        <v>2.5</v>
      </c>
      <c r="F5181" s="3">
        <v>0.58260000000000001</v>
      </c>
      <c r="G5181">
        <v>2.5</v>
      </c>
      <c r="H5181">
        <v>8.9670000000000005</v>
      </c>
    </row>
    <row r="5182" spans="1:8" x14ac:dyDescent="0.25">
      <c r="A5182" t="s">
        <v>5188</v>
      </c>
      <c r="B5182">
        <v>26297</v>
      </c>
      <c r="C5182">
        <v>7898629611201</v>
      </c>
      <c r="D5182">
        <v>5.99</v>
      </c>
      <c r="E5182">
        <v>2.5</v>
      </c>
      <c r="F5182" s="3">
        <v>0.52869999999999995</v>
      </c>
      <c r="G5182">
        <v>2.2688000000000001</v>
      </c>
      <c r="H5182">
        <v>11.766999999999999</v>
      </c>
    </row>
    <row r="5183" spans="1:8" x14ac:dyDescent="0.25">
      <c r="A5183" t="s">
        <v>5189</v>
      </c>
      <c r="B5183">
        <v>4651</v>
      </c>
      <c r="C5183">
        <v>7891095154210</v>
      </c>
      <c r="D5183">
        <v>5.99</v>
      </c>
      <c r="E5183">
        <v>2.65</v>
      </c>
      <c r="F5183" s="3">
        <v>0.39179999999999998</v>
      </c>
      <c r="G5183">
        <v>2.0108999999999999</v>
      </c>
      <c r="H5183">
        <v>5.0999999999999996</v>
      </c>
    </row>
    <row r="5184" spans="1:8" x14ac:dyDescent="0.25">
      <c r="A5184" t="s">
        <v>5190</v>
      </c>
      <c r="B5184">
        <v>4825</v>
      </c>
      <c r="C5184">
        <v>7891095154012</v>
      </c>
      <c r="D5184">
        <v>12.9</v>
      </c>
      <c r="E5184">
        <v>6.88</v>
      </c>
      <c r="F5184" s="3">
        <v>0.33810000000000001</v>
      </c>
      <c r="G5184">
        <v>5.0236999999999998</v>
      </c>
      <c r="H5184">
        <v>5.4669999999999996</v>
      </c>
    </row>
    <row r="5185" spans="1:8" x14ac:dyDescent="0.25">
      <c r="A5185" t="s">
        <v>5191</v>
      </c>
      <c r="B5185">
        <v>68865</v>
      </c>
      <c r="C5185">
        <v>7898453466022</v>
      </c>
      <c r="D5185">
        <v>33.9</v>
      </c>
      <c r="E5185">
        <v>22.43</v>
      </c>
      <c r="F5185" s="3">
        <v>0.30709999999999998</v>
      </c>
      <c r="G5185">
        <v>20.353300000000001</v>
      </c>
      <c r="H5185">
        <v>30</v>
      </c>
    </row>
    <row r="5186" spans="1:8" x14ac:dyDescent="0.25">
      <c r="A5186" t="s">
        <v>5192</v>
      </c>
      <c r="B5186">
        <v>4827</v>
      </c>
      <c r="C5186">
        <v>7891095154647</v>
      </c>
      <c r="D5186">
        <v>5.99</v>
      </c>
      <c r="E5186">
        <v>3.77</v>
      </c>
      <c r="F5186" s="3">
        <v>0.27160000000000001</v>
      </c>
      <c r="G5186">
        <v>2.7305999999999999</v>
      </c>
      <c r="H5186">
        <v>2.2999999999999998</v>
      </c>
    </row>
    <row r="5187" spans="1:8" x14ac:dyDescent="0.25">
      <c r="A5187" t="s">
        <v>5193</v>
      </c>
      <c r="B5187">
        <v>16528</v>
      </c>
      <c r="C5187">
        <v>7891095154029</v>
      </c>
      <c r="D5187">
        <v>14.9</v>
      </c>
      <c r="E5187">
        <v>9.2100000000000009</v>
      </c>
      <c r="F5187" s="3">
        <v>0.2858</v>
      </c>
      <c r="G5187">
        <v>6.5819999999999999</v>
      </c>
      <c r="H5187">
        <v>1.1000000000000001</v>
      </c>
    </row>
    <row r="5188" spans="1:8" x14ac:dyDescent="0.25">
      <c r="A5188" t="s">
        <v>5194</v>
      </c>
      <c r="B5188">
        <v>64892</v>
      </c>
      <c r="C5188">
        <v>7908049501287</v>
      </c>
      <c r="D5188">
        <v>21.9</v>
      </c>
      <c r="E5188">
        <v>14.34</v>
      </c>
      <c r="F5188" s="3">
        <v>0.30769999999999997</v>
      </c>
      <c r="G5188">
        <v>13.135400000000001</v>
      </c>
      <c r="H5188">
        <v>0.26700000000000002</v>
      </c>
    </row>
    <row r="5189" spans="1:8" x14ac:dyDescent="0.25">
      <c r="A5189" t="s">
        <v>5195</v>
      </c>
      <c r="B5189">
        <v>52022</v>
      </c>
      <c r="C5189">
        <v>7891095154623</v>
      </c>
      <c r="D5189">
        <v>5.99</v>
      </c>
      <c r="E5189">
        <v>3.09</v>
      </c>
      <c r="F5189" s="3">
        <v>0.35310000000000002</v>
      </c>
      <c r="G5189">
        <v>2.2429000000000001</v>
      </c>
      <c r="H5189">
        <v>5.3330000000000002</v>
      </c>
    </row>
    <row r="5190" spans="1:8" x14ac:dyDescent="0.25">
      <c r="A5190" t="s">
        <v>5196</v>
      </c>
      <c r="B5190">
        <v>26302</v>
      </c>
      <c r="C5190">
        <v>7898629611171</v>
      </c>
      <c r="D5190">
        <v>5.99</v>
      </c>
      <c r="E5190">
        <v>3</v>
      </c>
      <c r="F5190" s="3">
        <v>0.49920000000000003</v>
      </c>
      <c r="G5190">
        <v>3</v>
      </c>
      <c r="H5190">
        <v>1.7669999999999999</v>
      </c>
    </row>
    <row r="5191" spans="1:8" x14ac:dyDescent="0.25">
      <c r="A5191" t="s">
        <v>5197</v>
      </c>
      <c r="B5191">
        <v>52204</v>
      </c>
      <c r="C5191">
        <v>7898629611676</v>
      </c>
      <c r="D5191">
        <v>7.99</v>
      </c>
      <c r="E5191">
        <v>4.3899999999999997</v>
      </c>
      <c r="F5191" s="3">
        <v>0.32770000000000005</v>
      </c>
      <c r="G5191">
        <v>3.1943999999999999</v>
      </c>
      <c r="H5191">
        <v>0.96699999999999997</v>
      </c>
    </row>
    <row r="5192" spans="1:8" x14ac:dyDescent="0.25">
      <c r="A5192" t="s">
        <v>5198</v>
      </c>
      <c r="B5192">
        <v>6600</v>
      </c>
      <c r="C5192">
        <v>7896196061023</v>
      </c>
      <c r="D5192">
        <v>16.899999999999999</v>
      </c>
      <c r="E5192">
        <v>15.66</v>
      </c>
      <c r="F5192" s="3">
        <v>6.6699999999999995E-2</v>
      </c>
      <c r="G5192">
        <v>14.2098</v>
      </c>
      <c r="H5192">
        <v>0.83299999999999996</v>
      </c>
    </row>
    <row r="5193" spans="1:8" x14ac:dyDescent="0.25">
      <c r="A5193" t="s">
        <v>5199</v>
      </c>
      <c r="B5193">
        <v>9379</v>
      </c>
      <c r="C5193">
        <v>7896702900051</v>
      </c>
      <c r="D5193">
        <v>8.49</v>
      </c>
      <c r="E5193">
        <v>5.38</v>
      </c>
      <c r="F5193" s="3">
        <v>0.33240000000000003</v>
      </c>
      <c r="G5193">
        <v>4.8829000000000002</v>
      </c>
      <c r="H5193">
        <v>24.033000000000001</v>
      </c>
    </row>
    <row r="5194" spans="1:8" x14ac:dyDescent="0.25">
      <c r="A5194" t="s">
        <v>5200</v>
      </c>
      <c r="B5194">
        <v>11052</v>
      </c>
      <c r="C5194">
        <v>7896702900037</v>
      </c>
      <c r="D5194">
        <v>2.99</v>
      </c>
      <c r="E5194">
        <v>1.63</v>
      </c>
      <c r="F5194" s="3">
        <v>0.41369999999999996</v>
      </c>
      <c r="G5194">
        <v>1.4762999999999999</v>
      </c>
      <c r="H5194">
        <v>35.533000000000001</v>
      </c>
    </row>
    <row r="5195" spans="1:8" x14ac:dyDescent="0.25">
      <c r="A5195" t="s">
        <v>5201</v>
      </c>
      <c r="B5195">
        <v>55076</v>
      </c>
      <c r="C5195">
        <v>7896496917655</v>
      </c>
      <c r="D5195">
        <v>9.99</v>
      </c>
      <c r="E5195">
        <v>6.99</v>
      </c>
      <c r="F5195" s="3">
        <v>0.27229999999999999</v>
      </c>
      <c r="G5195">
        <v>6.3452999999999999</v>
      </c>
      <c r="H5195">
        <v>2.133</v>
      </c>
    </row>
    <row r="5196" spans="1:8" x14ac:dyDescent="0.25">
      <c r="A5196" t="s">
        <v>5202</v>
      </c>
      <c r="B5196">
        <v>55075</v>
      </c>
      <c r="C5196">
        <v>7896496917662</v>
      </c>
      <c r="D5196">
        <v>9.99</v>
      </c>
      <c r="E5196">
        <v>6.99</v>
      </c>
      <c r="F5196" s="3">
        <v>0.27229999999999999</v>
      </c>
      <c r="G5196">
        <v>6.3453999999999997</v>
      </c>
      <c r="H5196">
        <v>1.9330000000000001</v>
      </c>
    </row>
    <row r="5197" spans="1:8" x14ac:dyDescent="0.25">
      <c r="A5197" t="s">
        <v>5203</v>
      </c>
      <c r="B5197">
        <v>62827</v>
      </c>
      <c r="C5197">
        <v>7891150089112</v>
      </c>
      <c r="D5197">
        <v>9.99</v>
      </c>
      <c r="E5197">
        <v>7.05</v>
      </c>
      <c r="F5197" s="3">
        <v>0.27010000000000001</v>
      </c>
      <c r="G5197">
        <v>6.3674999999999997</v>
      </c>
      <c r="H5197">
        <v>3.8</v>
      </c>
    </row>
    <row r="5198" spans="1:8" x14ac:dyDescent="0.25">
      <c r="A5198" t="s">
        <v>5204</v>
      </c>
      <c r="B5198">
        <v>67960</v>
      </c>
      <c r="C5198">
        <v>7898953538205</v>
      </c>
      <c r="D5198">
        <v>14.7</v>
      </c>
      <c r="E5198">
        <v>10.51</v>
      </c>
      <c r="F5198" s="3">
        <v>0.24809999999999999</v>
      </c>
      <c r="G5198">
        <v>9.6930999999999994</v>
      </c>
      <c r="H5198">
        <v>4</v>
      </c>
    </row>
    <row r="5199" spans="1:8" x14ac:dyDescent="0.25">
      <c r="A5199" t="s">
        <v>5205</v>
      </c>
      <c r="B5199">
        <v>67965</v>
      </c>
      <c r="C5199">
        <v>7898679480345</v>
      </c>
      <c r="D5199">
        <v>14.81</v>
      </c>
      <c r="E5199">
        <v>10.75</v>
      </c>
      <c r="F5199" s="3">
        <v>0.23190000000000002</v>
      </c>
      <c r="G5199">
        <v>10.005599999999999</v>
      </c>
      <c r="H5199">
        <v>2.0670000000000002</v>
      </c>
    </row>
    <row r="5200" spans="1:8" x14ac:dyDescent="0.25">
      <c r="A5200" t="s">
        <v>5206</v>
      </c>
      <c r="B5200">
        <v>67966</v>
      </c>
      <c r="C5200">
        <v>7898679480352</v>
      </c>
      <c r="D5200">
        <v>13.92</v>
      </c>
      <c r="E5200">
        <v>10.91</v>
      </c>
      <c r="F5200" s="3">
        <v>0.1953</v>
      </c>
      <c r="G5200">
        <v>9.9154999999999998</v>
      </c>
      <c r="H5200">
        <v>1.633</v>
      </c>
    </row>
    <row r="5201" spans="1:8" x14ac:dyDescent="0.25">
      <c r="A5201" t="s">
        <v>5207</v>
      </c>
      <c r="B5201">
        <v>67962</v>
      </c>
      <c r="C5201">
        <v>7898953538403</v>
      </c>
      <c r="D5201">
        <v>14.42</v>
      </c>
      <c r="E5201">
        <v>11.13</v>
      </c>
      <c r="F5201" s="3">
        <v>0.20129999999999998</v>
      </c>
      <c r="G5201">
        <v>10.186500000000001</v>
      </c>
      <c r="H5201">
        <v>4.7</v>
      </c>
    </row>
    <row r="5202" spans="1:8" x14ac:dyDescent="0.25">
      <c r="A5202" t="s">
        <v>5208</v>
      </c>
      <c r="B5202">
        <v>67959</v>
      </c>
      <c r="C5202">
        <v>7898953538212</v>
      </c>
      <c r="D5202">
        <v>13.91</v>
      </c>
      <c r="E5202">
        <v>9.35</v>
      </c>
      <c r="F5202" s="3">
        <v>0.29780000000000001</v>
      </c>
      <c r="G5202">
        <v>8.4781999999999993</v>
      </c>
      <c r="H5202">
        <v>0.73299999999999998</v>
      </c>
    </row>
    <row r="5203" spans="1:8" x14ac:dyDescent="0.25">
      <c r="A5203" t="s">
        <v>5209</v>
      </c>
      <c r="B5203">
        <v>67961</v>
      </c>
      <c r="C5203">
        <v>7898953538250</v>
      </c>
      <c r="D5203">
        <v>14.99</v>
      </c>
      <c r="E5203">
        <v>11.37</v>
      </c>
      <c r="F5203" s="3">
        <v>0.21940000000000001</v>
      </c>
      <c r="G5203">
        <v>10.315099999999999</v>
      </c>
      <c r="H5203">
        <v>1.5</v>
      </c>
    </row>
    <row r="5204" spans="1:8" x14ac:dyDescent="0.25">
      <c r="A5204" t="s">
        <v>5210</v>
      </c>
      <c r="B5204">
        <v>67967</v>
      </c>
      <c r="C5204">
        <v>7898679480376</v>
      </c>
      <c r="D5204">
        <v>14.99</v>
      </c>
      <c r="E5204">
        <v>11.35</v>
      </c>
      <c r="F5204" s="3">
        <v>0.22020000000000001</v>
      </c>
      <c r="G5204">
        <v>10.3024</v>
      </c>
      <c r="H5204">
        <v>1.0669999999999999</v>
      </c>
    </row>
    <row r="5205" spans="1:8" x14ac:dyDescent="0.25">
      <c r="A5205" t="s">
        <v>5211</v>
      </c>
      <c r="B5205">
        <v>67963</v>
      </c>
      <c r="C5205">
        <v>7898953538472</v>
      </c>
      <c r="D5205">
        <v>14.99</v>
      </c>
      <c r="E5205">
        <v>11.18</v>
      </c>
      <c r="F5205" s="3">
        <v>0.23379999999999998</v>
      </c>
      <c r="G5205">
        <v>10.098100000000001</v>
      </c>
      <c r="H5205">
        <v>3.7</v>
      </c>
    </row>
    <row r="5206" spans="1:8" x14ac:dyDescent="0.25">
      <c r="A5206" t="s">
        <v>5212</v>
      </c>
      <c r="B5206">
        <v>67964</v>
      </c>
      <c r="C5206">
        <v>7898679480178</v>
      </c>
      <c r="D5206">
        <v>13.99</v>
      </c>
      <c r="E5206">
        <v>11.22</v>
      </c>
      <c r="F5206" s="3">
        <v>0.17899999999999999</v>
      </c>
      <c r="G5206">
        <v>10.1945</v>
      </c>
      <c r="H5206">
        <v>8.7330000000000005</v>
      </c>
    </row>
    <row r="5207" spans="1:8" x14ac:dyDescent="0.25">
      <c r="A5207" t="s">
        <v>5213</v>
      </c>
      <c r="B5207">
        <v>69215</v>
      </c>
      <c r="C5207">
        <v>7898679480390</v>
      </c>
      <c r="D5207">
        <v>14.99</v>
      </c>
      <c r="E5207">
        <v>11.4</v>
      </c>
      <c r="F5207" s="3">
        <v>0.21719999999999998</v>
      </c>
      <c r="G5207">
        <v>10.347799999999999</v>
      </c>
      <c r="H5207">
        <v>0.3</v>
      </c>
    </row>
    <row r="5208" spans="1:8" x14ac:dyDescent="0.25">
      <c r="A5208" t="s">
        <v>5214</v>
      </c>
      <c r="B5208">
        <v>69216</v>
      </c>
      <c r="C5208">
        <v>7898679480413</v>
      </c>
      <c r="D5208">
        <v>14.99</v>
      </c>
      <c r="E5208">
        <v>11.4</v>
      </c>
      <c r="F5208" s="3">
        <v>0.21719999999999998</v>
      </c>
      <c r="G5208">
        <v>10.347799999999999</v>
      </c>
      <c r="H5208">
        <v>2.0670000000000002</v>
      </c>
    </row>
    <row r="5209" spans="1:8" x14ac:dyDescent="0.25">
      <c r="A5209" t="s">
        <v>5215</v>
      </c>
      <c r="B5209">
        <v>69217</v>
      </c>
      <c r="C5209">
        <v>7898679480406</v>
      </c>
      <c r="D5209">
        <v>14.99</v>
      </c>
      <c r="E5209">
        <v>11.4</v>
      </c>
      <c r="F5209" s="3">
        <v>0.21719999999999998</v>
      </c>
      <c r="G5209">
        <v>10.347799999999999</v>
      </c>
      <c r="H5209">
        <v>0.9</v>
      </c>
    </row>
    <row r="5210" spans="1:8" x14ac:dyDescent="0.25">
      <c r="A5210" t="s">
        <v>5216</v>
      </c>
      <c r="B5210">
        <v>4163</v>
      </c>
      <c r="C5210">
        <v>7891095100729</v>
      </c>
      <c r="D5210">
        <v>4.49</v>
      </c>
      <c r="E5210">
        <v>2.88</v>
      </c>
      <c r="F5210" s="3">
        <v>0.32579999999999998</v>
      </c>
      <c r="G5210">
        <v>2.6120999999999999</v>
      </c>
      <c r="H5210">
        <v>7.3330000000000002</v>
      </c>
    </row>
    <row r="5211" spans="1:8" x14ac:dyDescent="0.25">
      <c r="A5211" t="s">
        <v>5217</v>
      </c>
      <c r="B5211">
        <v>4165</v>
      </c>
      <c r="C5211">
        <v>7891095008452</v>
      </c>
      <c r="D5211">
        <v>4.49</v>
      </c>
      <c r="E5211">
        <v>2.89</v>
      </c>
      <c r="F5211" s="3">
        <v>0.3251</v>
      </c>
      <c r="G5211">
        <v>2.6147999999999998</v>
      </c>
      <c r="H5211">
        <v>37.832999999999998</v>
      </c>
    </row>
    <row r="5212" spans="1:8" x14ac:dyDescent="0.25">
      <c r="A5212" t="s">
        <v>5218</v>
      </c>
      <c r="B5212">
        <v>13418</v>
      </c>
      <c r="C5212">
        <v>7891095100934</v>
      </c>
      <c r="D5212">
        <v>4.49</v>
      </c>
      <c r="E5212">
        <v>2.88</v>
      </c>
      <c r="F5212" s="3">
        <v>0.32569999999999999</v>
      </c>
      <c r="G5212">
        <v>2.6120999999999999</v>
      </c>
      <c r="H5212">
        <v>28.132999999999999</v>
      </c>
    </row>
    <row r="5213" spans="1:8" x14ac:dyDescent="0.25">
      <c r="A5213" t="s">
        <v>5219</v>
      </c>
      <c r="B5213">
        <v>4166</v>
      </c>
      <c r="C5213">
        <v>7891095100125</v>
      </c>
      <c r="D5213">
        <v>4.49</v>
      </c>
      <c r="E5213">
        <v>2.9</v>
      </c>
      <c r="F5213" s="3">
        <v>0.32179999999999997</v>
      </c>
      <c r="G5213">
        <v>2.6295999999999999</v>
      </c>
      <c r="H5213">
        <v>12.667</v>
      </c>
    </row>
    <row r="5214" spans="1:8" x14ac:dyDescent="0.25">
      <c r="A5214" t="s">
        <v>5220</v>
      </c>
      <c r="B5214">
        <v>4196</v>
      </c>
      <c r="C5214">
        <v>7891095002207</v>
      </c>
      <c r="D5214">
        <v>4.49</v>
      </c>
      <c r="E5214">
        <v>2.88</v>
      </c>
      <c r="F5214" s="3">
        <v>0.32539999999999997</v>
      </c>
      <c r="G5214">
        <v>2.6137999999999999</v>
      </c>
      <c r="H5214">
        <v>33.966999999999999</v>
      </c>
    </row>
    <row r="5215" spans="1:8" x14ac:dyDescent="0.25">
      <c r="A5215" t="s">
        <v>5221</v>
      </c>
      <c r="B5215">
        <v>63757</v>
      </c>
      <c r="C5215">
        <v>7891095911479</v>
      </c>
      <c r="D5215">
        <v>6.99</v>
      </c>
      <c r="E5215">
        <v>4.7</v>
      </c>
      <c r="F5215" s="3">
        <v>0.29600000000000004</v>
      </c>
      <c r="G5215">
        <v>4.2742000000000004</v>
      </c>
      <c r="H5215">
        <v>12.5</v>
      </c>
    </row>
    <row r="5216" spans="1:8" x14ac:dyDescent="0.25">
      <c r="A5216" t="s">
        <v>5222</v>
      </c>
      <c r="B5216">
        <v>4175</v>
      </c>
      <c r="C5216">
        <v>7891095015290</v>
      </c>
      <c r="D5216">
        <v>6.99</v>
      </c>
      <c r="E5216">
        <v>4.67</v>
      </c>
      <c r="F5216" s="3">
        <v>0.29580000000000001</v>
      </c>
      <c r="G5216">
        <v>4.2759999999999998</v>
      </c>
      <c r="H5216">
        <v>3.5670000000000002</v>
      </c>
    </row>
    <row r="5217" spans="1:8" x14ac:dyDescent="0.25">
      <c r="A5217" t="s">
        <v>5223</v>
      </c>
      <c r="B5217">
        <v>4174</v>
      </c>
      <c r="C5217">
        <v>7891095017553</v>
      </c>
      <c r="D5217">
        <v>6.99</v>
      </c>
      <c r="E5217">
        <v>4.6500000000000004</v>
      </c>
      <c r="F5217" s="3">
        <v>0.29770000000000002</v>
      </c>
      <c r="G5217">
        <v>4.2625999999999999</v>
      </c>
      <c r="H5217">
        <v>2.7</v>
      </c>
    </row>
    <row r="5218" spans="1:8" x14ac:dyDescent="0.25">
      <c r="A5218" t="s">
        <v>5224</v>
      </c>
      <c r="B5218">
        <v>45281</v>
      </c>
      <c r="C5218">
        <v>7891095007943</v>
      </c>
      <c r="D5218">
        <v>2.69</v>
      </c>
      <c r="E5218">
        <v>1.55</v>
      </c>
      <c r="F5218" s="3">
        <v>0.3856</v>
      </c>
      <c r="G5218">
        <v>1.4039999999999999</v>
      </c>
      <c r="H5218">
        <v>39.133000000000003</v>
      </c>
    </row>
    <row r="5219" spans="1:8" x14ac:dyDescent="0.25">
      <c r="A5219" t="s">
        <v>5225</v>
      </c>
      <c r="B5219">
        <v>54920</v>
      </c>
      <c r="C5219">
        <v>7891095030217</v>
      </c>
      <c r="D5219">
        <v>4.49</v>
      </c>
      <c r="E5219">
        <v>2.85</v>
      </c>
      <c r="F5219" s="3">
        <v>0.32990000000000003</v>
      </c>
      <c r="G5219">
        <v>2.5935000000000001</v>
      </c>
      <c r="H5219">
        <v>6.9669999999999996</v>
      </c>
    </row>
    <row r="5220" spans="1:8" x14ac:dyDescent="0.25">
      <c r="A5220" t="s">
        <v>5226</v>
      </c>
      <c r="B5220">
        <v>54921</v>
      </c>
      <c r="C5220">
        <v>7891095030200</v>
      </c>
      <c r="D5220">
        <v>4.49</v>
      </c>
      <c r="E5220">
        <v>2.84</v>
      </c>
      <c r="F5220" s="3">
        <v>0.33509999999999995</v>
      </c>
      <c r="G5220">
        <v>2.5699000000000001</v>
      </c>
      <c r="H5220">
        <v>7.8330000000000002</v>
      </c>
    </row>
    <row r="5221" spans="1:8" x14ac:dyDescent="0.25">
      <c r="A5221" t="s">
        <v>5227</v>
      </c>
      <c r="B5221">
        <v>69354</v>
      </c>
      <c r="C5221">
        <v>7891095911738</v>
      </c>
      <c r="D5221">
        <v>7.89</v>
      </c>
      <c r="E5221">
        <v>4.55</v>
      </c>
      <c r="F5221" s="3">
        <v>0.38439999999999996</v>
      </c>
      <c r="G5221">
        <v>4.1273999999999997</v>
      </c>
      <c r="H5221">
        <v>4.2220000000000004</v>
      </c>
    </row>
    <row r="5222" spans="1:8" x14ac:dyDescent="0.25">
      <c r="A5222" t="s">
        <v>5228</v>
      </c>
      <c r="B5222">
        <v>69355</v>
      </c>
      <c r="C5222">
        <v>7891095911745</v>
      </c>
      <c r="D5222">
        <v>7.49</v>
      </c>
      <c r="E5222">
        <v>4.58</v>
      </c>
      <c r="F5222" s="3">
        <v>0.35259999999999997</v>
      </c>
      <c r="G5222">
        <v>4.1558000000000002</v>
      </c>
      <c r="H5222">
        <v>0.6</v>
      </c>
    </row>
    <row r="5223" spans="1:8" x14ac:dyDescent="0.25">
      <c r="A5223" t="s">
        <v>5229</v>
      </c>
      <c r="B5223">
        <v>44593</v>
      </c>
      <c r="C5223">
        <v>7896292005815</v>
      </c>
      <c r="D5223">
        <v>25.9</v>
      </c>
      <c r="E5223">
        <v>15.16</v>
      </c>
      <c r="F5223" s="3">
        <v>0.30170000000000002</v>
      </c>
      <c r="G5223">
        <v>11.027100000000001</v>
      </c>
      <c r="H5223">
        <v>6.7000000000000004E-2</v>
      </c>
    </row>
    <row r="5224" spans="1:8" x14ac:dyDescent="0.25">
      <c r="A5224" t="s">
        <v>5230</v>
      </c>
      <c r="B5224">
        <v>60721</v>
      </c>
      <c r="C5224">
        <v>8001876002145</v>
      </c>
      <c r="D5224">
        <v>18.899999999999999</v>
      </c>
      <c r="E5224">
        <v>13.64</v>
      </c>
      <c r="F5224" s="3">
        <v>0.25890000000000002</v>
      </c>
      <c r="G5224">
        <v>12.6846</v>
      </c>
      <c r="H5224">
        <v>0.6</v>
      </c>
    </row>
    <row r="5225" spans="1:8" x14ac:dyDescent="0.25">
      <c r="A5225" t="s">
        <v>5231</v>
      </c>
      <c r="B5225">
        <v>19669</v>
      </c>
      <c r="C5225">
        <v>7898152996776</v>
      </c>
      <c r="D5225">
        <v>24.9</v>
      </c>
      <c r="E5225">
        <v>16.38</v>
      </c>
      <c r="F5225" s="3">
        <v>0.2316</v>
      </c>
      <c r="G5225">
        <v>12.3485</v>
      </c>
      <c r="H5225">
        <v>2</v>
      </c>
    </row>
    <row r="5226" spans="1:8" x14ac:dyDescent="0.25">
      <c r="A5226" t="s">
        <v>5232</v>
      </c>
      <c r="B5226">
        <v>8993</v>
      </c>
      <c r="C5226">
        <v>8005121218404</v>
      </c>
      <c r="D5226">
        <v>17.899999999999999</v>
      </c>
      <c r="E5226">
        <v>10.37</v>
      </c>
      <c r="F5226" s="3">
        <v>0.35229999999999995</v>
      </c>
      <c r="G5226">
        <v>8.6859000000000002</v>
      </c>
      <c r="H5226">
        <v>0.53300000000000003</v>
      </c>
    </row>
    <row r="5227" spans="1:8" x14ac:dyDescent="0.25">
      <c r="A5227" t="s">
        <v>5233</v>
      </c>
      <c r="B5227">
        <v>3321</v>
      </c>
      <c r="C5227">
        <v>7894321631011</v>
      </c>
      <c r="D5227">
        <v>3.43</v>
      </c>
      <c r="E5227">
        <v>3.81</v>
      </c>
      <c r="F5227" s="3">
        <v>-8.8599999999999998E-2</v>
      </c>
      <c r="G5227">
        <v>3.1147</v>
      </c>
      <c r="H5227">
        <v>19.332999999999998</v>
      </c>
    </row>
    <row r="5228" spans="1:8" x14ac:dyDescent="0.25">
      <c r="A5228" t="s">
        <v>5234</v>
      </c>
      <c r="B5228">
        <v>5316</v>
      </c>
      <c r="C5228">
        <v>7891022853285</v>
      </c>
      <c r="D5228">
        <v>25.9</v>
      </c>
      <c r="E5228">
        <v>16.100000000000001</v>
      </c>
      <c r="F5228" s="3">
        <v>0.27</v>
      </c>
      <c r="G5228">
        <v>11.8492</v>
      </c>
      <c r="H5228">
        <v>0.16700000000000001</v>
      </c>
    </row>
    <row r="5229" spans="1:8" x14ac:dyDescent="0.25">
      <c r="A5229" t="s">
        <v>5235</v>
      </c>
      <c r="B5229">
        <v>19507</v>
      </c>
      <c r="C5229">
        <v>7891035060007</v>
      </c>
      <c r="D5229">
        <v>39.9</v>
      </c>
      <c r="E5229">
        <v>27.94</v>
      </c>
      <c r="F5229" s="3">
        <v>0.21280000000000002</v>
      </c>
      <c r="G5229">
        <v>20.534700000000001</v>
      </c>
      <c r="H5229">
        <v>0.7</v>
      </c>
    </row>
    <row r="5230" spans="1:8" x14ac:dyDescent="0.25">
      <c r="A5230" t="s">
        <v>5236</v>
      </c>
      <c r="B5230">
        <v>19508</v>
      </c>
      <c r="C5230">
        <v>7891035070006</v>
      </c>
      <c r="D5230">
        <v>44.9</v>
      </c>
      <c r="E5230">
        <v>29.11</v>
      </c>
      <c r="F5230" s="3">
        <v>0.26829999999999998</v>
      </c>
      <c r="G5230">
        <v>20.618099999999998</v>
      </c>
      <c r="H5230">
        <v>0.33300000000000002</v>
      </c>
    </row>
    <row r="5231" spans="1:8" x14ac:dyDescent="0.25">
      <c r="A5231" t="s">
        <v>5237</v>
      </c>
      <c r="B5231">
        <v>19596</v>
      </c>
      <c r="C5231">
        <v>7891035321313</v>
      </c>
      <c r="D5231">
        <v>24.9</v>
      </c>
      <c r="E5231">
        <v>14.63</v>
      </c>
      <c r="F5231" s="3">
        <v>0.30010000000000003</v>
      </c>
      <c r="G5231">
        <v>10.642099999999999</v>
      </c>
      <c r="H5231">
        <v>0</v>
      </c>
    </row>
    <row r="5232" spans="1:8" x14ac:dyDescent="0.25">
      <c r="A5232" t="s">
        <v>5238</v>
      </c>
      <c r="B5232">
        <v>57421</v>
      </c>
      <c r="C5232">
        <v>7898152997285</v>
      </c>
      <c r="D5232">
        <v>12.9</v>
      </c>
      <c r="E5232">
        <v>7.69</v>
      </c>
      <c r="F5232" s="3">
        <v>0.36259999999999998</v>
      </c>
      <c r="G5232">
        <v>7.0293000000000001</v>
      </c>
      <c r="H5232">
        <v>0.53300000000000003</v>
      </c>
    </row>
    <row r="5233" spans="1:8" x14ac:dyDescent="0.25">
      <c r="A5233" t="s">
        <v>5239</v>
      </c>
      <c r="B5233">
        <v>6630</v>
      </c>
      <c r="C5233">
        <v>7898152990040</v>
      </c>
      <c r="D5233">
        <v>19.899999999999999</v>
      </c>
      <c r="E5233">
        <v>13.97</v>
      </c>
      <c r="F5233" s="3">
        <v>0.26869999999999999</v>
      </c>
      <c r="G5233">
        <v>12.712300000000001</v>
      </c>
      <c r="H5233">
        <v>0.33300000000000002</v>
      </c>
    </row>
    <row r="5234" spans="1:8" x14ac:dyDescent="0.25">
      <c r="A5234" t="s">
        <v>5240</v>
      </c>
      <c r="B5234">
        <v>29734</v>
      </c>
      <c r="C5234">
        <v>7898152996929</v>
      </c>
      <c r="D5234">
        <v>22.9</v>
      </c>
      <c r="E5234">
        <v>15.22</v>
      </c>
      <c r="F5234" s="3">
        <v>0.30590000000000001</v>
      </c>
      <c r="G5234">
        <v>13.775600000000001</v>
      </c>
      <c r="H5234">
        <v>3.0329999999999999</v>
      </c>
    </row>
    <row r="5235" spans="1:8" x14ac:dyDescent="0.25">
      <c r="A5235" t="s">
        <v>5241</v>
      </c>
      <c r="B5235">
        <v>6632</v>
      </c>
      <c r="C5235">
        <v>7896036095119</v>
      </c>
      <c r="D5235">
        <v>6.49</v>
      </c>
      <c r="E5235">
        <v>4.49</v>
      </c>
      <c r="F5235" s="3">
        <v>0.2883</v>
      </c>
      <c r="G5235">
        <v>4.0183999999999997</v>
      </c>
      <c r="H5235">
        <v>19.899999999999999</v>
      </c>
    </row>
    <row r="5236" spans="1:8" x14ac:dyDescent="0.25">
      <c r="A5236" t="s">
        <v>5242</v>
      </c>
      <c r="B5236">
        <v>62909</v>
      </c>
      <c r="C5236">
        <v>7896102502947</v>
      </c>
      <c r="D5236">
        <v>3.99</v>
      </c>
      <c r="E5236">
        <v>2.67</v>
      </c>
      <c r="F5236" s="3">
        <v>0.29909999999999998</v>
      </c>
      <c r="G5236">
        <v>2.4274</v>
      </c>
      <c r="H5236">
        <v>7.9</v>
      </c>
    </row>
    <row r="5237" spans="1:8" x14ac:dyDescent="0.25">
      <c r="A5237" t="s">
        <v>5243</v>
      </c>
      <c r="B5237">
        <v>6635</v>
      </c>
      <c r="C5237">
        <v>7896102502961</v>
      </c>
      <c r="D5237">
        <v>5.99</v>
      </c>
      <c r="E5237">
        <v>4.08</v>
      </c>
      <c r="F5237" s="3">
        <v>0.28949999999999998</v>
      </c>
      <c r="G5237">
        <v>3.7017000000000002</v>
      </c>
      <c r="H5237">
        <v>2.4329999999999998</v>
      </c>
    </row>
    <row r="5238" spans="1:8" x14ac:dyDescent="0.25">
      <c r="A5238" t="s">
        <v>5244</v>
      </c>
      <c r="B5238">
        <v>3329</v>
      </c>
      <c r="C5238">
        <v>7891095300617</v>
      </c>
      <c r="D5238">
        <v>22.9</v>
      </c>
      <c r="E5238">
        <v>13.55</v>
      </c>
      <c r="F5238" s="3">
        <v>0.29609999999999997</v>
      </c>
      <c r="G5238">
        <v>9.8788999999999998</v>
      </c>
      <c r="H5238">
        <v>2.7330000000000001</v>
      </c>
    </row>
    <row r="5239" spans="1:8" x14ac:dyDescent="0.25">
      <c r="A5239" t="s">
        <v>5245</v>
      </c>
      <c r="B5239">
        <v>3328</v>
      </c>
      <c r="C5239">
        <v>7891095300631</v>
      </c>
      <c r="D5239">
        <v>18.899999999999999</v>
      </c>
      <c r="E5239">
        <v>11.05</v>
      </c>
      <c r="F5239" s="3">
        <v>0.2999</v>
      </c>
      <c r="G5239">
        <v>8.0820000000000007</v>
      </c>
      <c r="H5239">
        <v>3.3</v>
      </c>
    </row>
    <row r="5240" spans="1:8" x14ac:dyDescent="0.25">
      <c r="A5240" t="s">
        <v>5246</v>
      </c>
      <c r="B5240">
        <v>66269</v>
      </c>
      <c r="C5240">
        <v>7891010253288</v>
      </c>
      <c r="D5240">
        <v>44.9</v>
      </c>
      <c r="E5240">
        <v>28.66</v>
      </c>
      <c r="F5240" s="3">
        <v>0.36170000000000002</v>
      </c>
      <c r="G5240">
        <v>28.660799999999998</v>
      </c>
      <c r="H5240">
        <v>0.2</v>
      </c>
    </row>
    <row r="5241" spans="1:8" x14ac:dyDescent="0.25">
      <c r="A5241" t="s">
        <v>5247</v>
      </c>
      <c r="B5241">
        <v>42921</v>
      </c>
      <c r="C5241">
        <v>1000000000474</v>
      </c>
      <c r="D5241">
        <v>3.99</v>
      </c>
      <c r="E5241">
        <v>3.37</v>
      </c>
      <c r="F5241" s="3">
        <v>0.113</v>
      </c>
      <c r="G5241">
        <v>2.4518</v>
      </c>
      <c r="H5241">
        <v>0.36699999999999999</v>
      </c>
    </row>
    <row r="5242" spans="1:8" x14ac:dyDescent="0.25">
      <c r="A5242" t="s">
        <v>5248</v>
      </c>
      <c r="B5242">
        <v>15944</v>
      </c>
      <c r="C5242">
        <v>7896030800153</v>
      </c>
      <c r="D5242">
        <v>5.9</v>
      </c>
      <c r="E5242">
        <v>1.42</v>
      </c>
      <c r="F5242" s="3">
        <v>0.68900000000000006</v>
      </c>
      <c r="G5242">
        <v>1.2890999999999999</v>
      </c>
      <c r="H5242">
        <v>19.533000000000001</v>
      </c>
    </row>
    <row r="5243" spans="1:8" x14ac:dyDescent="0.25">
      <c r="A5243" t="s">
        <v>5249</v>
      </c>
      <c r="B5243">
        <v>14214</v>
      </c>
      <c r="C5243">
        <v>7896030800214</v>
      </c>
      <c r="D5243">
        <v>6.9</v>
      </c>
      <c r="E5243">
        <v>2.75</v>
      </c>
      <c r="F5243" s="3">
        <v>0.54669999999999996</v>
      </c>
      <c r="G5243">
        <v>2.4893999999999998</v>
      </c>
      <c r="H5243">
        <v>10.3</v>
      </c>
    </row>
    <row r="5244" spans="1:8" x14ac:dyDescent="0.25">
      <c r="A5244" t="s">
        <v>5250</v>
      </c>
      <c r="B5244">
        <v>50361</v>
      </c>
      <c r="C5244">
        <v>7898202610416</v>
      </c>
      <c r="D5244">
        <v>13.9</v>
      </c>
      <c r="E5244">
        <v>7.52</v>
      </c>
      <c r="F5244" s="3">
        <v>0.4163</v>
      </c>
      <c r="G5244">
        <v>6.8282999999999996</v>
      </c>
      <c r="H5244">
        <v>1.2</v>
      </c>
    </row>
    <row r="5245" spans="1:8" x14ac:dyDescent="0.25">
      <c r="A5245" t="s">
        <v>5251</v>
      </c>
      <c r="B5245">
        <v>50362</v>
      </c>
      <c r="C5245">
        <v>7898202610317</v>
      </c>
      <c r="D5245">
        <v>13.9</v>
      </c>
      <c r="E5245">
        <v>7.13</v>
      </c>
      <c r="F5245" s="3">
        <v>0.44209999999999999</v>
      </c>
      <c r="G5245">
        <v>6.4684999999999997</v>
      </c>
      <c r="H5245">
        <v>2.133</v>
      </c>
    </row>
    <row r="5246" spans="1:8" x14ac:dyDescent="0.25">
      <c r="A5246" t="s">
        <v>5252</v>
      </c>
      <c r="B5246">
        <v>66124</v>
      </c>
      <c r="C5246">
        <v>7896001035010</v>
      </c>
      <c r="D5246">
        <v>13.9</v>
      </c>
      <c r="E5246">
        <v>6.56</v>
      </c>
      <c r="F5246" s="3">
        <v>0.38409999999999994</v>
      </c>
      <c r="G5246">
        <v>4.7737999999999996</v>
      </c>
      <c r="H5246">
        <v>1.6</v>
      </c>
    </row>
    <row r="5247" spans="1:8" x14ac:dyDescent="0.25">
      <c r="A5247" t="s">
        <v>5253</v>
      </c>
      <c r="B5247">
        <v>66118</v>
      </c>
      <c r="C5247">
        <v>7896001035034</v>
      </c>
      <c r="D5247">
        <v>13.9</v>
      </c>
      <c r="E5247">
        <v>7.85</v>
      </c>
      <c r="F5247" s="3">
        <v>0.30480000000000002</v>
      </c>
      <c r="G5247">
        <v>5.8752000000000004</v>
      </c>
      <c r="H5247">
        <v>3</v>
      </c>
    </row>
    <row r="5248" spans="1:8" x14ac:dyDescent="0.25">
      <c r="A5248" t="s">
        <v>5254</v>
      </c>
      <c r="B5248">
        <v>66121</v>
      </c>
      <c r="C5248">
        <v>7896001035041</v>
      </c>
      <c r="D5248">
        <v>13.9</v>
      </c>
      <c r="E5248">
        <v>6.11</v>
      </c>
      <c r="F5248" s="3">
        <v>0.40869999999999995</v>
      </c>
      <c r="G5248">
        <v>4.4306999999999999</v>
      </c>
      <c r="H5248">
        <v>1.7</v>
      </c>
    </row>
    <row r="5249" spans="1:8" x14ac:dyDescent="0.25">
      <c r="A5249" t="s">
        <v>5255</v>
      </c>
      <c r="B5249">
        <v>4179</v>
      </c>
      <c r="C5249">
        <v>7896024720382</v>
      </c>
      <c r="D5249">
        <v>4.9000000000000004</v>
      </c>
      <c r="E5249">
        <v>3.41</v>
      </c>
      <c r="F5249" s="3">
        <v>0.27550000000000002</v>
      </c>
      <c r="G5249">
        <v>3.0966</v>
      </c>
      <c r="H5249">
        <v>6.8</v>
      </c>
    </row>
    <row r="5250" spans="1:8" x14ac:dyDescent="0.25">
      <c r="A5250" t="s">
        <v>5256</v>
      </c>
      <c r="B5250">
        <v>44662</v>
      </c>
      <c r="C5250">
        <v>7896102587043</v>
      </c>
      <c r="D5250">
        <v>38.9</v>
      </c>
      <c r="E5250">
        <v>30.35</v>
      </c>
      <c r="F5250" s="3">
        <v>0.19949999999999998</v>
      </c>
      <c r="G5250">
        <v>27.542000000000002</v>
      </c>
      <c r="H5250">
        <v>3.1669999999999998</v>
      </c>
    </row>
    <row r="5251" spans="1:8" x14ac:dyDescent="0.25">
      <c r="A5251" t="s">
        <v>5257</v>
      </c>
      <c r="B5251">
        <v>66241</v>
      </c>
      <c r="C5251">
        <v>7891010087807</v>
      </c>
      <c r="D5251">
        <v>9.9</v>
      </c>
      <c r="E5251">
        <v>5.91</v>
      </c>
      <c r="F5251" s="3">
        <v>0.36579999999999996</v>
      </c>
      <c r="G5251">
        <v>5.3628999999999998</v>
      </c>
      <c r="H5251">
        <v>2.867</v>
      </c>
    </row>
    <row r="5252" spans="1:8" x14ac:dyDescent="0.25">
      <c r="A5252" t="s">
        <v>5258</v>
      </c>
      <c r="B5252">
        <v>66243</v>
      </c>
      <c r="C5252">
        <v>7891010039783</v>
      </c>
      <c r="D5252">
        <v>11.49</v>
      </c>
      <c r="E5252">
        <v>11.19</v>
      </c>
      <c r="F5252" s="3">
        <v>2.35E-2</v>
      </c>
      <c r="G5252">
        <v>10.157299999999999</v>
      </c>
      <c r="H5252">
        <v>7.2670000000000003</v>
      </c>
    </row>
    <row r="5253" spans="1:8" x14ac:dyDescent="0.25">
      <c r="A5253" t="s">
        <v>5259</v>
      </c>
      <c r="B5253">
        <v>66245</v>
      </c>
      <c r="C5253">
        <v>7891010604349</v>
      </c>
      <c r="D5253">
        <v>34.9</v>
      </c>
      <c r="E5253">
        <v>19.03</v>
      </c>
      <c r="F5253" s="3">
        <v>0.41259999999999997</v>
      </c>
      <c r="G5253">
        <v>17.272099999999998</v>
      </c>
      <c r="H5253">
        <v>4</v>
      </c>
    </row>
    <row r="5254" spans="1:8" x14ac:dyDescent="0.25">
      <c r="A5254" t="s">
        <v>5260</v>
      </c>
      <c r="B5254">
        <v>66236</v>
      </c>
      <c r="C5254">
        <v>7891010618766</v>
      </c>
      <c r="D5254">
        <v>11.9</v>
      </c>
      <c r="E5254">
        <v>6.75</v>
      </c>
      <c r="F5254" s="3">
        <v>0.39270000000000005</v>
      </c>
      <c r="G5254">
        <v>6.1262999999999996</v>
      </c>
      <c r="H5254">
        <v>0.46700000000000003</v>
      </c>
    </row>
    <row r="5255" spans="1:8" x14ac:dyDescent="0.25">
      <c r="A5255" t="s">
        <v>5261</v>
      </c>
      <c r="B5255">
        <v>66238</v>
      </c>
      <c r="C5255">
        <v>7891010618773</v>
      </c>
      <c r="D5255">
        <v>20.9</v>
      </c>
      <c r="E5255">
        <v>12.78</v>
      </c>
      <c r="F5255" s="3">
        <v>0.35100000000000003</v>
      </c>
      <c r="G5255">
        <v>11.6303</v>
      </c>
      <c r="H5255">
        <v>0.9</v>
      </c>
    </row>
    <row r="5256" spans="1:8" x14ac:dyDescent="0.25">
      <c r="A5256" t="s">
        <v>5262</v>
      </c>
      <c r="B5256">
        <v>66239</v>
      </c>
      <c r="C5256">
        <v>7891010618780</v>
      </c>
      <c r="D5256">
        <v>38.9</v>
      </c>
      <c r="E5256">
        <v>21.62</v>
      </c>
      <c r="F5256" s="3">
        <v>0.40039999999999998</v>
      </c>
      <c r="G5256">
        <v>19.7271</v>
      </c>
      <c r="H5256">
        <v>0.26700000000000002</v>
      </c>
    </row>
    <row r="5257" spans="1:8" x14ac:dyDescent="0.25">
      <c r="A5257" t="s">
        <v>5263</v>
      </c>
      <c r="B5257">
        <v>66246</v>
      </c>
      <c r="C5257">
        <v>7891010087722</v>
      </c>
      <c r="D5257">
        <v>9.9</v>
      </c>
      <c r="E5257">
        <v>5.91</v>
      </c>
      <c r="F5257" s="3">
        <v>0.36560000000000004</v>
      </c>
      <c r="G5257">
        <v>5.3651</v>
      </c>
      <c r="H5257">
        <v>1.1000000000000001</v>
      </c>
    </row>
    <row r="5258" spans="1:8" x14ac:dyDescent="0.25">
      <c r="A5258" t="s">
        <v>5264</v>
      </c>
      <c r="B5258">
        <v>66250</v>
      </c>
      <c r="C5258">
        <v>7891010015268</v>
      </c>
      <c r="D5258">
        <v>9.9</v>
      </c>
      <c r="E5258">
        <v>5.91</v>
      </c>
      <c r="F5258" s="3">
        <v>0.36560000000000004</v>
      </c>
      <c r="G5258">
        <v>5.3647</v>
      </c>
      <c r="H5258">
        <v>0.8</v>
      </c>
    </row>
    <row r="5259" spans="1:8" x14ac:dyDescent="0.25">
      <c r="A5259" t="s">
        <v>5265</v>
      </c>
      <c r="B5259">
        <v>66251</v>
      </c>
      <c r="C5259">
        <v>7891010875596</v>
      </c>
      <c r="D5259">
        <v>11.49</v>
      </c>
      <c r="E5259">
        <v>11.16</v>
      </c>
      <c r="F5259" s="3">
        <v>2.3900000000000001E-2</v>
      </c>
      <c r="G5259">
        <v>10.152100000000001</v>
      </c>
      <c r="H5259">
        <v>3.133</v>
      </c>
    </row>
    <row r="5260" spans="1:8" x14ac:dyDescent="0.25">
      <c r="A5260" t="s">
        <v>5266</v>
      </c>
      <c r="B5260">
        <v>66248</v>
      </c>
      <c r="C5260">
        <v>7891010009618</v>
      </c>
      <c r="D5260">
        <v>11.49</v>
      </c>
      <c r="E5260">
        <v>11.15</v>
      </c>
      <c r="F5260" s="3">
        <v>2.4399999999999998E-2</v>
      </c>
      <c r="G5260">
        <v>10.146699999999999</v>
      </c>
      <c r="H5260">
        <v>3.3</v>
      </c>
    </row>
    <row r="5261" spans="1:8" x14ac:dyDescent="0.25">
      <c r="A5261" t="s">
        <v>5267</v>
      </c>
      <c r="B5261">
        <v>66249</v>
      </c>
      <c r="C5261">
        <v>7891010576509</v>
      </c>
      <c r="D5261">
        <v>34.9</v>
      </c>
      <c r="E5261">
        <v>19.03</v>
      </c>
      <c r="F5261" s="3">
        <v>0.41259999999999997</v>
      </c>
      <c r="G5261">
        <v>17.273599999999998</v>
      </c>
      <c r="H5261">
        <v>2.9329999999999998</v>
      </c>
    </row>
    <row r="5262" spans="1:8" x14ac:dyDescent="0.25">
      <c r="A5262" t="s">
        <v>5268</v>
      </c>
      <c r="B5262">
        <v>54925</v>
      </c>
      <c r="C5262">
        <v>7896007550548</v>
      </c>
      <c r="D5262">
        <v>14.9</v>
      </c>
      <c r="E5262">
        <v>9.2799999999999994</v>
      </c>
      <c r="F5262" s="3">
        <v>0.34320000000000001</v>
      </c>
      <c r="G5262">
        <v>8.4076000000000004</v>
      </c>
      <c r="H5262">
        <v>2.5</v>
      </c>
    </row>
    <row r="5263" spans="1:8" x14ac:dyDescent="0.25">
      <c r="A5263" t="s">
        <v>5269</v>
      </c>
      <c r="B5263">
        <v>59756</v>
      </c>
      <c r="C5263">
        <v>7896007550463</v>
      </c>
      <c r="D5263">
        <v>7.9</v>
      </c>
      <c r="E5263">
        <v>4.74</v>
      </c>
      <c r="F5263" s="3">
        <v>0.37020000000000003</v>
      </c>
      <c r="G5263">
        <v>4.2447999999999997</v>
      </c>
      <c r="H5263">
        <v>6.1</v>
      </c>
    </row>
    <row r="5264" spans="1:8" x14ac:dyDescent="0.25">
      <c r="A5264" t="s">
        <v>5270</v>
      </c>
      <c r="B5264">
        <v>58855</v>
      </c>
      <c r="C5264">
        <v>7898930672953</v>
      </c>
      <c r="D5264">
        <v>15.9</v>
      </c>
      <c r="E5264">
        <v>8.65</v>
      </c>
      <c r="F5264" s="3">
        <v>0.33110000000000001</v>
      </c>
      <c r="G5264">
        <v>6.3025000000000002</v>
      </c>
      <c r="H5264">
        <v>2.2000000000000002</v>
      </c>
    </row>
    <row r="5265" spans="1:8" x14ac:dyDescent="0.25">
      <c r="A5265" t="s">
        <v>5271</v>
      </c>
      <c r="B5265">
        <v>15450</v>
      </c>
      <c r="C5265">
        <v>7898930672601</v>
      </c>
      <c r="D5265">
        <v>10.9</v>
      </c>
      <c r="E5265">
        <v>5.53</v>
      </c>
      <c r="F5265" s="3">
        <v>0.35240000000000005</v>
      </c>
      <c r="G5265">
        <v>4.0888999999999998</v>
      </c>
      <c r="H5265">
        <v>1.2</v>
      </c>
    </row>
    <row r="5266" spans="1:8" x14ac:dyDescent="0.25">
      <c r="A5266" t="s">
        <v>5272</v>
      </c>
      <c r="B5266">
        <v>68380</v>
      </c>
      <c r="C5266">
        <v>7891033754175</v>
      </c>
      <c r="D5266">
        <v>64.989999999999995</v>
      </c>
      <c r="E5266">
        <v>45.45</v>
      </c>
      <c r="F5266" s="3">
        <v>0.30070000000000002</v>
      </c>
      <c r="G5266">
        <v>45.45</v>
      </c>
      <c r="H5266">
        <v>0</v>
      </c>
    </row>
    <row r="5267" spans="1:8" x14ac:dyDescent="0.25">
      <c r="A5267" t="s">
        <v>5273</v>
      </c>
      <c r="B5267">
        <v>68382</v>
      </c>
      <c r="C5267">
        <v>7891033754168</v>
      </c>
      <c r="D5267">
        <v>79.989999999999995</v>
      </c>
      <c r="E5267">
        <v>55.94</v>
      </c>
      <c r="F5267" s="3">
        <v>0.30070000000000002</v>
      </c>
      <c r="G5267">
        <v>55.94</v>
      </c>
      <c r="H5267">
        <v>3.3000000000000002E-2</v>
      </c>
    </row>
    <row r="5268" spans="1:8" x14ac:dyDescent="0.25">
      <c r="A5268" t="s">
        <v>5274</v>
      </c>
      <c r="B5268">
        <v>68379</v>
      </c>
      <c r="C5268">
        <v>7891033777358</v>
      </c>
      <c r="D5268">
        <v>65.989999999999995</v>
      </c>
      <c r="E5268">
        <v>46.15</v>
      </c>
      <c r="F5268" s="3">
        <v>0.30070000000000002</v>
      </c>
      <c r="G5268">
        <v>46.15</v>
      </c>
      <c r="H5268">
        <v>0</v>
      </c>
    </row>
    <row r="5269" spans="1:8" x14ac:dyDescent="0.25">
      <c r="A5269" t="s">
        <v>5275</v>
      </c>
      <c r="B5269">
        <v>68378</v>
      </c>
      <c r="C5269">
        <v>7891033822317</v>
      </c>
      <c r="D5269">
        <v>69.989999999999995</v>
      </c>
      <c r="E5269">
        <v>48.94</v>
      </c>
      <c r="F5269" s="3">
        <v>0.30079999999999996</v>
      </c>
      <c r="G5269">
        <v>48.94</v>
      </c>
      <c r="H5269">
        <v>0</v>
      </c>
    </row>
    <row r="5270" spans="1:8" x14ac:dyDescent="0.25">
      <c r="A5270" t="s">
        <v>5276</v>
      </c>
      <c r="B5270">
        <v>7781</v>
      </c>
      <c r="C5270">
        <v>7896006795148</v>
      </c>
      <c r="D5270">
        <v>9.9</v>
      </c>
      <c r="E5270">
        <v>4.97</v>
      </c>
      <c r="F5270" s="3">
        <v>0.36280000000000001</v>
      </c>
      <c r="G5270">
        <v>3.6107</v>
      </c>
      <c r="H5270">
        <v>2.6669999999999998</v>
      </c>
    </row>
    <row r="5271" spans="1:8" x14ac:dyDescent="0.25">
      <c r="A5271" t="s">
        <v>5277</v>
      </c>
      <c r="B5271">
        <v>7784</v>
      </c>
      <c r="C5271">
        <v>7896006795124</v>
      </c>
      <c r="D5271">
        <v>9.9</v>
      </c>
      <c r="E5271">
        <v>4.99</v>
      </c>
      <c r="F5271" s="3">
        <v>0.3599</v>
      </c>
      <c r="G5271">
        <v>3.6387999999999998</v>
      </c>
      <c r="H5271">
        <v>2.633</v>
      </c>
    </row>
    <row r="5272" spans="1:8" x14ac:dyDescent="0.25">
      <c r="A5272" t="s">
        <v>5278</v>
      </c>
      <c r="B5272">
        <v>7785</v>
      </c>
      <c r="C5272">
        <v>7897303509049</v>
      </c>
      <c r="D5272">
        <v>13.9</v>
      </c>
      <c r="E5272">
        <v>7.63</v>
      </c>
      <c r="F5272" s="3">
        <v>0.32819999999999999</v>
      </c>
      <c r="G5272">
        <v>5.5500999999999996</v>
      </c>
      <c r="H5272">
        <v>1.6</v>
      </c>
    </row>
    <row r="5273" spans="1:8" x14ac:dyDescent="0.25">
      <c r="A5273" t="s">
        <v>5279</v>
      </c>
      <c r="B5273">
        <v>7790</v>
      </c>
      <c r="C5273">
        <v>7896283002229</v>
      </c>
      <c r="D5273">
        <v>17.899999999999999</v>
      </c>
      <c r="E5273">
        <v>9.41</v>
      </c>
      <c r="F5273" s="3">
        <v>0.34590000000000004</v>
      </c>
      <c r="G5273">
        <v>6.8299000000000003</v>
      </c>
      <c r="H5273">
        <v>1.7</v>
      </c>
    </row>
    <row r="5274" spans="1:8" x14ac:dyDescent="0.25">
      <c r="A5274" t="s">
        <v>5280</v>
      </c>
      <c r="B5274">
        <v>60622</v>
      </c>
      <c r="C5274">
        <v>4005808956487</v>
      </c>
      <c r="D5274">
        <v>39.9</v>
      </c>
      <c r="E5274">
        <v>38.450000000000003</v>
      </c>
      <c r="F5274" s="3">
        <v>3.6499999999999998E-2</v>
      </c>
      <c r="G5274">
        <v>38.443399999999997</v>
      </c>
      <c r="H5274">
        <v>0.1</v>
      </c>
    </row>
    <row r="5275" spans="1:8" x14ac:dyDescent="0.25">
      <c r="A5275" t="s">
        <v>5281</v>
      </c>
      <c r="B5275">
        <v>62981</v>
      </c>
      <c r="C5275">
        <v>7896110007557</v>
      </c>
      <c r="D5275">
        <v>10.9</v>
      </c>
      <c r="E5275">
        <v>7.29</v>
      </c>
      <c r="F5275" s="3">
        <v>0.30099999999999999</v>
      </c>
      <c r="G5275">
        <v>6.6113999999999997</v>
      </c>
      <c r="H5275">
        <v>0</v>
      </c>
    </row>
    <row r="5276" spans="1:8" x14ac:dyDescent="0.25">
      <c r="A5276" t="s">
        <v>5282</v>
      </c>
      <c r="B5276">
        <v>7789</v>
      </c>
      <c r="C5276">
        <v>7896007540259</v>
      </c>
      <c r="D5276">
        <v>7.9</v>
      </c>
      <c r="E5276">
        <v>4.91</v>
      </c>
      <c r="F5276" s="3">
        <v>0.34020000000000006</v>
      </c>
      <c r="G5276">
        <v>4.4819000000000004</v>
      </c>
      <c r="H5276">
        <v>3.0670000000000002</v>
      </c>
    </row>
    <row r="5277" spans="1:8" x14ac:dyDescent="0.25">
      <c r="A5277" t="s">
        <v>5283</v>
      </c>
      <c r="B5277">
        <v>55441</v>
      </c>
      <c r="C5277">
        <v>4005900453259</v>
      </c>
      <c r="D5277">
        <v>26.9</v>
      </c>
      <c r="E5277">
        <v>15.98</v>
      </c>
      <c r="F5277" s="3">
        <v>0.40579999999999999</v>
      </c>
      <c r="G5277">
        <v>15.9834</v>
      </c>
      <c r="H5277">
        <v>6.7000000000000004E-2</v>
      </c>
    </row>
    <row r="5278" spans="1:8" x14ac:dyDescent="0.25">
      <c r="A5278" t="s">
        <v>5284</v>
      </c>
      <c r="B5278">
        <v>59852</v>
      </c>
      <c r="C5278">
        <v>4005900663993</v>
      </c>
      <c r="D5278">
        <v>26.9</v>
      </c>
      <c r="E5278">
        <v>16.329999999999998</v>
      </c>
      <c r="F5278" s="3">
        <v>0.38939999999999997</v>
      </c>
      <c r="G5278">
        <v>16.4252</v>
      </c>
      <c r="H5278">
        <v>0.1</v>
      </c>
    </row>
    <row r="5279" spans="1:8" x14ac:dyDescent="0.25">
      <c r="A5279" t="s">
        <v>5285</v>
      </c>
      <c r="B5279">
        <v>64903</v>
      </c>
      <c r="C5279">
        <v>4005808850839</v>
      </c>
      <c r="D5279">
        <v>26.9</v>
      </c>
      <c r="E5279">
        <v>16.45</v>
      </c>
      <c r="F5279" s="3">
        <v>0.38850000000000001</v>
      </c>
      <c r="G5279">
        <v>16.450099999999999</v>
      </c>
      <c r="H5279">
        <v>0.46700000000000003</v>
      </c>
    </row>
    <row r="5280" spans="1:8" x14ac:dyDescent="0.25">
      <c r="A5280" t="s">
        <v>5286</v>
      </c>
      <c r="B5280">
        <v>55440</v>
      </c>
      <c r="C5280">
        <v>4005808850617</v>
      </c>
      <c r="D5280">
        <v>26.9</v>
      </c>
      <c r="E5280">
        <v>14.97</v>
      </c>
      <c r="F5280" s="3">
        <v>0.43240000000000001</v>
      </c>
      <c r="G5280">
        <v>15.2676</v>
      </c>
      <c r="H5280">
        <v>3.3000000000000002E-2</v>
      </c>
    </row>
    <row r="5281" spans="1:8" x14ac:dyDescent="0.25">
      <c r="A5281" t="s">
        <v>5287</v>
      </c>
      <c r="B5281">
        <v>68376</v>
      </c>
      <c r="C5281">
        <v>7891033718665</v>
      </c>
      <c r="D5281">
        <v>81.99</v>
      </c>
      <c r="E5281">
        <v>57.34</v>
      </c>
      <c r="F5281" s="3">
        <v>0.30059999999999998</v>
      </c>
      <c r="G5281">
        <v>57.34</v>
      </c>
      <c r="H5281">
        <v>0</v>
      </c>
    </row>
    <row r="5282" spans="1:8" x14ac:dyDescent="0.25">
      <c r="A5282" t="s">
        <v>5288</v>
      </c>
      <c r="B5282">
        <v>68375</v>
      </c>
      <c r="C5282">
        <v>7891033718580</v>
      </c>
      <c r="D5282">
        <v>75.989999999999995</v>
      </c>
      <c r="E5282">
        <v>53.14</v>
      </c>
      <c r="F5282" s="3">
        <v>0.30070000000000002</v>
      </c>
      <c r="G5282">
        <v>53.14</v>
      </c>
      <c r="H5282">
        <v>6.7000000000000004E-2</v>
      </c>
    </row>
    <row r="5283" spans="1:8" x14ac:dyDescent="0.25">
      <c r="A5283" t="s">
        <v>5289</v>
      </c>
      <c r="B5283">
        <v>68377</v>
      </c>
      <c r="C5283">
        <v>7891033718641</v>
      </c>
      <c r="D5283">
        <v>78.989999999999995</v>
      </c>
      <c r="E5283">
        <v>55.24</v>
      </c>
      <c r="F5283" s="3">
        <v>0.30070000000000002</v>
      </c>
      <c r="G5283">
        <v>55.24</v>
      </c>
      <c r="H5283">
        <v>3.3000000000000002E-2</v>
      </c>
    </row>
    <row r="5284" spans="1:8" x14ac:dyDescent="0.25">
      <c r="A5284" t="s">
        <v>5290</v>
      </c>
      <c r="B5284">
        <v>64912</v>
      </c>
      <c r="C5284">
        <v>7890704851335</v>
      </c>
      <c r="D5284">
        <v>28.9</v>
      </c>
      <c r="E5284">
        <v>18.829999999999998</v>
      </c>
      <c r="F5284" s="3">
        <v>0.34850000000000003</v>
      </c>
      <c r="G5284">
        <v>18.829699999999999</v>
      </c>
      <c r="H5284">
        <v>6.7000000000000004E-2</v>
      </c>
    </row>
    <row r="5285" spans="1:8" x14ac:dyDescent="0.25">
      <c r="A5285" t="s">
        <v>5291</v>
      </c>
      <c r="B5285">
        <v>66159</v>
      </c>
      <c r="C5285">
        <v>7891010514846</v>
      </c>
      <c r="D5285">
        <v>89.9</v>
      </c>
      <c r="E5285">
        <v>59.87</v>
      </c>
      <c r="F5285" s="3">
        <v>0.32250000000000001</v>
      </c>
      <c r="G5285">
        <v>60.902999999999999</v>
      </c>
      <c r="H5285">
        <v>6.7000000000000004E-2</v>
      </c>
    </row>
    <row r="5286" spans="1:8" x14ac:dyDescent="0.25">
      <c r="A5286" t="s">
        <v>5292</v>
      </c>
      <c r="B5286">
        <v>66162</v>
      </c>
      <c r="C5286">
        <v>7891010591038</v>
      </c>
      <c r="D5286">
        <v>95.9</v>
      </c>
      <c r="E5286">
        <v>65.38</v>
      </c>
      <c r="F5286" s="3">
        <v>0.31780000000000003</v>
      </c>
      <c r="G5286">
        <v>65.420100000000005</v>
      </c>
      <c r="H5286">
        <v>6.7000000000000004E-2</v>
      </c>
    </row>
    <row r="5287" spans="1:8" x14ac:dyDescent="0.25">
      <c r="A5287" t="s">
        <v>5293</v>
      </c>
      <c r="B5287">
        <v>60588</v>
      </c>
      <c r="C5287">
        <v>4005808555321</v>
      </c>
      <c r="D5287">
        <v>29.9</v>
      </c>
      <c r="E5287">
        <v>30.98</v>
      </c>
      <c r="F5287" s="3">
        <v>-3.2500000000000001E-2</v>
      </c>
      <c r="G5287">
        <v>30.871700000000001</v>
      </c>
      <c r="H5287">
        <v>0.2</v>
      </c>
    </row>
    <row r="5288" spans="1:8" x14ac:dyDescent="0.25">
      <c r="A5288" t="s">
        <v>5294</v>
      </c>
      <c r="B5288">
        <v>7783</v>
      </c>
      <c r="C5288">
        <v>4005808555307</v>
      </c>
      <c r="D5288">
        <v>39.9</v>
      </c>
      <c r="E5288">
        <v>37.590000000000003</v>
      </c>
      <c r="F5288" s="3">
        <v>6.2899999999999998E-2</v>
      </c>
      <c r="G5288">
        <v>37.389899999999997</v>
      </c>
      <c r="H5288">
        <v>0.33300000000000002</v>
      </c>
    </row>
    <row r="5289" spans="1:8" x14ac:dyDescent="0.25">
      <c r="A5289" t="s">
        <v>5295</v>
      </c>
      <c r="B5289">
        <v>7780</v>
      </c>
      <c r="C5289">
        <v>4005808555345</v>
      </c>
      <c r="D5289">
        <v>64.900000000000006</v>
      </c>
      <c r="E5289">
        <v>46.09</v>
      </c>
      <c r="F5289" s="3">
        <v>0.28949999999999998</v>
      </c>
      <c r="G5289">
        <v>46.111699999999999</v>
      </c>
      <c r="H5289">
        <v>6.7000000000000004E-2</v>
      </c>
    </row>
    <row r="5290" spans="1:8" x14ac:dyDescent="0.25">
      <c r="A5290" t="s">
        <v>5296</v>
      </c>
      <c r="B5290">
        <v>64911</v>
      </c>
      <c r="C5290">
        <v>4005900980397</v>
      </c>
      <c r="D5290">
        <v>39.9</v>
      </c>
      <c r="E5290">
        <v>37.33</v>
      </c>
      <c r="F5290" s="3">
        <v>6.4299999999999996E-2</v>
      </c>
      <c r="G5290">
        <v>37.333300000000001</v>
      </c>
      <c r="H5290">
        <v>0</v>
      </c>
    </row>
    <row r="5291" spans="1:8" x14ac:dyDescent="0.25">
      <c r="A5291" t="s">
        <v>5297</v>
      </c>
      <c r="B5291">
        <v>66264</v>
      </c>
      <c r="C5291">
        <v>7891010033521</v>
      </c>
      <c r="D5291">
        <v>53.9</v>
      </c>
      <c r="E5291">
        <v>35.06</v>
      </c>
      <c r="F5291" s="3">
        <v>0.34950000000000003</v>
      </c>
      <c r="G5291">
        <v>35.063899999999997</v>
      </c>
      <c r="H5291">
        <v>0.1</v>
      </c>
    </row>
    <row r="5292" spans="1:8" x14ac:dyDescent="0.25">
      <c r="A5292" t="s">
        <v>5298</v>
      </c>
      <c r="B5292">
        <v>66263</v>
      </c>
      <c r="C5292">
        <v>7891010008147</v>
      </c>
      <c r="D5292">
        <v>64.900000000000006</v>
      </c>
      <c r="E5292">
        <v>41.69</v>
      </c>
      <c r="F5292" s="3">
        <v>0.35759999999999997</v>
      </c>
      <c r="G5292">
        <v>41.693300000000001</v>
      </c>
      <c r="H5292">
        <v>0</v>
      </c>
    </row>
    <row r="5293" spans="1:8" x14ac:dyDescent="0.25">
      <c r="A5293" t="s">
        <v>5299</v>
      </c>
      <c r="B5293">
        <v>66267</v>
      </c>
      <c r="C5293">
        <v>7891010096496</v>
      </c>
      <c r="D5293">
        <v>59.9</v>
      </c>
      <c r="E5293">
        <v>38.409999999999997</v>
      </c>
      <c r="F5293" s="3">
        <v>0.35880000000000001</v>
      </c>
      <c r="G5293">
        <v>38.405799999999999</v>
      </c>
      <c r="H5293">
        <v>6.7000000000000004E-2</v>
      </c>
    </row>
    <row r="5294" spans="1:8" x14ac:dyDescent="0.25">
      <c r="A5294" t="s">
        <v>5300</v>
      </c>
      <c r="B5294">
        <v>66268</v>
      </c>
      <c r="C5294">
        <v>7891010020279</v>
      </c>
      <c r="D5294">
        <v>69.900000000000006</v>
      </c>
      <c r="E5294">
        <v>45.87</v>
      </c>
      <c r="F5294" s="3">
        <v>0.34380000000000005</v>
      </c>
      <c r="G5294">
        <v>45.869199999999999</v>
      </c>
      <c r="H5294">
        <v>0.23300000000000001</v>
      </c>
    </row>
    <row r="5295" spans="1:8" x14ac:dyDescent="0.25">
      <c r="A5295" t="s">
        <v>5301</v>
      </c>
      <c r="B5295">
        <v>66266</v>
      </c>
      <c r="C5295">
        <v>7891010244361</v>
      </c>
      <c r="D5295">
        <v>89.9</v>
      </c>
      <c r="E5295">
        <v>58.59</v>
      </c>
      <c r="F5295" s="3">
        <v>0.34820000000000001</v>
      </c>
      <c r="G5295">
        <v>58.592500000000001</v>
      </c>
      <c r="H5295">
        <v>6.7000000000000004E-2</v>
      </c>
    </row>
    <row r="5296" spans="1:8" x14ac:dyDescent="0.25">
      <c r="A5296" t="s">
        <v>5302</v>
      </c>
      <c r="B5296">
        <v>66270</v>
      </c>
      <c r="C5296">
        <v>7891010026264</v>
      </c>
      <c r="D5296">
        <v>83.9</v>
      </c>
      <c r="E5296">
        <v>54.35</v>
      </c>
      <c r="F5296" s="3">
        <v>0.35220000000000001</v>
      </c>
      <c r="G5296">
        <v>54.346699999999998</v>
      </c>
      <c r="H5296">
        <v>6.7000000000000004E-2</v>
      </c>
    </row>
    <row r="5297" spans="1:8" x14ac:dyDescent="0.25">
      <c r="A5297" t="s">
        <v>5303</v>
      </c>
      <c r="B5297">
        <v>9333</v>
      </c>
      <c r="C5297">
        <v>7891048045138</v>
      </c>
      <c r="D5297">
        <v>3.9</v>
      </c>
      <c r="E5297">
        <v>2.35</v>
      </c>
      <c r="F5297" s="3">
        <v>0.28859999999999997</v>
      </c>
      <c r="G5297">
        <v>1.7117</v>
      </c>
      <c r="H5297">
        <v>2.8330000000000002</v>
      </c>
    </row>
    <row r="5298" spans="1:8" x14ac:dyDescent="0.25">
      <c r="A5298" t="s">
        <v>5304</v>
      </c>
      <c r="B5298">
        <v>9335</v>
      </c>
      <c r="C5298">
        <v>7891048045145</v>
      </c>
      <c r="D5298">
        <v>3.99</v>
      </c>
      <c r="E5298">
        <v>2.36</v>
      </c>
      <c r="F5298" s="3">
        <v>0.29880000000000001</v>
      </c>
      <c r="G5298">
        <v>1.7104999999999999</v>
      </c>
      <c r="H5298">
        <v>1.833</v>
      </c>
    </row>
    <row r="5299" spans="1:8" x14ac:dyDescent="0.25">
      <c r="A5299" t="s">
        <v>5305</v>
      </c>
      <c r="B5299">
        <v>9332</v>
      </c>
      <c r="C5299">
        <v>7891048044544</v>
      </c>
      <c r="D5299">
        <v>6.49</v>
      </c>
      <c r="E5299">
        <v>3.35</v>
      </c>
      <c r="F5299" s="3">
        <v>0.35170000000000001</v>
      </c>
      <c r="G5299">
        <v>2.4392</v>
      </c>
      <c r="H5299">
        <v>6.9669999999999996</v>
      </c>
    </row>
    <row r="5300" spans="1:8" x14ac:dyDescent="0.25">
      <c r="A5300" t="s">
        <v>5306</v>
      </c>
      <c r="B5300">
        <v>23282</v>
      </c>
      <c r="C5300">
        <v>7896001223646</v>
      </c>
      <c r="D5300">
        <v>0</v>
      </c>
      <c r="E5300">
        <v>2.77</v>
      </c>
      <c r="F5300" s="3">
        <v>0</v>
      </c>
      <c r="G5300">
        <v>2.0171000000000001</v>
      </c>
      <c r="H5300">
        <v>0.63300000000000001</v>
      </c>
    </row>
    <row r="5301" spans="1:8" x14ac:dyDescent="0.25">
      <c r="A5301" t="s">
        <v>5307</v>
      </c>
      <c r="B5301">
        <v>23284</v>
      </c>
      <c r="C5301">
        <v>7896001223684</v>
      </c>
      <c r="D5301">
        <v>0</v>
      </c>
      <c r="E5301">
        <v>2.74</v>
      </c>
      <c r="F5301" s="3">
        <v>0</v>
      </c>
      <c r="G5301">
        <v>1.9923999999999999</v>
      </c>
      <c r="H5301">
        <v>0.73299999999999998</v>
      </c>
    </row>
    <row r="5302" spans="1:8" x14ac:dyDescent="0.25">
      <c r="A5302" t="s">
        <v>5308</v>
      </c>
      <c r="B5302">
        <v>67377</v>
      </c>
      <c r="C5302">
        <v>7896292006003</v>
      </c>
      <c r="D5302">
        <v>5.29</v>
      </c>
      <c r="E5302">
        <v>3.2</v>
      </c>
      <c r="F5302" s="3">
        <v>0.28999999999999998</v>
      </c>
      <c r="G5302">
        <v>2.3142</v>
      </c>
      <c r="H5302">
        <v>5.133</v>
      </c>
    </row>
    <row r="5303" spans="1:8" x14ac:dyDescent="0.25">
      <c r="A5303" t="s">
        <v>5309</v>
      </c>
      <c r="B5303">
        <v>67375</v>
      </c>
      <c r="C5303">
        <v>7896292006027</v>
      </c>
      <c r="D5303">
        <v>5.29</v>
      </c>
      <c r="E5303">
        <v>3.2</v>
      </c>
      <c r="F5303" s="3">
        <v>0.28999999999999998</v>
      </c>
      <c r="G5303">
        <v>2.3144999999999998</v>
      </c>
      <c r="H5303">
        <v>3.867</v>
      </c>
    </row>
    <row r="5304" spans="1:8" x14ac:dyDescent="0.25">
      <c r="A5304" t="s">
        <v>5310</v>
      </c>
      <c r="B5304">
        <v>67376</v>
      </c>
      <c r="C5304">
        <v>7896292006010</v>
      </c>
      <c r="D5304">
        <v>5.29</v>
      </c>
      <c r="E5304">
        <v>3.19</v>
      </c>
      <c r="F5304" s="3">
        <v>0.29399999999999998</v>
      </c>
      <c r="G5304">
        <v>2.2932999999999999</v>
      </c>
      <c r="H5304">
        <v>1.7</v>
      </c>
    </row>
    <row r="5305" spans="1:8" x14ac:dyDescent="0.25">
      <c r="A5305" t="s">
        <v>5311</v>
      </c>
      <c r="B5305">
        <v>19510</v>
      </c>
      <c r="C5305">
        <v>7891035032004</v>
      </c>
      <c r="D5305">
        <v>33.9</v>
      </c>
      <c r="E5305">
        <v>22.02</v>
      </c>
      <c r="F5305" s="3">
        <v>0.25459999999999999</v>
      </c>
      <c r="G5305">
        <v>16.0322</v>
      </c>
      <c r="H5305">
        <v>0.53300000000000003</v>
      </c>
    </row>
    <row r="5306" spans="1:8" x14ac:dyDescent="0.25">
      <c r="A5306" t="s">
        <v>5312</v>
      </c>
      <c r="B5306">
        <v>3508</v>
      </c>
      <c r="C5306">
        <v>7891095010837</v>
      </c>
      <c r="D5306">
        <v>19.899999999999999</v>
      </c>
      <c r="E5306">
        <v>12.41</v>
      </c>
      <c r="F5306" s="3">
        <v>0.27449999999999997</v>
      </c>
      <c r="G5306">
        <v>9.0138999999999996</v>
      </c>
      <c r="H5306">
        <v>2.367</v>
      </c>
    </row>
    <row r="5307" spans="1:8" x14ac:dyDescent="0.25">
      <c r="A5307" t="s">
        <v>5313</v>
      </c>
      <c r="B5307">
        <v>5317</v>
      </c>
      <c r="C5307">
        <v>7896090704033</v>
      </c>
      <c r="D5307">
        <v>34.9</v>
      </c>
      <c r="E5307">
        <v>19.02</v>
      </c>
      <c r="F5307" s="3">
        <v>0.30809999999999998</v>
      </c>
      <c r="G5307">
        <v>12.195499999999999</v>
      </c>
      <c r="H5307">
        <v>0.33300000000000002</v>
      </c>
    </row>
    <row r="5308" spans="1:8" x14ac:dyDescent="0.25">
      <c r="A5308" t="s">
        <v>5314</v>
      </c>
      <c r="B5308">
        <v>5318</v>
      </c>
      <c r="C5308">
        <v>7896090704125</v>
      </c>
      <c r="D5308">
        <v>17.899999999999999</v>
      </c>
      <c r="E5308">
        <v>9.9499999999999993</v>
      </c>
      <c r="F5308" s="3">
        <v>0.29909999999999998</v>
      </c>
      <c r="G5308">
        <v>6.4161999999999999</v>
      </c>
      <c r="H5308">
        <v>0.76700000000000002</v>
      </c>
    </row>
    <row r="5309" spans="1:8" x14ac:dyDescent="0.25">
      <c r="A5309" t="s">
        <v>5315</v>
      </c>
      <c r="B5309">
        <v>13856</v>
      </c>
      <c r="C5309">
        <v>7897303502439</v>
      </c>
      <c r="D5309">
        <v>14.9</v>
      </c>
      <c r="E5309">
        <v>8.7100000000000009</v>
      </c>
      <c r="F5309" s="3">
        <v>0.30210000000000004</v>
      </c>
      <c r="G5309">
        <v>6.3380000000000001</v>
      </c>
      <c r="H5309">
        <v>0.433</v>
      </c>
    </row>
    <row r="5310" spans="1:8" x14ac:dyDescent="0.25">
      <c r="A5310" t="s">
        <v>5316</v>
      </c>
      <c r="B5310">
        <v>7598</v>
      </c>
      <c r="C5310">
        <v>7897303502422</v>
      </c>
      <c r="D5310">
        <v>15.9</v>
      </c>
      <c r="E5310">
        <v>8.92</v>
      </c>
      <c r="F5310" s="3">
        <v>0.31940000000000002</v>
      </c>
      <c r="G5310">
        <v>6.4885999999999999</v>
      </c>
      <c r="H5310">
        <v>3.1</v>
      </c>
    </row>
    <row r="5311" spans="1:8" x14ac:dyDescent="0.25">
      <c r="A5311" t="s">
        <v>5317</v>
      </c>
      <c r="B5311">
        <v>64237</v>
      </c>
      <c r="C5311">
        <v>7896029087336</v>
      </c>
      <c r="D5311">
        <v>20.99</v>
      </c>
      <c r="E5311">
        <v>11.18</v>
      </c>
      <c r="F5311" s="3">
        <v>0.42630000000000001</v>
      </c>
      <c r="G5311">
        <v>10.100300000000001</v>
      </c>
      <c r="H5311">
        <v>0.96699999999999997</v>
      </c>
    </row>
    <row r="5312" spans="1:8" x14ac:dyDescent="0.25">
      <c r="A5312" t="s">
        <v>5318</v>
      </c>
      <c r="B5312">
        <v>61503</v>
      </c>
      <c r="C5312">
        <v>7891000350997</v>
      </c>
      <c r="D5312">
        <v>27.9</v>
      </c>
      <c r="E5312">
        <v>18.059999999999999</v>
      </c>
      <c r="F5312" s="3">
        <v>0.32030000000000003</v>
      </c>
      <c r="G5312">
        <v>16.383400000000002</v>
      </c>
      <c r="H5312">
        <v>0.23300000000000001</v>
      </c>
    </row>
    <row r="5313" spans="1:8" x14ac:dyDescent="0.25">
      <c r="A5313" t="s">
        <v>5319</v>
      </c>
      <c r="B5313">
        <v>11459</v>
      </c>
      <c r="C5313">
        <v>7891000050804</v>
      </c>
      <c r="D5313">
        <v>19.899999999999999</v>
      </c>
      <c r="E5313">
        <v>10.81</v>
      </c>
      <c r="F5313" s="3">
        <v>0.4138</v>
      </c>
      <c r="G5313">
        <v>9.8253000000000004</v>
      </c>
      <c r="H5313">
        <v>1.2330000000000001</v>
      </c>
    </row>
    <row r="5314" spans="1:8" x14ac:dyDescent="0.25">
      <c r="A5314" t="s">
        <v>5320</v>
      </c>
      <c r="B5314">
        <v>64235</v>
      </c>
      <c r="C5314">
        <v>7896029082348</v>
      </c>
      <c r="D5314">
        <v>16.899999999999999</v>
      </c>
      <c r="E5314">
        <v>13.28</v>
      </c>
      <c r="F5314" s="3">
        <v>0.1946</v>
      </c>
      <c r="G5314">
        <v>12.048500000000001</v>
      </c>
      <c r="H5314">
        <v>0.26700000000000002</v>
      </c>
    </row>
    <row r="5315" spans="1:8" x14ac:dyDescent="0.25">
      <c r="A5315" t="s">
        <v>5321</v>
      </c>
      <c r="B5315">
        <v>11571</v>
      </c>
      <c r="C5315">
        <v>7891000621608</v>
      </c>
      <c r="D5315">
        <v>29.9</v>
      </c>
      <c r="E5315">
        <v>19.78</v>
      </c>
      <c r="F5315" s="3">
        <v>0.30730000000000002</v>
      </c>
      <c r="G5315">
        <v>17.946999999999999</v>
      </c>
      <c r="H5315">
        <v>0</v>
      </c>
    </row>
    <row r="5316" spans="1:8" x14ac:dyDescent="0.25">
      <c r="A5316" t="s">
        <v>5322</v>
      </c>
      <c r="B5316">
        <v>64703</v>
      </c>
      <c r="C5316">
        <v>7891000363898</v>
      </c>
      <c r="D5316">
        <v>29.9</v>
      </c>
      <c r="E5316">
        <v>19.78</v>
      </c>
      <c r="F5316" s="3">
        <v>0.30730000000000002</v>
      </c>
      <c r="G5316">
        <v>17.9468</v>
      </c>
      <c r="H5316">
        <v>1.133</v>
      </c>
    </row>
    <row r="5317" spans="1:8" x14ac:dyDescent="0.25">
      <c r="A5317" t="s">
        <v>5323</v>
      </c>
      <c r="B5317">
        <v>11591</v>
      </c>
      <c r="C5317">
        <v>7891000069912</v>
      </c>
      <c r="D5317">
        <v>29.9</v>
      </c>
      <c r="E5317">
        <v>19.760000000000002</v>
      </c>
      <c r="F5317" s="3">
        <v>0.30790000000000001</v>
      </c>
      <c r="G5317">
        <v>17.927099999999999</v>
      </c>
      <c r="H5317">
        <v>1.0669999999999999</v>
      </c>
    </row>
    <row r="5318" spans="1:8" x14ac:dyDescent="0.25">
      <c r="A5318" t="s">
        <v>5324</v>
      </c>
      <c r="B5318">
        <v>64229</v>
      </c>
      <c r="C5318">
        <v>7896029065082</v>
      </c>
      <c r="D5318">
        <v>44.9</v>
      </c>
      <c r="E5318">
        <v>28.03</v>
      </c>
      <c r="F5318" s="3">
        <v>0.34100000000000003</v>
      </c>
      <c r="G5318">
        <v>25.437999999999999</v>
      </c>
      <c r="H5318">
        <v>0.1</v>
      </c>
    </row>
    <row r="5319" spans="1:8" x14ac:dyDescent="0.25">
      <c r="A5319" t="s">
        <v>5325</v>
      </c>
      <c r="B5319">
        <v>64228</v>
      </c>
      <c r="C5319">
        <v>7896029065075</v>
      </c>
      <c r="D5319">
        <v>21.9</v>
      </c>
      <c r="E5319">
        <v>15.2</v>
      </c>
      <c r="F5319" s="3">
        <v>0.27250000000000002</v>
      </c>
      <c r="G5319">
        <v>13.9072</v>
      </c>
      <c r="H5319">
        <v>0.73299999999999998</v>
      </c>
    </row>
    <row r="5320" spans="1:8" x14ac:dyDescent="0.25">
      <c r="A5320" t="s">
        <v>5326</v>
      </c>
      <c r="B5320">
        <v>11538</v>
      </c>
      <c r="C5320">
        <v>7896015606534</v>
      </c>
      <c r="D5320">
        <v>27.9</v>
      </c>
      <c r="E5320">
        <v>17.18</v>
      </c>
      <c r="F5320" s="3">
        <v>0.3488</v>
      </c>
      <c r="G5320">
        <v>15.5869</v>
      </c>
      <c r="H5320">
        <v>0.36699999999999999</v>
      </c>
    </row>
    <row r="5321" spans="1:8" x14ac:dyDescent="0.25">
      <c r="A5321" t="s">
        <v>5327</v>
      </c>
      <c r="B5321">
        <v>61505</v>
      </c>
      <c r="C5321">
        <v>7891000116678</v>
      </c>
      <c r="D5321">
        <v>26.9</v>
      </c>
      <c r="E5321">
        <v>17.18</v>
      </c>
      <c r="F5321" s="3">
        <v>0.32799999999999996</v>
      </c>
      <c r="G5321">
        <v>15.588100000000001</v>
      </c>
      <c r="H5321">
        <v>1.133</v>
      </c>
    </row>
    <row r="5322" spans="1:8" x14ac:dyDescent="0.25">
      <c r="A5322" t="s">
        <v>5328</v>
      </c>
      <c r="B5322">
        <v>64226</v>
      </c>
      <c r="C5322">
        <v>7896029007778</v>
      </c>
      <c r="D5322">
        <v>69.900000000000006</v>
      </c>
      <c r="E5322">
        <v>48.58</v>
      </c>
      <c r="F5322" s="3">
        <v>0.27710000000000001</v>
      </c>
      <c r="G5322">
        <v>44.067900000000002</v>
      </c>
      <c r="H5322">
        <v>0</v>
      </c>
    </row>
    <row r="5323" spans="1:8" x14ac:dyDescent="0.25">
      <c r="A5323" t="s">
        <v>5329</v>
      </c>
      <c r="B5323">
        <v>68788</v>
      </c>
      <c r="C5323">
        <v>7896029009055</v>
      </c>
      <c r="D5323">
        <v>109.9</v>
      </c>
      <c r="E5323">
        <v>90.71</v>
      </c>
      <c r="F5323" s="3">
        <v>0.1585</v>
      </c>
      <c r="G5323">
        <v>82.319199999999995</v>
      </c>
      <c r="H5323">
        <v>0.1</v>
      </c>
    </row>
    <row r="5324" spans="1:8" x14ac:dyDescent="0.25">
      <c r="A5324" t="s">
        <v>5330</v>
      </c>
      <c r="B5324">
        <v>68789</v>
      </c>
      <c r="C5324">
        <v>7896029008829</v>
      </c>
      <c r="D5324">
        <v>109.9</v>
      </c>
      <c r="E5324">
        <v>90.71</v>
      </c>
      <c r="F5324" s="3">
        <v>0.1585</v>
      </c>
      <c r="G5324">
        <v>82.319199999999995</v>
      </c>
      <c r="H5324">
        <v>0.1</v>
      </c>
    </row>
    <row r="5325" spans="1:8" x14ac:dyDescent="0.25">
      <c r="A5325" t="s">
        <v>5331</v>
      </c>
      <c r="B5325">
        <v>64224</v>
      </c>
      <c r="C5325">
        <v>7896029083512</v>
      </c>
      <c r="D5325">
        <v>59.99</v>
      </c>
      <c r="E5325">
        <v>38.78</v>
      </c>
      <c r="F5325" s="3">
        <v>0.3382</v>
      </c>
      <c r="G5325">
        <v>34.152200000000001</v>
      </c>
      <c r="H5325">
        <v>0.33300000000000002</v>
      </c>
    </row>
    <row r="5326" spans="1:8" x14ac:dyDescent="0.25">
      <c r="A5326" t="s">
        <v>5332</v>
      </c>
      <c r="B5326">
        <v>64246</v>
      </c>
      <c r="C5326">
        <v>7896029083505</v>
      </c>
      <c r="D5326">
        <v>25.9</v>
      </c>
      <c r="E5326">
        <v>15.33</v>
      </c>
      <c r="F5326" s="3">
        <v>0.39329999999999998</v>
      </c>
      <c r="G5326">
        <v>13.3179</v>
      </c>
      <c r="H5326">
        <v>0.56699999999999995</v>
      </c>
    </row>
    <row r="5327" spans="1:8" x14ac:dyDescent="0.25">
      <c r="A5327" t="s">
        <v>5333</v>
      </c>
      <c r="B5327">
        <v>64245</v>
      </c>
      <c r="C5327">
        <v>7896029082416</v>
      </c>
      <c r="D5327">
        <v>25.9</v>
      </c>
      <c r="E5327">
        <v>15.79</v>
      </c>
      <c r="F5327" s="3">
        <v>0.3664</v>
      </c>
      <c r="G5327">
        <v>14.0152</v>
      </c>
      <c r="H5327">
        <v>0.9</v>
      </c>
    </row>
    <row r="5328" spans="1:8" x14ac:dyDescent="0.25">
      <c r="A5328" t="s">
        <v>5334</v>
      </c>
      <c r="B5328">
        <v>64243</v>
      </c>
      <c r="C5328">
        <v>7896029081112</v>
      </c>
      <c r="D5328">
        <v>21.9</v>
      </c>
      <c r="E5328">
        <v>11.31</v>
      </c>
      <c r="F5328" s="3">
        <v>0.42090000000000005</v>
      </c>
      <c r="G5328">
        <v>10.6555</v>
      </c>
      <c r="H5328">
        <v>1.833</v>
      </c>
    </row>
    <row r="5329" spans="1:8" x14ac:dyDescent="0.25">
      <c r="A5329" t="s">
        <v>5335</v>
      </c>
      <c r="B5329">
        <v>64250</v>
      </c>
      <c r="C5329">
        <v>7896029082447</v>
      </c>
      <c r="D5329">
        <v>25.9</v>
      </c>
      <c r="E5329">
        <v>14.08</v>
      </c>
      <c r="F5329" s="3">
        <v>0.41450000000000004</v>
      </c>
      <c r="G5329">
        <v>12.7681</v>
      </c>
      <c r="H5329">
        <v>2.133</v>
      </c>
    </row>
    <row r="5330" spans="1:8" x14ac:dyDescent="0.25">
      <c r="A5330" t="s">
        <v>5336</v>
      </c>
      <c r="B5330">
        <v>64241</v>
      </c>
      <c r="C5330">
        <v>7896029091944</v>
      </c>
      <c r="D5330">
        <v>60.9</v>
      </c>
      <c r="E5330">
        <v>35.06</v>
      </c>
      <c r="F5330" s="3">
        <v>0.38500000000000001</v>
      </c>
      <c r="G5330">
        <v>31.817499999999999</v>
      </c>
      <c r="H5330">
        <v>0.3</v>
      </c>
    </row>
    <row r="5331" spans="1:8" x14ac:dyDescent="0.25">
      <c r="A5331" t="s">
        <v>5337</v>
      </c>
      <c r="B5331">
        <v>64242</v>
      </c>
      <c r="C5331">
        <v>7896029092392</v>
      </c>
      <c r="D5331">
        <v>60.9</v>
      </c>
      <c r="E5331">
        <v>35.07</v>
      </c>
      <c r="F5331" s="3">
        <v>0.38500000000000001</v>
      </c>
      <c r="G5331">
        <v>31.818300000000001</v>
      </c>
      <c r="H5331">
        <v>0.33300000000000002</v>
      </c>
    </row>
    <row r="5332" spans="1:8" x14ac:dyDescent="0.25">
      <c r="A5332" t="s">
        <v>5338</v>
      </c>
      <c r="B5332">
        <v>64231</v>
      </c>
      <c r="C5332">
        <v>7896029091906</v>
      </c>
      <c r="D5332">
        <v>29.9</v>
      </c>
      <c r="E5332">
        <v>15.09</v>
      </c>
      <c r="F5332" s="3">
        <v>0.44909999999999994</v>
      </c>
      <c r="G5332">
        <v>13.7051</v>
      </c>
      <c r="H5332">
        <v>1.9670000000000001</v>
      </c>
    </row>
    <row r="5333" spans="1:8" x14ac:dyDescent="0.25">
      <c r="A5333" t="s">
        <v>5339</v>
      </c>
      <c r="B5333">
        <v>64232</v>
      </c>
      <c r="C5333">
        <v>7896029092347</v>
      </c>
      <c r="D5333">
        <v>29.9</v>
      </c>
      <c r="E5333">
        <v>15.84</v>
      </c>
      <c r="F5333" s="3">
        <v>0.43790000000000001</v>
      </c>
      <c r="G5333">
        <v>14.0406</v>
      </c>
      <c r="H5333">
        <v>1.2669999999999999</v>
      </c>
    </row>
    <row r="5334" spans="1:8" x14ac:dyDescent="0.25">
      <c r="A5334" t="s">
        <v>5340</v>
      </c>
      <c r="B5334">
        <v>64702</v>
      </c>
      <c r="C5334">
        <v>7891000364079</v>
      </c>
      <c r="D5334">
        <v>29.9</v>
      </c>
      <c r="E5334">
        <v>19.77</v>
      </c>
      <c r="F5334" s="3">
        <v>0.30740000000000001</v>
      </c>
      <c r="G5334">
        <v>17.941600000000001</v>
      </c>
      <c r="H5334">
        <v>0.433</v>
      </c>
    </row>
    <row r="5335" spans="1:8" x14ac:dyDescent="0.25">
      <c r="A5335" t="s">
        <v>5341</v>
      </c>
      <c r="B5335">
        <v>64244</v>
      </c>
      <c r="C5335">
        <v>7896029092446</v>
      </c>
      <c r="D5335">
        <v>60.9</v>
      </c>
      <c r="E5335">
        <v>35.79</v>
      </c>
      <c r="F5335" s="3">
        <v>0.38020000000000004</v>
      </c>
      <c r="G5335">
        <v>32.109900000000003</v>
      </c>
      <c r="H5335">
        <v>0</v>
      </c>
    </row>
    <row r="5336" spans="1:8" x14ac:dyDescent="0.25">
      <c r="A5336" t="s">
        <v>5342</v>
      </c>
      <c r="B5336">
        <v>64239</v>
      </c>
      <c r="C5336">
        <v>7896029092439</v>
      </c>
      <c r="D5336">
        <v>29.9</v>
      </c>
      <c r="E5336">
        <v>15.02</v>
      </c>
      <c r="F5336" s="3">
        <v>0.45429999999999998</v>
      </c>
      <c r="G5336">
        <v>13.550599999999999</v>
      </c>
      <c r="H5336">
        <v>1.0669999999999999</v>
      </c>
    </row>
    <row r="5337" spans="1:8" x14ac:dyDescent="0.25">
      <c r="A5337" t="s">
        <v>5343</v>
      </c>
      <c r="B5337">
        <v>64240</v>
      </c>
      <c r="C5337">
        <v>7896029092460</v>
      </c>
      <c r="D5337">
        <v>29.9</v>
      </c>
      <c r="E5337">
        <v>15.92</v>
      </c>
      <c r="F5337" s="3">
        <v>0.42009999999999997</v>
      </c>
      <c r="G5337">
        <v>14.571999999999999</v>
      </c>
      <c r="H5337">
        <v>0.26700000000000002</v>
      </c>
    </row>
    <row r="5338" spans="1:8" x14ac:dyDescent="0.25">
      <c r="A5338" t="s">
        <v>5344</v>
      </c>
      <c r="B5338">
        <v>64236</v>
      </c>
      <c r="C5338">
        <v>7896029082362</v>
      </c>
      <c r="D5338">
        <v>16.899999999999999</v>
      </c>
      <c r="E5338">
        <v>13.32</v>
      </c>
      <c r="F5338" s="3">
        <v>0.19140000000000001</v>
      </c>
      <c r="G5338">
        <v>12.101900000000001</v>
      </c>
      <c r="H5338">
        <v>0.1</v>
      </c>
    </row>
    <row r="5339" spans="1:8" x14ac:dyDescent="0.25">
      <c r="A5339" t="s">
        <v>5345</v>
      </c>
      <c r="B5339">
        <v>37233</v>
      </c>
      <c r="C5339">
        <v>7891000077276</v>
      </c>
      <c r="D5339">
        <v>29.9</v>
      </c>
      <c r="E5339">
        <v>19.78</v>
      </c>
      <c r="F5339" s="3">
        <v>0.30730000000000002</v>
      </c>
      <c r="G5339">
        <v>17.946999999999999</v>
      </c>
      <c r="H5339">
        <v>0.13300000000000001</v>
      </c>
    </row>
    <row r="5340" spans="1:8" x14ac:dyDescent="0.25">
      <c r="A5340" t="s">
        <v>5346</v>
      </c>
      <c r="B5340">
        <v>61502</v>
      </c>
      <c r="C5340">
        <v>7891000350881</v>
      </c>
      <c r="D5340">
        <v>27.9</v>
      </c>
      <c r="E5340">
        <v>18.04</v>
      </c>
      <c r="F5340" s="3">
        <v>0.32049999999999995</v>
      </c>
      <c r="G5340">
        <v>16.377800000000001</v>
      </c>
      <c r="H5340">
        <v>0.26700000000000002</v>
      </c>
    </row>
    <row r="5341" spans="1:8" x14ac:dyDescent="0.25">
      <c r="A5341" t="s">
        <v>5347</v>
      </c>
      <c r="B5341">
        <v>62707</v>
      </c>
      <c r="C5341">
        <v>7891000116616</v>
      </c>
      <c r="D5341">
        <v>27.9</v>
      </c>
      <c r="E5341">
        <v>18.04</v>
      </c>
      <c r="F5341" s="3">
        <v>0.32079999999999997</v>
      </c>
      <c r="G5341">
        <v>16.369</v>
      </c>
      <c r="H5341">
        <v>0.33300000000000002</v>
      </c>
    </row>
    <row r="5342" spans="1:8" x14ac:dyDescent="0.25">
      <c r="A5342" t="s">
        <v>5348</v>
      </c>
      <c r="B5342">
        <v>64238</v>
      </c>
      <c r="C5342">
        <v>7896029092415</v>
      </c>
      <c r="D5342">
        <v>29.9</v>
      </c>
      <c r="E5342">
        <v>17.02</v>
      </c>
      <c r="F5342" s="3">
        <v>0.39280000000000004</v>
      </c>
      <c r="G5342">
        <v>15.3896</v>
      </c>
      <c r="H5342">
        <v>0.56699999999999995</v>
      </c>
    </row>
    <row r="5343" spans="1:8" x14ac:dyDescent="0.25">
      <c r="A5343" t="s">
        <v>5349</v>
      </c>
      <c r="B5343">
        <v>64248</v>
      </c>
      <c r="C5343">
        <v>7896029083482</v>
      </c>
      <c r="D5343">
        <v>25.99</v>
      </c>
      <c r="E5343">
        <v>17.100000000000001</v>
      </c>
      <c r="F5343" s="3">
        <v>0.31769999999999998</v>
      </c>
      <c r="G5343">
        <v>15.328099999999999</v>
      </c>
      <c r="H5343">
        <v>0.46700000000000003</v>
      </c>
    </row>
    <row r="5344" spans="1:8" x14ac:dyDescent="0.25">
      <c r="A5344" t="s">
        <v>5350</v>
      </c>
      <c r="B5344">
        <v>64193</v>
      </c>
      <c r="C5344">
        <v>7896029046616</v>
      </c>
      <c r="D5344">
        <v>3.49</v>
      </c>
      <c r="E5344">
        <v>2.21</v>
      </c>
      <c r="F5344" s="3">
        <v>0.33299999999999996</v>
      </c>
      <c r="G5344">
        <v>2.0049999999999999</v>
      </c>
      <c r="H5344">
        <v>6.5670000000000002</v>
      </c>
    </row>
    <row r="5345" spans="1:8" x14ac:dyDescent="0.25">
      <c r="A5345" t="s">
        <v>5351</v>
      </c>
      <c r="B5345">
        <v>64192</v>
      </c>
      <c r="C5345">
        <v>7896029046593</v>
      </c>
      <c r="D5345">
        <v>3.49</v>
      </c>
      <c r="E5345">
        <v>2.21</v>
      </c>
      <c r="F5345" s="3">
        <v>0.33299999999999996</v>
      </c>
      <c r="G5345">
        <v>2.0049999999999999</v>
      </c>
      <c r="H5345">
        <v>4.4329999999999998</v>
      </c>
    </row>
    <row r="5346" spans="1:8" x14ac:dyDescent="0.25">
      <c r="A5346" t="s">
        <v>5352</v>
      </c>
      <c r="B5346">
        <v>64247</v>
      </c>
      <c r="C5346">
        <v>7896029071410</v>
      </c>
      <c r="D5346">
        <v>24.9</v>
      </c>
      <c r="E5346">
        <v>17.68</v>
      </c>
      <c r="F5346" s="3">
        <v>0.26329999999999998</v>
      </c>
      <c r="G5346">
        <v>16.040099999999999</v>
      </c>
      <c r="H5346">
        <v>0.1</v>
      </c>
    </row>
    <row r="5347" spans="1:8" x14ac:dyDescent="0.25">
      <c r="A5347" t="s">
        <v>5353</v>
      </c>
      <c r="B5347">
        <v>51943</v>
      </c>
      <c r="C5347">
        <v>7891000244135</v>
      </c>
      <c r="D5347">
        <v>3.9</v>
      </c>
      <c r="E5347">
        <v>2.08</v>
      </c>
      <c r="F5347" s="3">
        <v>0.4224</v>
      </c>
      <c r="G5347">
        <v>1.8916999999999999</v>
      </c>
      <c r="H5347">
        <v>12.1</v>
      </c>
    </row>
    <row r="5348" spans="1:8" x14ac:dyDescent="0.25">
      <c r="A5348" t="s">
        <v>5354</v>
      </c>
      <c r="B5348">
        <v>51945</v>
      </c>
      <c r="C5348">
        <v>7891000244111</v>
      </c>
      <c r="D5348">
        <v>3.9</v>
      </c>
      <c r="E5348">
        <v>2.04</v>
      </c>
      <c r="F5348" s="3">
        <v>0.43049999999999999</v>
      </c>
      <c r="G5348">
        <v>1.8603000000000001</v>
      </c>
      <c r="H5348">
        <v>7.367</v>
      </c>
    </row>
    <row r="5349" spans="1:8" x14ac:dyDescent="0.25">
      <c r="A5349" t="s">
        <v>5355</v>
      </c>
      <c r="B5349">
        <v>51942</v>
      </c>
      <c r="C5349">
        <v>7891000244722</v>
      </c>
      <c r="D5349">
        <v>3.9</v>
      </c>
      <c r="E5349">
        <v>1.99</v>
      </c>
      <c r="F5349" s="3">
        <v>0.43790000000000001</v>
      </c>
      <c r="G5349">
        <v>1.8313999999999999</v>
      </c>
      <c r="H5349">
        <v>8.0329999999999995</v>
      </c>
    </row>
    <row r="5350" spans="1:8" x14ac:dyDescent="0.25">
      <c r="A5350" t="s">
        <v>5356</v>
      </c>
      <c r="B5350">
        <v>64169</v>
      </c>
      <c r="C5350">
        <v>7896029022245</v>
      </c>
      <c r="D5350">
        <v>3.49</v>
      </c>
      <c r="E5350">
        <v>2.21</v>
      </c>
      <c r="F5350" s="3">
        <v>0.33289999999999997</v>
      </c>
      <c r="G5350">
        <v>2.0053000000000001</v>
      </c>
      <c r="H5350">
        <v>10.7</v>
      </c>
    </row>
    <row r="5351" spans="1:8" x14ac:dyDescent="0.25">
      <c r="A5351" t="s">
        <v>5357</v>
      </c>
      <c r="B5351">
        <v>64171</v>
      </c>
      <c r="C5351">
        <v>7896029022276</v>
      </c>
      <c r="D5351">
        <v>3.49</v>
      </c>
      <c r="E5351">
        <v>2.21</v>
      </c>
      <c r="F5351" s="3">
        <v>0.33299999999999996</v>
      </c>
      <c r="G5351">
        <v>2.0051000000000001</v>
      </c>
      <c r="H5351">
        <v>10.067</v>
      </c>
    </row>
    <row r="5352" spans="1:8" x14ac:dyDescent="0.25">
      <c r="A5352" t="s">
        <v>5358</v>
      </c>
      <c r="B5352">
        <v>64170</v>
      </c>
      <c r="C5352">
        <v>7896029022269</v>
      </c>
      <c r="D5352">
        <v>3.49</v>
      </c>
      <c r="E5352">
        <v>2.21</v>
      </c>
      <c r="F5352" s="3">
        <v>0.33289999999999997</v>
      </c>
      <c r="G5352">
        <v>2.0053000000000001</v>
      </c>
      <c r="H5352">
        <v>11.867000000000001</v>
      </c>
    </row>
    <row r="5353" spans="1:8" x14ac:dyDescent="0.25">
      <c r="A5353" t="s">
        <v>5359</v>
      </c>
      <c r="B5353">
        <v>64160</v>
      </c>
      <c r="C5353">
        <v>7896029014981</v>
      </c>
      <c r="D5353">
        <v>3.49</v>
      </c>
      <c r="E5353">
        <v>2.21</v>
      </c>
      <c r="F5353" s="3">
        <v>0.33289999999999997</v>
      </c>
      <c r="G5353">
        <v>2.0051999999999999</v>
      </c>
      <c r="H5353">
        <v>6.3330000000000002</v>
      </c>
    </row>
    <row r="5354" spans="1:8" x14ac:dyDescent="0.25">
      <c r="A5354" t="s">
        <v>5360</v>
      </c>
      <c r="B5354">
        <v>68792</v>
      </c>
      <c r="C5354">
        <v>7896029046623</v>
      </c>
      <c r="D5354">
        <v>3.49</v>
      </c>
      <c r="E5354">
        <v>2.21</v>
      </c>
      <c r="F5354" s="3">
        <v>0.33299999999999996</v>
      </c>
      <c r="G5354">
        <v>2.0049999999999999</v>
      </c>
      <c r="H5354">
        <v>8.3670000000000009</v>
      </c>
    </row>
    <row r="5355" spans="1:8" x14ac:dyDescent="0.25">
      <c r="A5355" t="s">
        <v>5361</v>
      </c>
      <c r="B5355">
        <v>68793</v>
      </c>
      <c r="C5355">
        <v>7896029046555</v>
      </c>
      <c r="D5355">
        <v>3.49</v>
      </c>
      <c r="E5355">
        <v>2.21</v>
      </c>
      <c r="F5355" s="3">
        <v>0.33310000000000001</v>
      </c>
      <c r="G5355">
        <v>2.0045999999999999</v>
      </c>
      <c r="H5355">
        <v>7.6669999999999998</v>
      </c>
    </row>
    <row r="5356" spans="1:8" x14ac:dyDescent="0.25">
      <c r="A5356" t="s">
        <v>5362</v>
      </c>
      <c r="B5356">
        <v>64197</v>
      </c>
      <c r="C5356">
        <v>7896029017586</v>
      </c>
      <c r="D5356">
        <v>3.99</v>
      </c>
      <c r="E5356">
        <v>2.48</v>
      </c>
      <c r="F5356" s="3">
        <v>0.34369999999999995</v>
      </c>
      <c r="G5356">
        <v>2.2494000000000001</v>
      </c>
      <c r="H5356">
        <v>2.5670000000000002</v>
      </c>
    </row>
    <row r="5357" spans="1:8" x14ac:dyDescent="0.25">
      <c r="A5357" t="s">
        <v>5363</v>
      </c>
      <c r="B5357">
        <v>64200</v>
      </c>
      <c r="C5357">
        <v>7896029017623</v>
      </c>
      <c r="D5357">
        <v>3.99</v>
      </c>
      <c r="E5357">
        <v>2.48</v>
      </c>
      <c r="F5357" s="3">
        <v>0.34369999999999995</v>
      </c>
      <c r="G5357">
        <v>2.2494000000000001</v>
      </c>
      <c r="H5357">
        <v>2.2000000000000002</v>
      </c>
    </row>
    <row r="5358" spans="1:8" x14ac:dyDescent="0.25">
      <c r="A5358" t="s">
        <v>5364</v>
      </c>
      <c r="B5358">
        <v>64198</v>
      </c>
      <c r="C5358">
        <v>7896029017593</v>
      </c>
      <c r="D5358">
        <v>3.99</v>
      </c>
      <c r="E5358">
        <v>2.48</v>
      </c>
      <c r="F5358" s="3">
        <v>0.34399999999999997</v>
      </c>
      <c r="G5358">
        <v>2.2482000000000002</v>
      </c>
      <c r="H5358">
        <v>3.4329999999999998</v>
      </c>
    </row>
    <row r="5359" spans="1:8" x14ac:dyDescent="0.25">
      <c r="A5359" t="s">
        <v>5365</v>
      </c>
      <c r="B5359">
        <v>64199</v>
      </c>
      <c r="C5359">
        <v>7896029017609</v>
      </c>
      <c r="D5359">
        <v>3.99</v>
      </c>
      <c r="E5359">
        <v>2.4900000000000002</v>
      </c>
      <c r="F5359" s="3">
        <v>0.34240000000000004</v>
      </c>
      <c r="G5359">
        <v>2.2547999999999999</v>
      </c>
      <c r="H5359">
        <v>0.86699999999999999</v>
      </c>
    </row>
    <row r="5360" spans="1:8" x14ac:dyDescent="0.25">
      <c r="A5360" t="s">
        <v>5366</v>
      </c>
      <c r="B5360">
        <v>64217</v>
      </c>
      <c r="C5360">
        <v>7896029056394</v>
      </c>
      <c r="D5360">
        <v>1.99</v>
      </c>
      <c r="E5360">
        <v>1.81</v>
      </c>
      <c r="F5360" s="3">
        <v>8.3199999999999996E-2</v>
      </c>
      <c r="G5360">
        <v>1.6403000000000001</v>
      </c>
      <c r="H5360">
        <v>13.3</v>
      </c>
    </row>
    <row r="5361" spans="1:8" x14ac:dyDescent="0.25">
      <c r="A5361" t="s">
        <v>5367</v>
      </c>
      <c r="B5361">
        <v>64218</v>
      </c>
      <c r="C5361">
        <v>7896029056400</v>
      </c>
      <c r="D5361">
        <v>1.99</v>
      </c>
      <c r="E5361">
        <v>1.8</v>
      </c>
      <c r="F5361" s="3">
        <v>8.3499999999999991E-2</v>
      </c>
      <c r="G5361">
        <v>1.6396999999999999</v>
      </c>
      <c r="H5361">
        <v>8.7330000000000005</v>
      </c>
    </row>
    <row r="5362" spans="1:8" x14ac:dyDescent="0.25">
      <c r="A5362" t="s">
        <v>5368</v>
      </c>
      <c r="B5362">
        <v>41132</v>
      </c>
      <c r="C5362">
        <v>7891000115633</v>
      </c>
      <c r="D5362">
        <v>3.9</v>
      </c>
      <c r="E5362">
        <v>2.13</v>
      </c>
      <c r="F5362" s="3">
        <v>0.41299999999999998</v>
      </c>
      <c r="G5362">
        <v>1.9283999999999999</v>
      </c>
      <c r="H5362">
        <v>13.667</v>
      </c>
    </row>
    <row r="5363" spans="1:8" x14ac:dyDescent="0.25">
      <c r="A5363" t="s">
        <v>5369</v>
      </c>
      <c r="B5363">
        <v>41130</v>
      </c>
      <c r="C5363">
        <v>7891000115671</v>
      </c>
      <c r="D5363">
        <v>3.9</v>
      </c>
      <c r="E5363">
        <v>1.99</v>
      </c>
      <c r="F5363" s="3">
        <v>0.4451</v>
      </c>
      <c r="G5363">
        <v>1.8036000000000001</v>
      </c>
      <c r="H5363">
        <v>0.36699999999999999</v>
      </c>
    </row>
    <row r="5364" spans="1:8" x14ac:dyDescent="0.25">
      <c r="A5364" t="s">
        <v>5370</v>
      </c>
      <c r="B5364">
        <v>41128</v>
      </c>
      <c r="C5364">
        <v>7891000115657</v>
      </c>
      <c r="D5364">
        <v>3.9</v>
      </c>
      <c r="E5364">
        <v>2.09</v>
      </c>
      <c r="F5364" s="3">
        <v>0.42149999999999999</v>
      </c>
      <c r="G5364">
        <v>1.8952</v>
      </c>
      <c r="H5364">
        <v>9.0329999999999995</v>
      </c>
    </row>
    <row r="5365" spans="1:8" x14ac:dyDescent="0.25">
      <c r="A5365" t="s">
        <v>5371</v>
      </c>
      <c r="B5365">
        <v>11454</v>
      </c>
      <c r="C5365">
        <v>7891000118115</v>
      </c>
      <c r="D5365">
        <v>3.9</v>
      </c>
      <c r="E5365">
        <v>2.0099999999999998</v>
      </c>
      <c r="F5365" s="3">
        <v>0.43189999999999995</v>
      </c>
      <c r="G5365">
        <v>1.8547</v>
      </c>
      <c r="H5365">
        <v>14.867000000000001</v>
      </c>
    </row>
    <row r="5366" spans="1:8" x14ac:dyDescent="0.25">
      <c r="A5366" t="s">
        <v>5372</v>
      </c>
      <c r="B5366">
        <v>41122</v>
      </c>
      <c r="C5366">
        <v>7891000115763</v>
      </c>
      <c r="D5366">
        <v>3.9</v>
      </c>
      <c r="E5366">
        <v>2.1</v>
      </c>
      <c r="F5366" s="3">
        <v>0.4178</v>
      </c>
      <c r="G5366">
        <v>1.91</v>
      </c>
      <c r="H5366">
        <v>15.032999999999999</v>
      </c>
    </row>
    <row r="5367" spans="1:8" x14ac:dyDescent="0.25">
      <c r="A5367" t="s">
        <v>5373</v>
      </c>
      <c r="B5367">
        <v>51949</v>
      </c>
      <c r="C5367">
        <v>7891000115787</v>
      </c>
      <c r="D5367">
        <v>3.9</v>
      </c>
      <c r="E5367">
        <v>2.0699999999999998</v>
      </c>
      <c r="F5367" s="3">
        <v>0.42320000000000002</v>
      </c>
      <c r="G5367">
        <v>1.8887</v>
      </c>
      <c r="H5367">
        <v>14.367000000000001</v>
      </c>
    </row>
    <row r="5368" spans="1:8" x14ac:dyDescent="0.25">
      <c r="A5368" t="s">
        <v>5374</v>
      </c>
      <c r="B5368">
        <v>11449</v>
      </c>
      <c r="C5368">
        <v>7891000118054</v>
      </c>
      <c r="D5368">
        <v>3.9</v>
      </c>
      <c r="E5368">
        <v>2.0699999999999998</v>
      </c>
      <c r="F5368" s="3">
        <v>0.42369999999999997</v>
      </c>
      <c r="G5368">
        <v>1.8869</v>
      </c>
      <c r="H5368">
        <v>17.433</v>
      </c>
    </row>
    <row r="5369" spans="1:8" x14ac:dyDescent="0.25">
      <c r="A5369" t="s">
        <v>5375</v>
      </c>
      <c r="B5369">
        <v>11456</v>
      </c>
      <c r="C5369">
        <v>7891000118085</v>
      </c>
      <c r="D5369">
        <v>3.9</v>
      </c>
      <c r="E5369">
        <v>2.0499999999999998</v>
      </c>
      <c r="F5369" s="3">
        <v>0.42359999999999998</v>
      </c>
      <c r="G5369">
        <v>1.8873</v>
      </c>
      <c r="H5369">
        <v>15.333</v>
      </c>
    </row>
    <row r="5370" spans="1:8" x14ac:dyDescent="0.25">
      <c r="A5370" t="s">
        <v>5376</v>
      </c>
      <c r="B5370">
        <v>11451</v>
      </c>
      <c r="C5370">
        <v>7891000118061</v>
      </c>
      <c r="D5370">
        <v>3.9</v>
      </c>
      <c r="E5370">
        <v>1.99</v>
      </c>
      <c r="F5370" s="3">
        <v>0.44159999999999999</v>
      </c>
      <c r="G5370">
        <v>1.8169</v>
      </c>
      <c r="H5370">
        <v>10.233000000000001</v>
      </c>
    </row>
    <row r="5371" spans="1:8" x14ac:dyDescent="0.25">
      <c r="A5371" t="s">
        <v>5377</v>
      </c>
      <c r="B5371">
        <v>11458</v>
      </c>
      <c r="C5371">
        <v>7891000118108</v>
      </c>
      <c r="D5371">
        <v>3.9</v>
      </c>
      <c r="E5371">
        <v>2.0499999999999998</v>
      </c>
      <c r="F5371" s="3">
        <v>0.42869999999999997</v>
      </c>
      <c r="G5371">
        <v>1.8672</v>
      </c>
      <c r="H5371">
        <v>13.833</v>
      </c>
    </row>
    <row r="5372" spans="1:8" x14ac:dyDescent="0.25">
      <c r="A5372" t="s">
        <v>5378</v>
      </c>
      <c r="B5372">
        <v>64213</v>
      </c>
      <c r="C5372">
        <v>7896029018057</v>
      </c>
      <c r="D5372">
        <v>2.4900000000000002</v>
      </c>
      <c r="E5372">
        <v>1.81</v>
      </c>
      <c r="F5372" s="3">
        <v>0.2487</v>
      </c>
      <c r="G5372">
        <v>1.6404000000000001</v>
      </c>
      <c r="H5372">
        <v>3.7669999999999999</v>
      </c>
    </row>
    <row r="5373" spans="1:8" x14ac:dyDescent="0.25">
      <c r="A5373" t="s">
        <v>5379</v>
      </c>
      <c r="B5373">
        <v>68791</v>
      </c>
      <c r="C5373">
        <v>7896029046494</v>
      </c>
      <c r="D5373">
        <v>2.4900000000000002</v>
      </c>
      <c r="E5373">
        <v>1.81</v>
      </c>
      <c r="F5373" s="3">
        <v>0.2487</v>
      </c>
      <c r="G5373">
        <v>1.6404000000000001</v>
      </c>
      <c r="H5373">
        <v>1.1000000000000001</v>
      </c>
    </row>
    <row r="5374" spans="1:8" x14ac:dyDescent="0.25">
      <c r="A5374" t="s">
        <v>5380</v>
      </c>
      <c r="B5374">
        <v>64214</v>
      </c>
      <c r="C5374">
        <v>7896029018064</v>
      </c>
      <c r="D5374">
        <v>2.4900000000000002</v>
      </c>
      <c r="E5374">
        <v>1.81</v>
      </c>
      <c r="F5374" s="3">
        <v>0.24879999999999999</v>
      </c>
      <c r="G5374">
        <v>1.6402000000000001</v>
      </c>
      <c r="H5374">
        <v>2.633</v>
      </c>
    </row>
    <row r="5375" spans="1:8" x14ac:dyDescent="0.25">
      <c r="A5375" t="s">
        <v>5381</v>
      </c>
      <c r="B5375">
        <v>64215</v>
      </c>
      <c r="C5375">
        <v>7896029018101</v>
      </c>
      <c r="D5375">
        <v>2.4900000000000002</v>
      </c>
      <c r="E5375">
        <v>1.81</v>
      </c>
      <c r="F5375" s="3">
        <v>0.24879999999999999</v>
      </c>
      <c r="G5375">
        <v>1.6402000000000001</v>
      </c>
      <c r="H5375">
        <v>5.367</v>
      </c>
    </row>
    <row r="5376" spans="1:8" x14ac:dyDescent="0.25">
      <c r="A5376" t="s">
        <v>5382</v>
      </c>
      <c r="B5376">
        <v>64163</v>
      </c>
      <c r="C5376">
        <v>7896029018958</v>
      </c>
      <c r="D5376">
        <v>3.49</v>
      </c>
      <c r="E5376">
        <v>2.21</v>
      </c>
      <c r="F5376" s="3">
        <v>0.33289999999999997</v>
      </c>
      <c r="G5376">
        <v>2.0051999999999999</v>
      </c>
      <c r="H5376">
        <v>15.167</v>
      </c>
    </row>
    <row r="5377" spans="1:8" x14ac:dyDescent="0.25">
      <c r="A5377" t="s">
        <v>5383</v>
      </c>
      <c r="B5377">
        <v>64165</v>
      </c>
      <c r="C5377">
        <v>7896029019009</v>
      </c>
      <c r="D5377">
        <v>3.49</v>
      </c>
      <c r="E5377">
        <v>2.21</v>
      </c>
      <c r="F5377" s="3">
        <v>0.33299999999999996</v>
      </c>
      <c r="G5377">
        <v>2.0051000000000001</v>
      </c>
      <c r="H5377">
        <v>9.1669999999999998</v>
      </c>
    </row>
    <row r="5378" spans="1:8" x14ac:dyDescent="0.25">
      <c r="A5378" t="s">
        <v>5384</v>
      </c>
      <c r="B5378">
        <v>64172</v>
      </c>
      <c r="C5378">
        <v>7896029082027</v>
      </c>
      <c r="D5378">
        <v>3.49</v>
      </c>
      <c r="E5378">
        <v>2.21</v>
      </c>
      <c r="F5378" s="3">
        <v>0.33299999999999996</v>
      </c>
      <c r="G5378">
        <v>2.0051000000000001</v>
      </c>
      <c r="H5378">
        <v>6.8</v>
      </c>
    </row>
    <row r="5379" spans="1:8" x14ac:dyDescent="0.25">
      <c r="A5379" t="s">
        <v>5385</v>
      </c>
      <c r="B5379">
        <v>64173</v>
      </c>
      <c r="C5379">
        <v>7896029082034</v>
      </c>
      <c r="D5379">
        <v>3.49</v>
      </c>
      <c r="E5379">
        <v>2.21</v>
      </c>
      <c r="F5379" s="3">
        <v>0.33299999999999996</v>
      </c>
      <c r="G5379">
        <v>2.0049999999999999</v>
      </c>
      <c r="H5379">
        <v>5.6669999999999998</v>
      </c>
    </row>
    <row r="5380" spans="1:8" x14ac:dyDescent="0.25">
      <c r="A5380" t="s">
        <v>5386</v>
      </c>
      <c r="B5380">
        <v>64202</v>
      </c>
      <c r="C5380">
        <v>7896029017616</v>
      </c>
      <c r="D5380">
        <v>3.99</v>
      </c>
      <c r="E5380">
        <v>2.4</v>
      </c>
      <c r="F5380" s="3">
        <v>0.3649</v>
      </c>
      <c r="G5380">
        <v>2.1648000000000001</v>
      </c>
      <c r="H5380">
        <v>1.0329999999999999</v>
      </c>
    </row>
    <row r="5381" spans="1:8" x14ac:dyDescent="0.25">
      <c r="A5381" t="s">
        <v>5387</v>
      </c>
      <c r="B5381">
        <v>64204</v>
      </c>
      <c r="C5381">
        <v>7896029017647</v>
      </c>
      <c r="D5381">
        <v>3.99</v>
      </c>
      <c r="E5381">
        <v>2.56</v>
      </c>
      <c r="F5381" s="3">
        <v>0.31340000000000001</v>
      </c>
      <c r="G5381">
        <v>2.3702999999999999</v>
      </c>
      <c r="H5381">
        <v>5.5670000000000002</v>
      </c>
    </row>
    <row r="5382" spans="1:8" x14ac:dyDescent="0.25">
      <c r="A5382" t="s">
        <v>5388</v>
      </c>
      <c r="B5382">
        <v>64203</v>
      </c>
      <c r="C5382">
        <v>7896029017630</v>
      </c>
      <c r="D5382">
        <v>3.99</v>
      </c>
      <c r="E5382">
        <v>2.48</v>
      </c>
      <c r="F5382" s="3">
        <v>0.34399999999999997</v>
      </c>
      <c r="G5382">
        <v>2.2483</v>
      </c>
      <c r="H5382">
        <v>0.93300000000000005</v>
      </c>
    </row>
    <row r="5383" spans="1:8" x14ac:dyDescent="0.25">
      <c r="A5383" t="s">
        <v>5389</v>
      </c>
      <c r="B5383">
        <v>64205</v>
      </c>
      <c r="C5383">
        <v>7896029017654</v>
      </c>
      <c r="D5383">
        <v>3.99</v>
      </c>
      <c r="E5383">
        <v>2.48</v>
      </c>
      <c r="F5383" s="3">
        <v>0.34389999999999998</v>
      </c>
      <c r="G5383">
        <v>2.2486000000000002</v>
      </c>
      <c r="H5383">
        <v>0.7</v>
      </c>
    </row>
    <row r="5384" spans="1:8" x14ac:dyDescent="0.25">
      <c r="A5384" t="s">
        <v>5390</v>
      </c>
      <c r="B5384">
        <v>64180</v>
      </c>
      <c r="C5384">
        <v>7896029046562</v>
      </c>
      <c r="D5384">
        <v>3.49</v>
      </c>
      <c r="E5384">
        <v>2.21</v>
      </c>
      <c r="F5384" s="3">
        <v>0.33250000000000002</v>
      </c>
      <c r="G5384">
        <v>2.0068000000000001</v>
      </c>
      <c r="H5384">
        <v>11.5</v>
      </c>
    </row>
    <row r="5385" spans="1:8" x14ac:dyDescent="0.25">
      <c r="A5385" t="s">
        <v>5391</v>
      </c>
      <c r="B5385">
        <v>64181</v>
      </c>
      <c r="C5385">
        <v>7896029046609</v>
      </c>
      <c r="D5385">
        <v>3.49</v>
      </c>
      <c r="E5385">
        <v>2.21</v>
      </c>
      <c r="F5385" s="3">
        <v>0.33310000000000001</v>
      </c>
      <c r="G5385">
        <v>2.0047000000000001</v>
      </c>
      <c r="H5385">
        <v>14.233000000000001</v>
      </c>
    </row>
    <row r="5386" spans="1:8" x14ac:dyDescent="0.25">
      <c r="A5386" t="s">
        <v>5392</v>
      </c>
      <c r="B5386">
        <v>64177</v>
      </c>
      <c r="C5386">
        <v>7896029046197</v>
      </c>
      <c r="D5386">
        <v>3.49</v>
      </c>
      <c r="E5386">
        <v>2.21</v>
      </c>
      <c r="F5386" s="3">
        <v>0.33250000000000002</v>
      </c>
      <c r="G5386">
        <v>2.0066000000000002</v>
      </c>
      <c r="H5386">
        <v>6.2329999999999997</v>
      </c>
    </row>
    <row r="5387" spans="1:8" x14ac:dyDescent="0.25">
      <c r="A5387" t="s">
        <v>5393</v>
      </c>
      <c r="B5387">
        <v>64176</v>
      </c>
      <c r="C5387">
        <v>7896029046173</v>
      </c>
      <c r="D5387">
        <v>3.49</v>
      </c>
      <c r="E5387">
        <v>2.21</v>
      </c>
      <c r="F5387" s="3">
        <v>0.33299999999999996</v>
      </c>
      <c r="G5387">
        <v>2.0049999999999999</v>
      </c>
      <c r="H5387">
        <v>10.733000000000001</v>
      </c>
    </row>
    <row r="5388" spans="1:8" x14ac:dyDescent="0.25">
      <c r="A5388" t="s">
        <v>5394</v>
      </c>
      <c r="B5388">
        <v>64179</v>
      </c>
      <c r="C5388">
        <v>7896029046296</v>
      </c>
      <c r="D5388">
        <v>3.49</v>
      </c>
      <c r="E5388">
        <v>2.21</v>
      </c>
      <c r="F5388" s="3">
        <v>0.33299999999999996</v>
      </c>
      <c r="G5388">
        <v>2.0049999999999999</v>
      </c>
      <c r="H5388">
        <v>7.4669999999999996</v>
      </c>
    </row>
    <row r="5389" spans="1:8" x14ac:dyDescent="0.25">
      <c r="A5389" t="s">
        <v>5395</v>
      </c>
      <c r="B5389">
        <v>63078</v>
      </c>
      <c r="C5389">
        <v>7891000332429</v>
      </c>
      <c r="D5389">
        <v>5.9</v>
      </c>
      <c r="E5389">
        <v>3.6</v>
      </c>
      <c r="F5389" s="3">
        <v>0.35340000000000005</v>
      </c>
      <c r="G5389">
        <v>3.2690999999999999</v>
      </c>
      <c r="H5389">
        <v>0.1</v>
      </c>
    </row>
    <row r="5390" spans="1:8" x14ac:dyDescent="0.25">
      <c r="A5390" t="s">
        <v>5396</v>
      </c>
      <c r="B5390">
        <v>63071</v>
      </c>
      <c r="C5390">
        <v>7891000332344</v>
      </c>
      <c r="D5390">
        <v>4.9000000000000004</v>
      </c>
      <c r="E5390">
        <v>3.07</v>
      </c>
      <c r="F5390" s="3">
        <v>0.33950000000000002</v>
      </c>
      <c r="G5390">
        <v>2.7833999999999999</v>
      </c>
      <c r="H5390">
        <v>0.53300000000000003</v>
      </c>
    </row>
    <row r="5391" spans="1:8" x14ac:dyDescent="0.25">
      <c r="A5391" t="s">
        <v>5397</v>
      </c>
      <c r="B5391">
        <v>64216</v>
      </c>
      <c r="C5391">
        <v>7896029056387</v>
      </c>
      <c r="D5391">
        <v>1.99</v>
      </c>
      <c r="E5391">
        <v>1.81</v>
      </c>
      <c r="F5391" s="3">
        <v>8.3499999999999991E-2</v>
      </c>
      <c r="G5391">
        <v>1.6397999999999999</v>
      </c>
      <c r="H5391">
        <v>3</v>
      </c>
    </row>
    <row r="5392" spans="1:8" x14ac:dyDescent="0.25">
      <c r="A5392" t="s">
        <v>5398</v>
      </c>
      <c r="B5392">
        <v>51947</v>
      </c>
      <c r="C5392">
        <v>7891000244746</v>
      </c>
      <c r="D5392">
        <v>3.9</v>
      </c>
      <c r="E5392">
        <v>1.79</v>
      </c>
      <c r="F5392" s="3">
        <v>0.48869999999999997</v>
      </c>
      <c r="G5392">
        <v>1.6332</v>
      </c>
      <c r="H5392">
        <v>4.2</v>
      </c>
    </row>
    <row r="5393" spans="1:8" x14ac:dyDescent="0.25">
      <c r="A5393" t="s">
        <v>5399</v>
      </c>
      <c r="B5393">
        <v>41129</v>
      </c>
      <c r="C5393">
        <v>7891000115695</v>
      </c>
      <c r="D5393">
        <v>3.9</v>
      </c>
      <c r="E5393">
        <v>1.87</v>
      </c>
      <c r="F5393" s="3">
        <v>0.46009999999999995</v>
      </c>
      <c r="G5393">
        <v>1.7450000000000001</v>
      </c>
      <c r="H5393">
        <v>2.8</v>
      </c>
    </row>
    <row r="5394" spans="1:8" x14ac:dyDescent="0.25">
      <c r="A5394" t="s">
        <v>5400</v>
      </c>
      <c r="B5394">
        <v>41127</v>
      </c>
      <c r="C5394">
        <v>7891000115800</v>
      </c>
      <c r="D5394">
        <v>3.9</v>
      </c>
      <c r="E5394">
        <v>2.02</v>
      </c>
      <c r="F5394" s="3">
        <v>0.43140000000000001</v>
      </c>
      <c r="G5394">
        <v>1.8566</v>
      </c>
      <c r="H5394">
        <v>12.967000000000001</v>
      </c>
    </row>
    <row r="5395" spans="1:8" x14ac:dyDescent="0.25">
      <c r="A5395" t="s">
        <v>5401</v>
      </c>
      <c r="B5395">
        <v>64167</v>
      </c>
      <c r="C5395">
        <v>7896029015001</v>
      </c>
      <c r="D5395">
        <v>3.49</v>
      </c>
      <c r="E5395">
        <v>2.21</v>
      </c>
      <c r="F5395" s="3">
        <v>0.33289999999999997</v>
      </c>
      <c r="G5395">
        <v>2.0051999999999999</v>
      </c>
      <c r="H5395">
        <v>11.8</v>
      </c>
    </row>
    <row r="5396" spans="1:8" x14ac:dyDescent="0.25">
      <c r="A5396" t="s">
        <v>5402</v>
      </c>
      <c r="B5396">
        <v>64168</v>
      </c>
      <c r="C5396">
        <v>7896029022252</v>
      </c>
      <c r="D5396">
        <v>3.49</v>
      </c>
      <c r="E5396">
        <v>2.21</v>
      </c>
      <c r="F5396" s="3">
        <v>0.33299999999999996</v>
      </c>
      <c r="G5396">
        <v>2.0051000000000001</v>
      </c>
      <c r="H5396">
        <v>8.4329999999999998</v>
      </c>
    </row>
    <row r="5397" spans="1:8" x14ac:dyDescent="0.25">
      <c r="A5397" t="s">
        <v>5403</v>
      </c>
      <c r="B5397">
        <v>64208</v>
      </c>
      <c r="C5397">
        <v>7896029017661</v>
      </c>
      <c r="D5397">
        <v>3.99</v>
      </c>
      <c r="E5397">
        <v>2.48</v>
      </c>
      <c r="F5397" s="3">
        <v>0.34320000000000001</v>
      </c>
      <c r="G5397">
        <v>2.2513999999999998</v>
      </c>
      <c r="H5397">
        <v>0.36699999999999999</v>
      </c>
    </row>
    <row r="5398" spans="1:8" x14ac:dyDescent="0.25">
      <c r="A5398" t="s">
        <v>5404</v>
      </c>
      <c r="B5398">
        <v>64210</v>
      </c>
      <c r="C5398">
        <v>7896029017678</v>
      </c>
      <c r="D5398">
        <v>3.99</v>
      </c>
      <c r="E5398">
        <v>2.48</v>
      </c>
      <c r="F5398" s="3">
        <v>0.34450000000000003</v>
      </c>
      <c r="G5398">
        <v>2.2465000000000002</v>
      </c>
      <c r="H5398">
        <v>1.0669999999999999</v>
      </c>
    </row>
    <row r="5399" spans="1:8" x14ac:dyDescent="0.25">
      <c r="A5399" t="s">
        <v>5405</v>
      </c>
      <c r="B5399">
        <v>64194</v>
      </c>
      <c r="C5399">
        <v>7896029047101</v>
      </c>
      <c r="D5399">
        <v>3.49</v>
      </c>
      <c r="E5399">
        <v>2.21</v>
      </c>
      <c r="F5399" s="3">
        <v>0.33299999999999996</v>
      </c>
      <c r="G5399">
        <v>2.0049000000000001</v>
      </c>
      <c r="H5399">
        <v>6.9329999999999998</v>
      </c>
    </row>
    <row r="5400" spans="1:8" x14ac:dyDescent="0.25">
      <c r="A5400" t="s">
        <v>5406</v>
      </c>
      <c r="B5400">
        <v>64195</v>
      </c>
      <c r="C5400">
        <v>7896029047279</v>
      </c>
      <c r="D5400">
        <v>3.49</v>
      </c>
      <c r="E5400">
        <v>2.21</v>
      </c>
      <c r="F5400" s="3">
        <v>0.33299999999999996</v>
      </c>
      <c r="G5400">
        <v>2.0049999999999999</v>
      </c>
      <c r="H5400">
        <v>9.4670000000000005</v>
      </c>
    </row>
    <row r="5401" spans="1:8" x14ac:dyDescent="0.25">
      <c r="A5401" t="s">
        <v>5407</v>
      </c>
      <c r="B5401">
        <v>37342</v>
      </c>
      <c r="C5401">
        <v>7896028700397</v>
      </c>
      <c r="D5401">
        <v>17.899999999999999</v>
      </c>
      <c r="E5401">
        <v>11.88</v>
      </c>
      <c r="F5401" s="3">
        <v>0.30510000000000004</v>
      </c>
      <c r="G5401">
        <v>10.7826</v>
      </c>
      <c r="H5401">
        <v>1.2669999999999999</v>
      </c>
    </row>
    <row r="5402" spans="1:8" x14ac:dyDescent="0.25">
      <c r="A5402" t="s">
        <v>5408</v>
      </c>
      <c r="B5402">
        <v>32676</v>
      </c>
      <c r="C5402">
        <v>7896495002550</v>
      </c>
      <c r="D5402">
        <v>29.9</v>
      </c>
      <c r="E5402">
        <v>19.920000000000002</v>
      </c>
      <c r="F5402" s="3">
        <v>0.30299999999999999</v>
      </c>
      <c r="G5402">
        <v>18.075900000000001</v>
      </c>
      <c r="H5402">
        <v>0.23300000000000001</v>
      </c>
    </row>
    <row r="5403" spans="1:8" x14ac:dyDescent="0.25">
      <c r="A5403" t="s">
        <v>5409</v>
      </c>
      <c r="B5403">
        <v>63882</v>
      </c>
      <c r="C5403">
        <v>8710103967460</v>
      </c>
      <c r="D5403">
        <v>78</v>
      </c>
      <c r="E5403">
        <v>71.16</v>
      </c>
      <c r="F5403" s="3">
        <v>8.5999999999999993E-2</v>
      </c>
      <c r="G5403">
        <v>71.295299999999997</v>
      </c>
      <c r="H5403">
        <v>0.23300000000000001</v>
      </c>
    </row>
    <row r="5404" spans="1:8" x14ac:dyDescent="0.25">
      <c r="A5404" t="s">
        <v>5410</v>
      </c>
      <c r="B5404">
        <v>15828</v>
      </c>
      <c r="C5404">
        <v>7891098037015</v>
      </c>
      <c r="D5404">
        <v>2.99</v>
      </c>
      <c r="E5404">
        <v>1.99</v>
      </c>
      <c r="F5404" s="3">
        <v>0.33450000000000002</v>
      </c>
      <c r="G5404">
        <v>1.9899</v>
      </c>
      <c r="H5404">
        <v>8.1999999999999993</v>
      </c>
    </row>
    <row r="5405" spans="1:8" x14ac:dyDescent="0.25">
      <c r="A5405" t="s">
        <v>5411</v>
      </c>
      <c r="B5405">
        <v>46117</v>
      </c>
      <c r="C5405">
        <v>7622210696373</v>
      </c>
      <c r="D5405">
        <v>1.99</v>
      </c>
      <c r="E5405">
        <v>1.34</v>
      </c>
      <c r="F5405" s="3">
        <v>0.23309999999999997</v>
      </c>
      <c r="G5405">
        <v>0.9839</v>
      </c>
      <c r="H5405">
        <v>23.367000000000001</v>
      </c>
    </row>
    <row r="5406" spans="1:8" x14ac:dyDescent="0.25">
      <c r="A5406" t="s">
        <v>5412</v>
      </c>
      <c r="B5406">
        <v>22058</v>
      </c>
      <c r="C5406">
        <v>7622300506971</v>
      </c>
      <c r="D5406">
        <v>1.99</v>
      </c>
      <c r="E5406">
        <v>1.25</v>
      </c>
      <c r="F5406" s="3">
        <v>0.27579999999999999</v>
      </c>
      <c r="G5406">
        <v>0.89890000000000003</v>
      </c>
      <c r="H5406">
        <v>28.567</v>
      </c>
    </row>
    <row r="5407" spans="1:8" x14ac:dyDescent="0.25">
      <c r="A5407" t="s">
        <v>5413</v>
      </c>
      <c r="B5407">
        <v>42881</v>
      </c>
      <c r="C5407">
        <v>7622210696328</v>
      </c>
      <c r="D5407">
        <v>1.99</v>
      </c>
      <c r="E5407">
        <v>1.33</v>
      </c>
      <c r="F5407" s="3">
        <v>0.23269999999999999</v>
      </c>
      <c r="G5407">
        <v>0.98460000000000003</v>
      </c>
      <c r="H5407">
        <v>51.9</v>
      </c>
    </row>
    <row r="5408" spans="1:8" x14ac:dyDescent="0.25">
      <c r="A5408" t="s">
        <v>5414</v>
      </c>
      <c r="B5408">
        <v>22061</v>
      </c>
      <c r="C5408">
        <v>7622300506995</v>
      </c>
      <c r="D5408">
        <v>1.99</v>
      </c>
      <c r="E5408">
        <v>1.34</v>
      </c>
      <c r="F5408" s="3">
        <v>0.2346</v>
      </c>
      <c r="G5408">
        <v>0.98089999999999999</v>
      </c>
      <c r="H5408">
        <v>40.6</v>
      </c>
    </row>
    <row r="5409" spans="1:8" x14ac:dyDescent="0.25">
      <c r="A5409" t="s">
        <v>5415</v>
      </c>
      <c r="B5409">
        <v>22062</v>
      </c>
      <c r="C5409">
        <v>7622300507046</v>
      </c>
      <c r="D5409">
        <v>1.99</v>
      </c>
      <c r="E5409">
        <v>1.27</v>
      </c>
      <c r="F5409" s="3">
        <v>0.2626</v>
      </c>
      <c r="G5409">
        <v>0.92520000000000002</v>
      </c>
      <c r="H5409">
        <v>27.033000000000001</v>
      </c>
    </row>
    <row r="5410" spans="1:8" x14ac:dyDescent="0.25">
      <c r="A5410" t="s">
        <v>5416</v>
      </c>
      <c r="B5410">
        <v>22066</v>
      </c>
      <c r="C5410">
        <v>7622300507152</v>
      </c>
      <c r="D5410">
        <v>1.99</v>
      </c>
      <c r="E5410">
        <v>1.34</v>
      </c>
      <c r="F5410" s="3">
        <v>0.2346</v>
      </c>
      <c r="G5410">
        <v>0.98089999999999999</v>
      </c>
      <c r="H5410">
        <v>33.732999999999997</v>
      </c>
    </row>
    <row r="5411" spans="1:8" x14ac:dyDescent="0.25">
      <c r="A5411" t="s">
        <v>5417</v>
      </c>
      <c r="B5411">
        <v>5644</v>
      </c>
      <c r="C5411">
        <v>7891132082407</v>
      </c>
      <c r="D5411">
        <v>1.28</v>
      </c>
      <c r="E5411">
        <v>0.9</v>
      </c>
      <c r="F5411" s="3">
        <v>0.18440000000000001</v>
      </c>
      <c r="G5411">
        <v>0.69630000000000003</v>
      </c>
      <c r="H5411">
        <v>14.733000000000001</v>
      </c>
    </row>
    <row r="5412" spans="1:8" x14ac:dyDescent="0.25">
      <c r="A5412" t="s">
        <v>5418</v>
      </c>
      <c r="B5412">
        <v>44151</v>
      </c>
      <c r="C5412">
        <v>7891132082421</v>
      </c>
      <c r="D5412">
        <v>1.27</v>
      </c>
      <c r="E5412">
        <v>0.89</v>
      </c>
      <c r="F5412" s="3">
        <v>0.1953</v>
      </c>
      <c r="G5412">
        <v>0.67600000000000005</v>
      </c>
      <c r="H5412">
        <v>7.0670000000000002</v>
      </c>
    </row>
    <row r="5413" spans="1:8" x14ac:dyDescent="0.25">
      <c r="A5413" t="s">
        <v>5419</v>
      </c>
      <c r="B5413">
        <v>44150</v>
      </c>
      <c r="C5413">
        <v>7891132082469</v>
      </c>
      <c r="D5413">
        <v>1.27</v>
      </c>
      <c r="E5413">
        <v>0.93</v>
      </c>
      <c r="F5413" s="3">
        <v>0.1845</v>
      </c>
      <c r="G5413">
        <v>0.69130000000000003</v>
      </c>
      <c r="H5413">
        <v>28.033000000000001</v>
      </c>
    </row>
    <row r="5414" spans="1:8" x14ac:dyDescent="0.25">
      <c r="A5414" t="s">
        <v>5420</v>
      </c>
      <c r="B5414">
        <v>5646</v>
      </c>
      <c r="C5414">
        <v>7891132082261</v>
      </c>
      <c r="D5414">
        <v>1.27</v>
      </c>
      <c r="E5414">
        <v>0.91</v>
      </c>
      <c r="F5414" s="3">
        <v>0.1852</v>
      </c>
      <c r="G5414">
        <v>0.69110000000000005</v>
      </c>
      <c r="H5414">
        <v>17.5</v>
      </c>
    </row>
    <row r="5415" spans="1:8" x14ac:dyDescent="0.25">
      <c r="A5415" t="s">
        <v>5421</v>
      </c>
      <c r="B5415">
        <v>5647</v>
      </c>
      <c r="C5415">
        <v>7891132082520</v>
      </c>
      <c r="D5415">
        <v>1.26</v>
      </c>
      <c r="E5415">
        <v>0.91</v>
      </c>
      <c r="F5415" s="3">
        <v>0.2054</v>
      </c>
      <c r="G5415">
        <v>0.6603</v>
      </c>
      <c r="H5415">
        <v>14.6</v>
      </c>
    </row>
    <row r="5416" spans="1:8" x14ac:dyDescent="0.25">
      <c r="A5416" t="s">
        <v>5422</v>
      </c>
      <c r="B5416">
        <v>5648</v>
      </c>
      <c r="C5416">
        <v>7891132082568</v>
      </c>
      <c r="D5416">
        <v>1.28</v>
      </c>
      <c r="E5416">
        <v>0.91</v>
      </c>
      <c r="F5416" s="3">
        <v>0.21920000000000001</v>
      </c>
      <c r="G5416">
        <v>0.65029999999999999</v>
      </c>
      <c r="H5416">
        <v>13.567</v>
      </c>
    </row>
    <row r="5417" spans="1:8" x14ac:dyDescent="0.25">
      <c r="A5417" t="s">
        <v>5423</v>
      </c>
      <c r="B5417">
        <v>5649</v>
      </c>
      <c r="C5417">
        <v>7891132082308</v>
      </c>
      <c r="D5417">
        <v>1.29</v>
      </c>
      <c r="E5417">
        <v>0.91</v>
      </c>
      <c r="F5417" s="3">
        <v>0.21210000000000001</v>
      </c>
      <c r="G5417">
        <v>0.66400000000000003</v>
      </c>
      <c r="H5417">
        <v>17.5</v>
      </c>
    </row>
    <row r="5418" spans="1:8" x14ac:dyDescent="0.25">
      <c r="A5418" t="s">
        <v>5424</v>
      </c>
      <c r="B5418">
        <v>5650</v>
      </c>
      <c r="C5418">
        <v>7891132082322</v>
      </c>
      <c r="D5418">
        <v>1.29</v>
      </c>
      <c r="E5418">
        <v>0.89</v>
      </c>
      <c r="F5418" s="3">
        <v>0.2006</v>
      </c>
      <c r="G5418">
        <v>0.67979999999999996</v>
      </c>
      <c r="H5418">
        <v>11.632999999999999</v>
      </c>
    </row>
    <row r="5419" spans="1:8" x14ac:dyDescent="0.25">
      <c r="A5419" t="s">
        <v>5425</v>
      </c>
      <c r="B5419">
        <v>5651</v>
      </c>
      <c r="C5419">
        <v>7891132082223</v>
      </c>
      <c r="D5419">
        <v>1.28</v>
      </c>
      <c r="E5419">
        <v>0.88</v>
      </c>
      <c r="F5419" s="3">
        <v>0.23280000000000001</v>
      </c>
      <c r="G5419">
        <v>0.63249999999999995</v>
      </c>
      <c r="H5419">
        <v>19.7</v>
      </c>
    </row>
    <row r="5420" spans="1:8" x14ac:dyDescent="0.25">
      <c r="A5420" t="s">
        <v>5426</v>
      </c>
      <c r="B5420">
        <v>5652</v>
      </c>
      <c r="C5420">
        <v>7891132082483</v>
      </c>
      <c r="D5420">
        <v>1.28</v>
      </c>
      <c r="E5420">
        <v>0.88</v>
      </c>
      <c r="F5420" s="3">
        <v>0.22239999999999999</v>
      </c>
      <c r="G5420">
        <v>0.64439999999999997</v>
      </c>
      <c r="H5420">
        <v>16.600000000000001</v>
      </c>
    </row>
    <row r="5421" spans="1:8" x14ac:dyDescent="0.25">
      <c r="A5421" t="s">
        <v>5427</v>
      </c>
      <c r="B5421">
        <v>5654</v>
      </c>
      <c r="C5421">
        <v>7891132082360</v>
      </c>
      <c r="D5421">
        <v>1.28</v>
      </c>
      <c r="E5421">
        <v>0.86</v>
      </c>
      <c r="F5421" s="3">
        <v>0.23850000000000002</v>
      </c>
      <c r="G5421">
        <v>0.62490000000000001</v>
      </c>
      <c r="H5421">
        <v>26.3</v>
      </c>
    </row>
    <row r="5422" spans="1:8" x14ac:dyDescent="0.25">
      <c r="A5422" t="s">
        <v>5428</v>
      </c>
      <c r="B5422">
        <v>5657</v>
      </c>
      <c r="C5422">
        <v>7891132082384</v>
      </c>
      <c r="D5422">
        <v>1.29</v>
      </c>
      <c r="E5422">
        <v>0.86</v>
      </c>
      <c r="F5422" s="3">
        <v>0.24299999999999999</v>
      </c>
      <c r="G5422">
        <v>0.625</v>
      </c>
      <c r="H5422">
        <v>11.8</v>
      </c>
    </row>
    <row r="5423" spans="1:8" x14ac:dyDescent="0.25">
      <c r="A5423" t="s">
        <v>5429</v>
      </c>
      <c r="B5423">
        <v>5661</v>
      </c>
      <c r="C5423">
        <v>7891132082445</v>
      </c>
      <c r="D5423">
        <v>1.29</v>
      </c>
      <c r="E5423">
        <v>0.86</v>
      </c>
      <c r="F5423" s="3">
        <v>0.24340000000000001</v>
      </c>
      <c r="G5423">
        <v>0.62429999999999997</v>
      </c>
      <c r="H5423">
        <v>14.067</v>
      </c>
    </row>
    <row r="5424" spans="1:8" x14ac:dyDescent="0.25">
      <c r="A5424" t="s">
        <v>5430</v>
      </c>
      <c r="B5424">
        <v>5662</v>
      </c>
      <c r="C5424">
        <v>7891132082346</v>
      </c>
      <c r="D5424">
        <v>1.28</v>
      </c>
      <c r="E5424">
        <v>0.86</v>
      </c>
      <c r="F5424" s="3">
        <v>0.24</v>
      </c>
      <c r="G5424">
        <v>0.62480000000000002</v>
      </c>
      <c r="H5424">
        <v>25.433</v>
      </c>
    </row>
    <row r="5425" spans="1:8" x14ac:dyDescent="0.25">
      <c r="A5425" t="s">
        <v>5431</v>
      </c>
      <c r="B5425">
        <v>5642</v>
      </c>
      <c r="C5425">
        <v>7891132000999</v>
      </c>
      <c r="D5425">
        <v>1.48</v>
      </c>
      <c r="E5425">
        <v>1</v>
      </c>
      <c r="F5425" s="3">
        <v>0.23530000000000001</v>
      </c>
      <c r="G5425">
        <v>0.72599999999999998</v>
      </c>
      <c r="H5425">
        <v>17.332999999999998</v>
      </c>
    </row>
    <row r="5426" spans="1:8" x14ac:dyDescent="0.25">
      <c r="A5426" t="s">
        <v>5432</v>
      </c>
      <c r="B5426">
        <v>16603</v>
      </c>
      <c r="C5426">
        <v>7891132001057</v>
      </c>
      <c r="D5426">
        <v>1.49</v>
      </c>
      <c r="E5426">
        <v>1</v>
      </c>
      <c r="F5426" s="3">
        <v>0.23910000000000001</v>
      </c>
      <c r="G5426">
        <v>0.72619999999999996</v>
      </c>
      <c r="H5426">
        <v>16.233000000000001</v>
      </c>
    </row>
    <row r="5427" spans="1:8" x14ac:dyDescent="0.25">
      <c r="A5427" t="s">
        <v>5433</v>
      </c>
      <c r="B5427">
        <v>5632</v>
      </c>
      <c r="C5427">
        <v>7891132009985</v>
      </c>
      <c r="D5427">
        <v>1.47</v>
      </c>
      <c r="E5427">
        <v>1</v>
      </c>
      <c r="F5427" s="3">
        <v>0.23440000000000003</v>
      </c>
      <c r="G5427">
        <v>0.72619999999999996</v>
      </c>
      <c r="H5427">
        <v>23.533000000000001</v>
      </c>
    </row>
    <row r="5428" spans="1:8" x14ac:dyDescent="0.25">
      <c r="A5428" t="s">
        <v>5434</v>
      </c>
      <c r="B5428">
        <v>5633</v>
      </c>
      <c r="C5428">
        <v>7891132001453</v>
      </c>
      <c r="D5428">
        <v>1.48</v>
      </c>
      <c r="E5428">
        <v>1</v>
      </c>
      <c r="F5428" s="3">
        <v>0.23780000000000001</v>
      </c>
      <c r="G5428">
        <v>0.72619999999999996</v>
      </c>
      <c r="H5428">
        <v>19.067</v>
      </c>
    </row>
    <row r="5429" spans="1:8" x14ac:dyDescent="0.25">
      <c r="A5429" t="s">
        <v>5435</v>
      </c>
      <c r="B5429">
        <v>16583</v>
      </c>
      <c r="C5429">
        <v>7891132001019</v>
      </c>
      <c r="D5429">
        <v>1.44</v>
      </c>
      <c r="E5429">
        <v>1</v>
      </c>
      <c r="F5429" s="3">
        <v>0.2238</v>
      </c>
      <c r="G5429">
        <v>0.72599999999999998</v>
      </c>
      <c r="H5429">
        <v>17.933</v>
      </c>
    </row>
    <row r="5430" spans="1:8" x14ac:dyDescent="0.25">
      <c r="A5430" t="s">
        <v>5436</v>
      </c>
      <c r="B5430">
        <v>5635</v>
      </c>
      <c r="C5430">
        <v>7891132009961</v>
      </c>
      <c r="D5430">
        <v>1.47</v>
      </c>
      <c r="E5430">
        <v>1</v>
      </c>
      <c r="F5430" s="3">
        <v>0.23379999999999998</v>
      </c>
      <c r="G5430">
        <v>0.72619999999999996</v>
      </c>
      <c r="H5430">
        <v>16</v>
      </c>
    </row>
    <row r="5431" spans="1:8" x14ac:dyDescent="0.25">
      <c r="A5431" t="s">
        <v>5437</v>
      </c>
      <c r="B5431">
        <v>22041</v>
      </c>
      <c r="C5431">
        <v>7622300861148</v>
      </c>
      <c r="D5431">
        <v>1.59</v>
      </c>
      <c r="E5431">
        <v>0.91</v>
      </c>
      <c r="F5431" s="3">
        <v>0.3125</v>
      </c>
      <c r="G5431">
        <v>0.65990000000000004</v>
      </c>
      <c r="H5431">
        <v>53.466999999999999</v>
      </c>
    </row>
    <row r="5432" spans="1:8" x14ac:dyDescent="0.25">
      <c r="A5432" t="s">
        <v>5438</v>
      </c>
      <c r="B5432">
        <v>22043</v>
      </c>
      <c r="C5432">
        <v>7622300391324</v>
      </c>
      <c r="D5432">
        <v>1.59</v>
      </c>
      <c r="E5432">
        <v>0.91</v>
      </c>
      <c r="F5432" s="3">
        <v>0.3095</v>
      </c>
      <c r="G5432">
        <v>0.66459999999999997</v>
      </c>
      <c r="H5432">
        <v>30.966999999999999</v>
      </c>
    </row>
    <row r="5433" spans="1:8" x14ac:dyDescent="0.25">
      <c r="A5433" t="s">
        <v>5439</v>
      </c>
      <c r="B5433">
        <v>22044</v>
      </c>
      <c r="C5433">
        <v>7622300820770</v>
      </c>
      <c r="D5433">
        <v>1.59</v>
      </c>
      <c r="E5433">
        <v>0.91</v>
      </c>
      <c r="F5433" s="3">
        <v>0.31079999999999997</v>
      </c>
      <c r="G5433">
        <v>0.66259999999999997</v>
      </c>
      <c r="H5433">
        <v>40.332999999999998</v>
      </c>
    </row>
    <row r="5434" spans="1:8" x14ac:dyDescent="0.25">
      <c r="A5434" t="s">
        <v>5440</v>
      </c>
      <c r="B5434">
        <v>22045</v>
      </c>
      <c r="C5434">
        <v>7622300861186</v>
      </c>
      <c r="D5434">
        <v>1.59</v>
      </c>
      <c r="E5434">
        <v>0.91</v>
      </c>
      <c r="F5434" s="3">
        <v>0.30980000000000002</v>
      </c>
      <c r="G5434">
        <v>0.66420000000000001</v>
      </c>
      <c r="H5434">
        <v>54.966999999999999</v>
      </c>
    </row>
    <row r="5435" spans="1:8" x14ac:dyDescent="0.25">
      <c r="A5435" t="s">
        <v>5441</v>
      </c>
      <c r="B5435">
        <v>44628</v>
      </c>
      <c r="C5435">
        <v>7622210762894</v>
      </c>
      <c r="D5435">
        <v>1.59</v>
      </c>
      <c r="E5435">
        <v>0.9</v>
      </c>
      <c r="F5435" s="3">
        <v>0.31430000000000002</v>
      </c>
      <c r="G5435">
        <v>0.65700000000000003</v>
      </c>
      <c r="H5435">
        <v>48.2</v>
      </c>
    </row>
    <row r="5436" spans="1:8" x14ac:dyDescent="0.25">
      <c r="A5436" t="s">
        <v>5442</v>
      </c>
      <c r="B5436">
        <v>22046</v>
      </c>
      <c r="C5436">
        <v>7622300861889</v>
      </c>
      <c r="D5436">
        <v>1.59</v>
      </c>
      <c r="E5436">
        <v>0.9</v>
      </c>
      <c r="F5436" s="3">
        <v>0.31329999999999997</v>
      </c>
      <c r="G5436">
        <v>0.65869999999999995</v>
      </c>
      <c r="H5436">
        <v>26.5</v>
      </c>
    </row>
    <row r="5437" spans="1:8" x14ac:dyDescent="0.25">
      <c r="A5437" t="s">
        <v>5443</v>
      </c>
      <c r="B5437">
        <v>22047</v>
      </c>
      <c r="C5437">
        <v>7622300861919</v>
      </c>
      <c r="D5437">
        <v>1.59</v>
      </c>
      <c r="E5437">
        <v>0.92</v>
      </c>
      <c r="F5437" s="3">
        <v>0.30870000000000003</v>
      </c>
      <c r="G5437">
        <v>0.66579999999999995</v>
      </c>
      <c r="H5437">
        <v>50.433</v>
      </c>
    </row>
    <row r="5438" spans="1:8" x14ac:dyDescent="0.25">
      <c r="A5438" t="s">
        <v>5444</v>
      </c>
      <c r="B5438">
        <v>22048</v>
      </c>
      <c r="C5438">
        <v>7622300861957</v>
      </c>
      <c r="D5438">
        <v>1.59</v>
      </c>
      <c r="E5438">
        <v>0.91</v>
      </c>
      <c r="F5438" s="3">
        <v>0.31240000000000001</v>
      </c>
      <c r="G5438">
        <v>0.66</v>
      </c>
      <c r="H5438">
        <v>29.266999999999999</v>
      </c>
    </row>
    <row r="5439" spans="1:8" x14ac:dyDescent="0.25">
      <c r="A5439" t="s">
        <v>5445</v>
      </c>
      <c r="B5439">
        <v>22049</v>
      </c>
      <c r="C5439">
        <v>7622300861261</v>
      </c>
      <c r="D5439">
        <v>1.59</v>
      </c>
      <c r="E5439">
        <v>0.89</v>
      </c>
      <c r="F5439" s="3">
        <v>0.3175</v>
      </c>
      <c r="G5439">
        <v>0.65180000000000005</v>
      </c>
      <c r="H5439">
        <v>49.732999999999997</v>
      </c>
    </row>
    <row r="5440" spans="1:8" x14ac:dyDescent="0.25">
      <c r="A5440" t="s">
        <v>5446</v>
      </c>
      <c r="B5440">
        <v>22051</v>
      </c>
      <c r="C5440">
        <v>7622300861308</v>
      </c>
      <c r="D5440">
        <v>1.59</v>
      </c>
      <c r="E5440">
        <v>0.9</v>
      </c>
      <c r="F5440" s="3">
        <v>0.31679999999999997</v>
      </c>
      <c r="G5440">
        <v>0.65300000000000002</v>
      </c>
      <c r="H5440">
        <v>32.5</v>
      </c>
    </row>
    <row r="5441" spans="1:8" x14ac:dyDescent="0.25">
      <c r="A5441" t="s">
        <v>5447</v>
      </c>
      <c r="B5441">
        <v>22053</v>
      </c>
      <c r="C5441">
        <v>7622300862077</v>
      </c>
      <c r="D5441">
        <v>1.59</v>
      </c>
      <c r="E5441">
        <v>0.9</v>
      </c>
      <c r="F5441" s="3">
        <v>0.31309999999999999</v>
      </c>
      <c r="G5441">
        <v>0.65880000000000005</v>
      </c>
      <c r="H5441">
        <v>32.232999999999997</v>
      </c>
    </row>
    <row r="5442" spans="1:8" x14ac:dyDescent="0.25">
      <c r="A5442" t="s">
        <v>5448</v>
      </c>
      <c r="B5442">
        <v>22054</v>
      </c>
      <c r="C5442">
        <v>7622300861223</v>
      </c>
      <c r="D5442">
        <v>1.59</v>
      </c>
      <c r="E5442">
        <v>0.9</v>
      </c>
      <c r="F5442" s="3">
        <v>0.31329999999999997</v>
      </c>
      <c r="G5442">
        <v>0.65849999999999997</v>
      </c>
      <c r="H5442">
        <v>43.966999999999999</v>
      </c>
    </row>
    <row r="5443" spans="1:8" x14ac:dyDescent="0.25">
      <c r="A5443" t="s">
        <v>5449</v>
      </c>
      <c r="B5443">
        <v>59821</v>
      </c>
      <c r="C5443">
        <v>7622210932402</v>
      </c>
      <c r="D5443">
        <v>1.59</v>
      </c>
      <c r="E5443">
        <v>0.9</v>
      </c>
      <c r="F5443" s="3">
        <v>0.31530000000000002</v>
      </c>
      <c r="G5443">
        <v>0.65539999999999998</v>
      </c>
      <c r="H5443">
        <v>46.133000000000003</v>
      </c>
    </row>
    <row r="5444" spans="1:8" x14ac:dyDescent="0.25">
      <c r="A5444" t="s">
        <v>5450</v>
      </c>
      <c r="B5444">
        <v>5417</v>
      </c>
      <c r="C5444">
        <v>7891095017683</v>
      </c>
      <c r="D5444">
        <v>0</v>
      </c>
      <c r="E5444">
        <v>0.55000000000000004</v>
      </c>
      <c r="F5444" s="3">
        <v>0</v>
      </c>
      <c r="G5444">
        <v>0.40039999999999998</v>
      </c>
      <c r="H5444">
        <v>8</v>
      </c>
    </row>
    <row r="5445" spans="1:8" x14ac:dyDescent="0.25">
      <c r="A5445" t="s">
        <v>5451</v>
      </c>
      <c r="B5445">
        <v>48964</v>
      </c>
      <c r="C5445">
        <v>648436330522</v>
      </c>
      <c r="D5445">
        <v>15.9</v>
      </c>
      <c r="E5445">
        <v>9.5</v>
      </c>
      <c r="F5445" s="3">
        <v>0.36530000000000001</v>
      </c>
      <c r="G5445">
        <v>8.6212999999999997</v>
      </c>
      <c r="H5445">
        <v>1.9330000000000001</v>
      </c>
    </row>
    <row r="5446" spans="1:8" x14ac:dyDescent="0.25">
      <c r="A5446" t="s">
        <v>5452</v>
      </c>
      <c r="B5446">
        <v>39656</v>
      </c>
      <c r="C5446">
        <v>648436330669</v>
      </c>
      <c r="D5446">
        <v>15.9</v>
      </c>
      <c r="E5446">
        <v>9.5</v>
      </c>
      <c r="F5446" s="3">
        <v>0.36530000000000001</v>
      </c>
      <c r="G5446">
        <v>8.6212999999999997</v>
      </c>
      <c r="H5446">
        <v>0.8</v>
      </c>
    </row>
    <row r="5447" spans="1:8" x14ac:dyDescent="0.25">
      <c r="A5447" t="s">
        <v>5453</v>
      </c>
      <c r="B5447">
        <v>39657</v>
      </c>
      <c r="C5447">
        <v>648436330676</v>
      </c>
      <c r="D5447">
        <v>15.9</v>
      </c>
      <c r="E5447">
        <v>9.5</v>
      </c>
      <c r="F5447" s="3">
        <v>0.36530000000000001</v>
      </c>
      <c r="G5447">
        <v>8.6212999999999997</v>
      </c>
      <c r="H5447">
        <v>2.7330000000000001</v>
      </c>
    </row>
    <row r="5448" spans="1:8" x14ac:dyDescent="0.25">
      <c r="A5448" t="s">
        <v>5454</v>
      </c>
      <c r="B5448">
        <v>5617</v>
      </c>
      <c r="C5448">
        <v>7894900011753</v>
      </c>
      <c r="D5448">
        <v>9.7899999999999991</v>
      </c>
      <c r="E5448">
        <v>8.0399999999999991</v>
      </c>
      <c r="F5448" s="3">
        <v>0.17850000000000002</v>
      </c>
      <c r="G5448">
        <v>8.0427</v>
      </c>
      <c r="H5448">
        <v>109.367</v>
      </c>
    </row>
    <row r="5449" spans="1:8" x14ac:dyDescent="0.25">
      <c r="A5449" t="s">
        <v>5455</v>
      </c>
      <c r="B5449">
        <v>49417</v>
      </c>
      <c r="C5449">
        <v>7894900011715</v>
      </c>
      <c r="D5449">
        <v>6.99</v>
      </c>
      <c r="E5449">
        <v>5.82</v>
      </c>
      <c r="F5449" s="3">
        <v>0.16769999999999999</v>
      </c>
      <c r="G5449">
        <v>5.8177000000000003</v>
      </c>
      <c r="H5449">
        <v>99.966999999999999</v>
      </c>
    </row>
    <row r="5450" spans="1:8" x14ac:dyDescent="0.25">
      <c r="A5450" t="s">
        <v>5456</v>
      </c>
      <c r="B5450">
        <v>5618</v>
      </c>
      <c r="C5450">
        <v>7894900027013</v>
      </c>
      <c r="D5450">
        <v>10.71</v>
      </c>
      <c r="E5450">
        <v>9.11</v>
      </c>
      <c r="F5450" s="3">
        <v>0.1459</v>
      </c>
      <c r="G5450">
        <v>9.1486000000000001</v>
      </c>
      <c r="H5450">
        <v>304</v>
      </c>
    </row>
    <row r="5451" spans="1:8" x14ac:dyDescent="0.25">
      <c r="A5451" t="s">
        <v>5457</v>
      </c>
      <c r="B5451">
        <v>41121</v>
      </c>
      <c r="C5451">
        <v>7894900011159</v>
      </c>
      <c r="D5451">
        <v>3.52</v>
      </c>
      <c r="E5451">
        <v>2.79</v>
      </c>
      <c r="F5451" s="3">
        <v>0.20629999999999998</v>
      </c>
      <c r="G5451">
        <v>2.7921999999999998</v>
      </c>
      <c r="H5451">
        <v>39.866999999999997</v>
      </c>
    </row>
    <row r="5452" spans="1:8" x14ac:dyDescent="0.25">
      <c r="A5452" t="s">
        <v>5458</v>
      </c>
      <c r="B5452">
        <v>44861</v>
      </c>
      <c r="C5452">
        <v>7894900701159</v>
      </c>
      <c r="D5452">
        <v>3.79</v>
      </c>
      <c r="E5452">
        <v>2.79</v>
      </c>
      <c r="F5452" s="3">
        <v>0.26250000000000001</v>
      </c>
      <c r="G5452">
        <v>2.7949999999999999</v>
      </c>
      <c r="H5452">
        <v>79.132999999999996</v>
      </c>
    </row>
    <row r="5453" spans="1:8" x14ac:dyDescent="0.25">
      <c r="A5453" t="s">
        <v>5459</v>
      </c>
      <c r="B5453">
        <v>5621</v>
      </c>
      <c r="C5453">
        <v>7894900010015</v>
      </c>
      <c r="D5453">
        <v>3.79</v>
      </c>
      <c r="E5453">
        <v>2.72</v>
      </c>
      <c r="F5453" s="3">
        <v>0.29139999999999999</v>
      </c>
      <c r="G5453">
        <v>2.6857000000000002</v>
      </c>
      <c r="H5453">
        <v>231.43299999999999</v>
      </c>
    </row>
    <row r="5454" spans="1:8" x14ac:dyDescent="0.25">
      <c r="A5454" t="s">
        <v>5460</v>
      </c>
      <c r="B5454">
        <v>9009</v>
      </c>
      <c r="C5454">
        <v>7894900011609</v>
      </c>
      <c r="D5454">
        <v>5.29</v>
      </c>
      <c r="E5454">
        <v>4.37</v>
      </c>
      <c r="F5454" s="3">
        <v>0.17399999999999999</v>
      </c>
      <c r="G5454">
        <v>4.3693</v>
      </c>
      <c r="H5454">
        <v>132.4</v>
      </c>
    </row>
    <row r="5455" spans="1:8" x14ac:dyDescent="0.25">
      <c r="A5455" t="s">
        <v>5461</v>
      </c>
      <c r="B5455">
        <v>60281</v>
      </c>
      <c r="C5455">
        <v>7894900011326</v>
      </c>
      <c r="D5455">
        <v>18.899999999999999</v>
      </c>
      <c r="E5455">
        <v>16.82</v>
      </c>
      <c r="F5455" s="3">
        <v>0.1101</v>
      </c>
      <c r="G5455">
        <v>16.82</v>
      </c>
      <c r="H5455">
        <v>0.26700000000000002</v>
      </c>
    </row>
    <row r="5456" spans="1:8" x14ac:dyDescent="0.25">
      <c r="A5456" t="s">
        <v>5462</v>
      </c>
      <c r="B5456">
        <v>42829</v>
      </c>
      <c r="C5456">
        <v>7894900010398</v>
      </c>
      <c r="D5456">
        <v>2.89</v>
      </c>
      <c r="E5456">
        <v>2.15</v>
      </c>
      <c r="F5456" s="3">
        <v>0.25650000000000001</v>
      </c>
      <c r="G5456">
        <v>2.1488</v>
      </c>
      <c r="H5456">
        <v>95.132999999999996</v>
      </c>
    </row>
    <row r="5457" spans="1:8" x14ac:dyDescent="0.25">
      <c r="A5457" t="s">
        <v>5463</v>
      </c>
      <c r="B5457">
        <v>41622</v>
      </c>
      <c r="C5457">
        <v>78908901</v>
      </c>
      <c r="D5457">
        <v>1.99</v>
      </c>
      <c r="E5457">
        <v>1.47</v>
      </c>
      <c r="F5457" s="3">
        <v>0.25969999999999999</v>
      </c>
      <c r="G5457">
        <v>1.4731000000000001</v>
      </c>
      <c r="H5457">
        <v>554.86699999999996</v>
      </c>
    </row>
    <row r="5458" spans="1:8" x14ac:dyDescent="0.25">
      <c r="A5458" t="s">
        <v>5464</v>
      </c>
      <c r="B5458">
        <v>5599</v>
      </c>
      <c r="C5458">
        <v>7894900015119</v>
      </c>
      <c r="D5458">
        <v>4.99</v>
      </c>
      <c r="E5458">
        <v>3.53</v>
      </c>
      <c r="F5458" s="3">
        <v>0.2923</v>
      </c>
      <c r="G5458">
        <v>3.5314999999999999</v>
      </c>
      <c r="H5458">
        <v>57.433</v>
      </c>
    </row>
    <row r="5459" spans="1:8" x14ac:dyDescent="0.25">
      <c r="A5459" t="s">
        <v>5465</v>
      </c>
      <c r="B5459">
        <v>5609</v>
      </c>
      <c r="C5459">
        <v>7894900014211</v>
      </c>
      <c r="D5459">
        <v>7.99</v>
      </c>
      <c r="E5459">
        <v>6.3</v>
      </c>
      <c r="F5459" s="3">
        <v>0.21199999999999999</v>
      </c>
      <c r="G5459">
        <v>6.2962999999999996</v>
      </c>
      <c r="H5459">
        <v>285.46699999999998</v>
      </c>
    </row>
    <row r="5460" spans="1:8" x14ac:dyDescent="0.25">
      <c r="A5460" t="s">
        <v>5466</v>
      </c>
      <c r="B5460">
        <v>16093</v>
      </c>
      <c r="C5460">
        <v>7894900704211</v>
      </c>
      <c r="D5460">
        <v>7.99</v>
      </c>
      <c r="E5460">
        <v>6.3</v>
      </c>
      <c r="F5460" s="3">
        <v>0.21199999999999999</v>
      </c>
      <c r="G5460">
        <v>6.2964000000000002</v>
      </c>
      <c r="H5460">
        <v>216.46700000000001</v>
      </c>
    </row>
    <row r="5461" spans="1:8" x14ac:dyDescent="0.25">
      <c r="A5461" t="s">
        <v>5467</v>
      </c>
      <c r="B5461">
        <v>49421</v>
      </c>
      <c r="C5461">
        <v>78912908</v>
      </c>
      <c r="D5461">
        <v>4.1500000000000004</v>
      </c>
      <c r="E5461">
        <v>2.91</v>
      </c>
      <c r="F5461" s="3">
        <v>0.29830000000000001</v>
      </c>
      <c r="G5461">
        <v>2.9146000000000001</v>
      </c>
      <c r="H5461">
        <v>35.933</v>
      </c>
    </row>
    <row r="5462" spans="1:8" x14ac:dyDescent="0.25">
      <c r="A5462" t="s">
        <v>5468</v>
      </c>
      <c r="B5462">
        <v>5612</v>
      </c>
      <c r="C5462">
        <v>7894900701753</v>
      </c>
      <c r="D5462">
        <v>9.7899999999999991</v>
      </c>
      <c r="E5462">
        <v>7.98</v>
      </c>
      <c r="F5462" s="3">
        <v>0.18090000000000001</v>
      </c>
      <c r="G5462">
        <v>8.0189000000000004</v>
      </c>
      <c r="H5462">
        <v>114.56699999999999</v>
      </c>
    </row>
    <row r="5463" spans="1:8" x14ac:dyDescent="0.25">
      <c r="A5463" t="s">
        <v>5469</v>
      </c>
      <c r="B5463">
        <v>57016</v>
      </c>
      <c r="C5463">
        <v>7894900701715</v>
      </c>
      <c r="D5463">
        <v>6.99</v>
      </c>
      <c r="E5463">
        <v>5.83</v>
      </c>
      <c r="F5463" s="3">
        <v>0.16589999999999999</v>
      </c>
      <c r="G5463">
        <v>5.8301999999999996</v>
      </c>
      <c r="H5463">
        <v>135.86699999999999</v>
      </c>
    </row>
    <row r="5464" spans="1:8" x14ac:dyDescent="0.25">
      <c r="A5464" t="s">
        <v>5470</v>
      </c>
      <c r="B5464">
        <v>5614</v>
      </c>
      <c r="C5464">
        <v>7894900701517</v>
      </c>
      <c r="D5464">
        <v>10.69</v>
      </c>
      <c r="E5464">
        <v>8.82</v>
      </c>
      <c r="F5464" s="3">
        <v>0.1643</v>
      </c>
      <c r="G5464">
        <v>8.9335000000000004</v>
      </c>
      <c r="H5464">
        <v>498.36700000000002</v>
      </c>
    </row>
    <row r="5465" spans="1:8" x14ac:dyDescent="0.25">
      <c r="A5465" t="s">
        <v>5471</v>
      </c>
      <c r="B5465">
        <v>5615</v>
      </c>
      <c r="C5465">
        <v>7894900709841</v>
      </c>
      <c r="D5465">
        <v>3.7</v>
      </c>
      <c r="E5465">
        <v>2.98</v>
      </c>
      <c r="F5465" s="3">
        <v>0.25829999999999997</v>
      </c>
      <c r="G5465">
        <v>2.7465999999999999</v>
      </c>
      <c r="H5465">
        <v>177.13300000000001</v>
      </c>
    </row>
    <row r="5466" spans="1:8" x14ac:dyDescent="0.25">
      <c r="A5466" t="s">
        <v>5472</v>
      </c>
      <c r="B5466">
        <v>5616</v>
      </c>
      <c r="C5466">
        <v>7894900709919</v>
      </c>
      <c r="D5466">
        <v>5.7</v>
      </c>
      <c r="E5466">
        <v>4.38</v>
      </c>
      <c r="F5466" s="3">
        <v>0.23219999999999999</v>
      </c>
      <c r="G5466">
        <v>4.3762999999999996</v>
      </c>
      <c r="H5466">
        <v>187.2</v>
      </c>
    </row>
    <row r="5467" spans="1:8" x14ac:dyDescent="0.25">
      <c r="A5467" t="s">
        <v>5473</v>
      </c>
      <c r="B5467">
        <v>60282</v>
      </c>
      <c r="C5467">
        <v>7894900701326</v>
      </c>
      <c r="D5467">
        <v>18.899999999999999</v>
      </c>
      <c r="E5467">
        <v>16.91</v>
      </c>
      <c r="F5467" s="3">
        <v>0.10529999999999999</v>
      </c>
      <c r="G5467">
        <v>16.91</v>
      </c>
      <c r="H5467">
        <v>0.76700000000000002</v>
      </c>
    </row>
    <row r="5468" spans="1:8" x14ac:dyDescent="0.25">
      <c r="A5468" t="s">
        <v>5474</v>
      </c>
      <c r="B5468">
        <v>42842</v>
      </c>
      <c r="C5468">
        <v>7894900700398</v>
      </c>
      <c r="D5468">
        <v>2.89</v>
      </c>
      <c r="E5468">
        <v>2.15</v>
      </c>
      <c r="F5468" s="3">
        <v>0.25629999999999997</v>
      </c>
      <c r="G5468">
        <v>2.1493000000000002</v>
      </c>
      <c r="H5468">
        <v>187.3</v>
      </c>
    </row>
    <row r="5469" spans="1:8" x14ac:dyDescent="0.25">
      <c r="A5469" t="s">
        <v>5475</v>
      </c>
      <c r="B5469">
        <v>54985</v>
      </c>
      <c r="C5469">
        <v>78933873</v>
      </c>
      <c r="D5469">
        <v>1.59</v>
      </c>
      <c r="E5469">
        <v>1.1200000000000001</v>
      </c>
      <c r="F5469" s="3">
        <v>0.30280000000000001</v>
      </c>
      <c r="G5469">
        <v>1.1085</v>
      </c>
      <c r="H5469" s="1">
        <v>1118.8330000000001</v>
      </c>
    </row>
    <row r="5470" spans="1:8" x14ac:dyDescent="0.25">
      <c r="A5470" t="s">
        <v>5476</v>
      </c>
      <c r="B5470">
        <v>49422</v>
      </c>
      <c r="C5470">
        <v>78912892</v>
      </c>
      <c r="D5470">
        <v>3.99</v>
      </c>
      <c r="E5470">
        <v>2.91</v>
      </c>
      <c r="F5470" s="3">
        <v>0.2697</v>
      </c>
      <c r="G5470">
        <v>2.9138000000000002</v>
      </c>
      <c r="H5470">
        <v>62.966999999999999</v>
      </c>
    </row>
    <row r="5471" spans="1:8" x14ac:dyDescent="0.25">
      <c r="A5471" t="s">
        <v>5477</v>
      </c>
      <c r="B5471">
        <v>43735</v>
      </c>
      <c r="C5471">
        <v>7894900093056</v>
      </c>
      <c r="D5471">
        <v>7.49</v>
      </c>
      <c r="E5471">
        <v>5.96</v>
      </c>
      <c r="F5471" s="3">
        <v>0.20519999999999999</v>
      </c>
      <c r="G5471">
        <v>5.9527999999999999</v>
      </c>
      <c r="H5471">
        <v>14.467000000000001</v>
      </c>
    </row>
    <row r="5472" spans="1:8" x14ac:dyDescent="0.25">
      <c r="A5472" t="s">
        <v>5478</v>
      </c>
      <c r="B5472">
        <v>5686</v>
      </c>
      <c r="C5472">
        <v>7894900031515</v>
      </c>
      <c r="D5472">
        <v>8.99</v>
      </c>
      <c r="E5472">
        <v>6.88</v>
      </c>
      <c r="F5472" s="3">
        <v>0.2349</v>
      </c>
      <c r="G5472">
        <v>6.8787000000000003</v>
      </c>
      <c r="H5472">
        <v>50.2</v>
      </c>
    </row>
    <row r="5473" spans="1:8" x14ac:dyDescent="0.25">
      <c r="A5473" t="s">
        <v>5479</v>
      </c>
      <c r="B5473">
        <v>43736</v>
      </c>
      <c r="C5473">
        <v>7894900093001</v>
      </c>
      <c r="D5473">
        <v>3.89</v>
      </c>
      <c r="E5473">
        <v>2.73</v>
      </c>
      <c r="F5473" s="3">
        <v>0.29719999999999996</v>
      </c>
      <c r="G5473">
        <v>2.7339000000000002</v>
      </c>
      <c r="H5473">
        <v>3.5670000000000002</v>
      </c>
    </row>
    <row r="5474" spans="1:8" x14ac:dyDescent="0.25">
      <c r="A5474" t="s">
        <v>5480</v>
      </c>
      <c r="B5474">
        <v>5705</v>
      </c>
      <c r="C5474">
        <v>7894900033632</v>
      </c>
      <c r="D5474">
        <v>5.49</v>
      </c>
      <c r="E5474">
        <v>4.2300000000000004</v>
      </c>
      <c r="F5474" s="3">
        <v>0.22889999999999999</v>
      </c>
      <c r="G5474">
        <v>4.2336</v>
      </c>
      <c r="H5474">
        <v>22.733000000000001</v>
      </c>
    </row>
    <row r="5475" spans="1:8" x14ac:dyDescent="0.25">
      <c r="A5475" t="s">
        <v>5481</v>
      </c>
      <c r="B5475">
        <v>58906</v>
      </c>
      <c r="C5475">
        <v>7894900093025</v>
      </c>
      <c r="D5475">
        <v>2.59</v>
      </c>
      <c r="E5475">
        <v>1.79</v>
      </c>
      <c r="F5475" s="3">
        <v>0.37520000000000003</v>
      </c>
      <c r="G5475">
        <v>1.6181000000000001</v>
      </c>
      <c r="H5475">
        <v>8.3670000000000009</v>
      </c>
    </row>
    <row r="5476" spans="1:8" x14ac:dyDescent="0.25">
      <c r="A5476" t="s">
        <v>5482</v>
      </c>
      <c r="B5476">
        <v>42843</v>
      </c>
      <c r="C5476">
        <v>7894900030396</v>
      </c>
      <c r="D5476">
        <v>2.59</v>
      </c>
      <c r="E5476">
        <v>1.88</v>
      </c>
      <c r="F5476" s="3">
        <v>0.30609999999999998</v>
      </c>
      <c r="G5476">
        <v>1.7971999999999999</v>
      </c>
      <c r="H5476">
        <v>22.466999999999999</v>
      </c>
    </row>
    <row r="5477" spans="1:8" x14ac:dyDescent="0.25">
      <c r="A5477" t="s">
        <v>5483</v>
      </c>
      <c r="B5477">
        <v>5698</v>
      </c>
      <c r="C5477">
        <v>7894900030013</v>
      </c>
      <c r="D5477">
        <v>4.34</v>
      </c>
      <c r="E5477">
        <v>2.89</v>
      </c>
      <c r="F5477" s="3">
        <v>0.33360000000000001</v>
      </c>
      <c r="G5477">
        <v>2.8917999999999999</v>
      </c>
      <c r="H5477">
        <v>13.1</v>
      </c>
    </row>
    <row r="5478" spans="1:8" x14ac:dyDescent="0.25">
      <c r="A5478" t="s">
        <v>5484</v>
      </c>
      <c r="B5478">
        <v>5699</v>
      </c>
      <c r="C5478">
        <v>7894900091007</v>
      </c>
      <c r="D5478">
        <v>3.89</v>
      </c>
      <c r="E5478">
        <v>2.99</v>
      </c>
      <c r="F5478" s="3">
        <v>0.23039999999999999</v>
      </c>
      <c r="G5478">
        <v>2.9937</v>
      </c>
      <c r="H5478">
        <v>13.266999999999999</v>
      </c>
    </row>
    <row r="5479" spans="1:8" x14ac:dyDescent="0.25">
      <c r="A5479" t="s">
        <v>5485</v>
      </c>
      <c r="B5479">
        <v>5700</v>
      </c>
      <c r="C5479">
        <v>7894900050011</v>
      </c>
      <c r="D5479">
        <v>3.76</v>
      </c>
      <c r="E5479">
        <v>3</v>
      </c>
      <c r="F5479" s="3">
        <v>0.20250000000000001</v>
      </c>
      <c r="G5479">
        <v>2.9961000000000002</v>
      </c>
      <c r="H5479">
        <v>14.3</v>
      </c>
    </row>
    <row r="5480" spans="1:8" x14ac:dyDescent="0.25">
      <c r="A5480" t="s">
        <v>5486</v>
      </c>
      <c r="B5480">
        <v>42844</v>
      </c>
      <c r="C5480">
        <v>7894900050394</v>
      </c>
      <c r="D5480">
        <v>2.79</v>
      </c>
      <c r="E5480">
        <v>1.69</v>
      </c>
      <c r="F5480" s="3">
        <v>0.38380000000000003</v>
      </c>
      <c r="G5480">
        <v>1.7192000000000001</v>
      </c>
      <c r="H5480">
        <v>21.1</v>
      </c>
    </row>
    <row r="5481" spans="1:8" x14ac:dyDescent="0.25">
      <c r="A5481" t="s">
        <v>5487</v>
      </c>
      <c r="B5481">
        <v>55387</v>
      </c>
      <c r="C5481">
        <v>7894900093308</v>
      </c>
      <c r="D5481">
        <v>5.29</v>
      </c>
      <c r="E5481">
        <v>0.69</v>
      </c>
      <c r="F5481" s="3">
        <v>0.64119999999999999</v>
      </c>
      <c r="G5481">
        <v>1.8978999999999999</v>
      </c>
      <c r="H5481">
        <v>7.7329999999999997</v>
      </c>
    </row>
    <row r="5482" spans="1:8" x14ac:dyDescent="0.25">
      <c r="A5482" t="s">
        <v>5488</v>
      </c>
      <c r="B5482">
        <v>14306</v>
      </c>
      <c r="C5482">
        <v>7894900034219</v>
      </c>
      <c r="D5482">
        <v>7.99</v>
      </c>
      <c r="E5482">
        <v>6.3</v>
      </c>
      <c r="F5482" s="3">
        <v>0.21230000000000002</v>
      </c>
      <c r="G5482">
        <v>6.2935999999999996</v>
      </c>
      <c r="H5482">
        <v>14.8</v>
      </c>
    </row>
    <row r="5483" spans="1:8" x14ac:dyDescent="0.25">
      <c r="A5483" t="s">
        <v>5489</v>
      </c>
      <c r="B5483">
        <v>55388</v>
      </c>
      <c r="C5483">
        <v>7894900054217</v>
      </c>
      <c r="D5483">
        <v>7.99</v>
      </c>
      <c r="E5483">
        <v>6.3</v>
      </c>
      <c r="F5483" s="3">
        <v>0.21280000000000002</v>
      </c>
      <c r="G5483">
        <v>6.2895000000000003</v>
      </c>
      <c r="H5483">
        <v>15.233000000000001</v>
      </c>
    </row>
    <row r="5484" spans="1:8" x14ac:dyDescent="0.25">
      <c r="A5484" t="s">
        <v>5490</v>
      </c>
      <c r="B5484">
        <v>5691</v>
      </c>
      <c r="C5484">
        <v>7894900051513</v>
      </c>
      <c r="D5484">
        <v>8.99</v>
      </c>
      <c r="E5484">
        <v>6.86</v>
      </c>
      <c r="F5484" s="3">
        <v>0.23699999999999999</v>
      </c>
      <c r="G5484">
        <v>6.8594999999999997</v>
      </c>
      <c r="H5484">
        <v>44.732999999999997</v>
      </c>
    </row>
    <row r="5485" spans="1:8" x14ac:dyDescent="0.25">
      <c r="A5485" t="s">
        <v>5491</v>
      </c>
      <c r="B5485">
        <v>46605</v>
      </c>
      <c r="C5485">
        <v>7894900094008</v>
      </c>
      <c r="D5485">
        <v>4.0999999999999996</v>
      </c>
      <c r="E5485">
        <v>2.74</v>
      </c>
      <c r="F5485" s="3">
        <v>0.33159999999999995</v>
      </c>
      <c r="G5485">
        <v>2.7414999999999998</v>
      </c>
      <c r="H5485">
        <v>5.7</v>
      </c>
    </row>
    <row r="5486" spans="1:8" x14ac:dyDescent="0.25">
      <c r="A5486" t="s">
        <v>5492</v>
      </c>
      <c r="B5486">
        <v>23508</v>
      </c>
      <c r="C5486">
        <v>7894900150018</v>
      </c>
      <c r="D5486">
        <v>3.89</v>
      </c>
      <c r="E5486">
        <v>2.99</v>
      </c>
      <c r="F5486" s="3">
        <v>0.2303</v>
      </c>
      <c r="G5486">
        <v>2.9943</v>
      </c>
      <c r="H5486">
        <v>20.367000000000001</v>
      </c>
    </row>
    <row r="5487" spans="1:8" x14ac:dyDescent="0.25">
      <c r="A5487" t="s">
        <v>5493</v>
      </c>
      <c r="B5487">
        <v>68685</v>
      </c>
      <c r="C5487">
        <v>7896052607044</v>
      </c>
      <c r="D5487">
        <v>2.99</v>
      </c>
      <c r="E5487">
        <v>1.19</v>
      </c>
      <c r="F5487" s="3">
        <v>0.54569999999999996</v>
      </c>
      <c r="G5487">
        <v>1.0818000000000001</v>
      </c>
      <c r="H5487">
        <v>1.5</v>
      </c>
    </row>
    <row r="5488" spans="1:8" x14ac:dyDescent="0.25">
      <c r="A5488" t="s">
        <v>5494</v>
      </c>
      <c r="B5488">
        <v>68686</v>
      </c>
      <c r="C5488">
        <v>7896052607129</v>
      </c>
      <c r="D5488">
        <v>2.99</v>
      </c>
      <c r="E5488">
        <v>1.19</v>
      </c>
      <c r="F5488" s="3">
        <v>0.5454</v>
      </c>
      <c r="G5488">
        <v>1.0826</v>
      </c>
      <c r="H5488">
        <v>0.53300000000000003</v>
      </c>
    </row>
    <row r="5489" spans="1:8" x14ac:dyDescent="0.25">
      <c r="A5489" t="s">
        <v>5495</v>
      </c>
      <c r="B5489">
        <v>5746</v>
      </c>
      <c r="C5489">
        <v>7891991008761</v>
      </c>
      <c r="D5489">
        <v>7.5</v>
      </c>
      <c r="E5489">
        <v>5.66</v>
      </c>
      <c r="F5489" s="3">
        <v>0.24559999999999998</v>
      </c>
      <c r="G5489">
        <v>5.6571999999999996</v>
      </c>
      <c r="H5489">
        <v>38.667000000000002</v>
      </c>
    </row>
    <row r="5490" spans="1:8" x14ac:dyDescent="0.25">
      <c r="A5490" t="s">
        <v>5496</v>
      </c>
      <c r="B5490">
        <v>5745</v>
      </c>
      <c r="C5490">
        <v>7891991008785</v>
      </c>
      <c r="D5490">
        <v>7.59</v>
      </c>
      <c r="E5490">
        <v>5.66</v>
      </c>
      <c r="F5490" s="3">
        <v>0.25429999999999997</v>
      </c>
      <c r="G5490">
        <v>5.6599000000000004</v>
      </c>
      <c r="H5490">
        <v>28.332999999999998</v>
      </c>
    </row>
    <row r="5491" spans="1:8" x14ac:dyDescent="0.25">
      <c r="A5491" t="s">
        <v>5497</v>
      </c>
      <c r="B5491">
        <v>5764</v>
      </c>
      <c r="C5491">
        <v>7891991014908</v>
      </c>
      <c r="D5491">
        <v>1.79</v>
      </c>
      <c r="E5491">
        <v>1.41</v>
      </c>
      <c r="F5491" s="3">
        <v>0.21350000000000002</v>
      </c>
      <c r="G5491">
        <v>1.4077999999999999</v>
      </c>
      <c r="H5491">
        <v>272.16699999999997</v>
      </c>
    </row>
    <row r="5492" spans="1:8" x14ac:dyDescent="0.25">
      <c r="A5492" t="s">
        <v>5498</v>
      </c>
      <c r="B5492">
        <v>60118</v>
      </c>
      <c r="C5492">
        <v>7891991016124</v>
      </c>
      <c r="D5492">
        <v>1.79</v>
      </c>
      <c r="E5492">
        <v>1.41</v>
      </c>
      <c r="F5492" s="3">
        <v>0.2127</v>
      </c>
      <c r="G5492">
        <v>1.4092</v>
      </c>
      <c r="H5492">
        <v>220.53299999999999</v>
      </c>
    </row>
    <row r="5493" spans="1:8" x14ac:dyDescent="0.25">
      <c r="A5493" t="s">
        <v>5499</v>
      </c>
      <c r="B5493">
        <v>5727</v>
      </c>
      <c r="C5493">
        <v>7891991003148</v>
      </c>
      <c r="D5493">
        <v>11.55</v>
      </c>
      <c r="E5493">
        <v>7.77</v>
      </c>
      <c r="F5493" s="3">
        <v>0.33069999999999999</v>
      </c>
      <c r="G5493">
        <v>7.7308000000000003</v>
      </c>
      <c r="H5493">
        <v>54.3</v>
      </c>
    </row>
    <row r="5494" spans="1:8" x14ac:dyDescent="0.25">
      <c r="A5494" t="s">
        <v>5500</v>
      </c>
      <c r="B5494">
        <v>5726</v>
      </c>
      <c r="C5494">
        <v>7891991001373</v>
      </c>
      <c r="D5494">
        <v>11.55</v>
      </c>
      <c r="E5494">
        <v>7.91</v>
      </c>
      <c r="F5494" s="3">
        <v>0.31519999999999998</v>
      </c>
      <c r="G5494">
        <v>7.9097</v>
      </c>
      <c r="H5494">
        <v>78.3</v>
      </c>
    </row>
    <row r="5495" spans="1:8" x14ac:dyDescent="0.25">
      <c r="A5495" t="s">
        <v>5501</v>
      </c>
      <c r="B5495">
        <v>5725</v>
      </c>
      <c r="C5495">
        <v>7891991000826</v>
      </c>
      <c r="D5495">
        <v>3.69</v>
      </c>
      <c r="E5495">
        <v>2.4900000000000002</v>
      </c>
      <c r="F5495" s="3">
        <v>0.33030000000000004</v>
      </c>
      <c r="G5495">
        <v>2.4712999999999998</v>
      </c>
      <c r="H5495">
        <v>38.933</v>
      </c>
    </row>
    <row r="5496" spans="1:8" x14ac:dyDescent="0.25">
      <c r="A5496" t="s">
        <v>5502</v>
      </c>
      <c r="B5496">
        <v>5738</v>
      </c>
      <c r="C5496">
        <v>7891991002646</v>
      </c>
      <c r="D5496">
        <v>4.99</v>
      </c>
      <c r="E5496">
        <v>3.66</v>
      </c>
      <c r="F5496" s="3">
        <v>0.2666</v>
      </c>
      <c r="G5496">
        <v>3.6598999999999999</v>
      </c>
      <c r="H5496">
        <v>48.167000000000002</v>
      </c>
    </row>
    <row r="5497" spans="1:8" x14ac:dyDescent="0.25">
      <c r="A5497" t="s">
        <v>5503</v>
      </c>
      <c r="B5497">
        <v>5782</v>
      </c>
      <c r="C5497">
        <v>7894900911510</v>
      </c>
      <c r="D5497">
        <v>5.99</v>
      </c>
      <c r="E5497">
        <v>4.62</v>
      </c>
      <c r="F5497" s="3">
        <v>0.22800000000000001</v>
      </c>
      <c r="G5497">
        <v>4.6239999999999997</v>
      </c>
      <c r="H5497">
        <v>129.03299999999999</v>
      </c>
    </row>
    <row r="5498" spans="1:8" x14ac:dyDescent="0.25">
      <c r="A5498" t="s">
        <v>5504</v>
      </c>
      <c r="B5498">
        <v>5558</v>
      </c>
      <c r="C5498">
        <v>7894900910018</v>
      </c>
      <c r="D5498">
        <v>3.69</v>
      </c>
      <c r="E5498">
        <v>2.5499999999999998</v>
      </c>
      <c r="F5498" s="3">
        <v>0.30640000000000001</v>
      </c>
      <c r="G5498">
        <v>2.5592000000000001</v>
      </c>
      <c r="H5498">
        <v>2.9329999999999998</v>
      </c>
    </row>
    <row r="5499" spans="1:8" x14ac:dyDescent="0.25">
      <c r="A5499" t="s">
        <v>5505</v>
      </c>
      <c r="B5499">
        <v>15304</v>
      </c>
      <c r="C5499">
        <v>7896052604975</v>
      </c>
      <c r="D5499">
        <v>2.99</v>
      </c>
      <c r="E5499">
        <v>1.98</v>
      </c>
      <c r="F5499" s="3">
        <v>0.33700000000000002</v>
      </c>
      <c r="G5499">
        <v>1.9824999999999999</v>
      </c>
      <c r="H5499">
        <v>50.366999999999997</v>
      </c>
    </row>
    <row r="5500" spans="1:8" x14ac:dyDescent="0.25">
      <c r="A5500" t="s">
        <v>5506</v>
      </c>
      <c r="B5500">
        <v>5561</v>
      </c>
      <c r="C5500">
        <v>7896052603497</v>
      </c>
      <c r="D5500">
        <v>3.49</v>
      </c>
      <c r="E5500">
        <v>2.48</v>
      </c>
      <c r="F5500" s="3">
        <v>0.29010000000000002</v>
      </c>
      <c r="G5500">
        <v>2.4775</v>
      </c>
      <c r="H5500">
        <v>10.733000000000001</v>
      </c>
    </row>
    <row r="5501" spans="1:8" x14ac:dyDescent="0.25">
      <c r="A5501" t="s">
        <v>5507</v>
      </c>
      <c r="B5501">
        <v>42845</v>
      </c>
      <c r="C5501">
        <v>7894900910391</v>
      </c>
      <c r="D5501">
        <v>2.79</v>
      </c>
      <c r="E5501">
        <v>1.78</v>
      </c>
      <c r="F5501" s="3">
        <v>0.42590000000000006</v>
      </c>
      <c r="G5501">
        <v>1.6016999999999999</v>
      </c>
      <c r="H5501">
        <v>4.3330000000000002</v>
      </c>
    </row>
    <row r="5502" spans="1:8" x14ac:dyDescent="0.25">
      <c r="A5502" t="s">
        <v>5508</v>
      </c>
      <c r="B5502">
        <v>66962</v>
      </c>
      <c r="C5502">
        <v>7898950338440</v>
      </c>
      <c r="D5502">
        <v>6.49</v>
      </c>
      <c r="E5502">
        <v>4.1900000000000004</v>
      </c>
      <c r="F5502" s="3">
        <v>0.35009999999999997</v>
      </c>
      <c r="G5502">
        <v>4.2179000000000002</v>
      </c>
      <c r="H5502">
        <v>2.1</v>
      </c>
    </row>
    <row r="5503" spans="1:8" x14ac:dyDescent="0.25">
      <c r="A5503" t="s">
        <v>5509</v>
      </c>
      <c r="B5503">
        <v>66961</v>
      </c>
      <c r="C5503">
        <v>7898950338402</v>
      </c>
      <c r="D5503">
        <v>6.49</v>
      </c>
      <c r="E5503">
        <v>4.24</v>
      </c>
      <c r="F5503" s="3">
        <v>0.33189999999999997</v>
      </c>
      <c r="G5503">
        <v>4.3358999999999996</v>
      </c>
      <c r="H5503">
        <v>3.7</v>
      </c>
    </row>
    <row r="5504" spans="1:8" x14ac:dyDescent="0.25">
      <c r="A5504" t="s">
        <v>5510</v>
      </c>
      <c r="B5504">
        <v>66968</v>
      </c>
      <c r="C5504">
        <v>7898950338112</v>
      </c>
      <c r="D5504">
        <v>6.49</v>
      </c>
      <c r="E5504">
        <v>4.21</v>
      </c>
      <c r="F5504" s="3">
        <v>0.34399999999999997</v>
      </c>
      <c r="G5504">
        <v>4.2575000000000003</v>
      </c>
      <c r="H5504">
        <v>1.8</v>
      </c>
    </row>
    <row r="5505" spans="1:8" x14ac:dyDescent="0.25">
      <c r="A5505" t="s">
        <v>5511</v>
      </c>
      <c r="B5505">
        <v>64765</v>
      </c>
      <c r="C5505">
        <v>8809005029571</v>
      </c>
      <c r="D5505">
        <v>13.9</v>
      </c>
      <c r="E5505">
        <v>7.6</v>
      </c>
      <c r="F5505" s="3">
        <v>0.4113</v>
      </c>
      <c r="G5505">
        <v>6.8971</v>
      </c>
      <c r="H5505">
        <v>0.26700000000000002</v>
      </c>
    </row>
    <row r="5506" spans="1:8" x14ac:dyDescent="0.25">
      <c r="A5506" t="s">
        <v>5512</v>
      </c>
      <c r="B5506">
        <v>64778</v>
      </c>
      <c r="C5506">
        <v>8809005029380</v>
      </c>
      <c r="D5506">
        <v>13.9</v>
      </c>
      <c r="E5506">
        <v>7.6</v>
      </c>
      <c r="F5506" s="3">
        <v>0.4113</v>
      </c>
      <c r="G5506">
        <v>6.8971</v>
      </c>
      <c r="H5506">
        <v>0.6</v>
      </c>
    </row>
    <row r="5507" spans="1:8" x14ac:dyDescent="0.25">
      <c r="A5507" t="s">
        <v>5513</v>
      </c>
      <c r="B5507">
        <v>48963</v>
      </c>
      <c r="C5507">
        <v>8809005029823</v>
      </c>
      <c r="D5507">
        <v>13.9</v>
      </c>
      <c r="E5507">
        <v>7.6</v>
      </c>
      <c r="F5507" s="3">
        <v>0.45319999999999999</v>
      </c>
      <c r="G5507">
        <v>7.6</v>
      </c>
      <c r="H5507">
        <v>2.1669999999999998</v>
      </c>
    </row>
    <row r="5508" spans="1:8" x14ac:dyDescent="0.25">
      <c r="A5508" t="s">
        <v>5514</v>
      </c>
      <c r="B5508">
        <v>64763</v>
      </c>
      <c r="C5508">
        <v>8809005029694</v>
      </c>
      <c r="D5508">
        <v>13.9</v>
      </c>
      <c r="E5508">
        <v>7.6</v>
      </c>
      <c r="F5508" s="3">
        <v>0.4113</v>
      </c>
      <c r="G5508">
        <v>6.8971</v>
      </c>
      <c r="H5508">
        <v>0.9</v>
      </c>
    </row>
    <row r="5509" spans="1:8" x14ac:dyDescent="0.25">
      <c r="A5509" t="s">
        <v>5515</v>
      </c>
      <c r="B5509">
        <v>5518</v>
      </c>
      <c r="C5509">
        <v>7898950338396</v>
      </c>
      <c r="D5509">
        <v>6.49</v>
      </c>
      <c r="E5509">
        <v>3.83</v>
      </c>
      <c r="F5509" s="3">
        <v>0.45340000000000003</v>
      </c>
      <c r="G5509">
        <v>3.5472000000000001</v>
      </c>
      <c r="H5509">
        <v>1.4670000000000001</v>
      </c>
    </row>
    <row r="5510" spans="1:8" x14ac:dyDescent="0.25">
      <c r="A5510" t="s">
        <v>5516</v>
      </c>
      <c r="B5510">
        <v>66960</v>
      </c>
      <c r="C5510">
        <v>7898950338419</v>
      </c>
      <c r="D5510">
        <v>6.49</v>
      </c>
      <c r="E5510">
        <v>3.88</v>
      </c>
      <c r="F5510" s="3">
        <v>0.39960000000000001</v>
      </c>
      <c r="G5510">
        <v>3.8965000000000001</v>
      </c>
      <c r="H5510">
        <v>1.0329999999999999</v>
      </c>
    </row>
    <row r="5511" spans="1:8" x14ac:dyDescent="0.25">
      <c r="A5511" t="s">
        <v>5517</v>
      </c>
      <c r="B5511">
        <v>66967</v>
      </c>
      <c r="C5511">
        <v>7898950338068</v>
      </c>
      <c r="D5511">
        <v>6.49</v>
      </c>
      <c r="E5511">
        <v>4.26</v>
      </c>
      <c r="F5511" s="3">
        <v>0.3029</v>
      </c>
      <c r="G5511">
        <v>3.9237000000000002</v>
      </c>
      <c r="H5511">
        <v>2.4</v>
      </c>
    </row>
    <row r="5512" spans="1:8" x14ac:dyDescent="0.25">
      <c r="A5512" t="s">
        <v>5518</v>
      </c>
      <c r="B5512">
        <v>9014</v>
      </c>
      <c r="C5512">
        <v>7898950338020</v>
      </c>
      <c r="D5512">
        <v>6.49</v>
      </c>
      <c r="E5512">
        <v>3.91</v>
      </c>
      <c r="F5512" s="3">
        <v>0.35710000000000003</v>
      </c>
      <c r="G5512">
        <v>3.5720000000000001</v>
      </c>
      <c r="H5512">
        <v>0.8</v>
      </c>
    </row>
    <row r="5513" spans="1:8" x14ac:dyDescent="0.25">
      <c r="A5513" t="s">
        <v>5519</v>
      </c>
      <c r="B5513">
        <v>63828</v>
      </c>
      <c r="C5513">
        <v>7892840820664</v>
      </c>
      <c r="D5513">
        <v>6.89</v>
      </c>
      <c r="E5513">
        <v>5.49</v>
      </c>
      <c r="F5513" s="3">
        <v>0.20319999999999999</v>
      </c>
      <c r="G5513">
        <v>5.4897999999999998</v>
      </c>
      <c r="H5513">
        <v>43.7</v>
      </c>
    </row>
    <row r="5514" spans="1:8" x14ac:dyDescent="0.25">
      <c r="A5514" t="s">
        <v>5520</v>
      </c>
      <c r="B5514">
        <v>62040</v>
      </c>
      <c r="C5514">
        <v>7892840819323</v>
      </c>
      <c r="D5514">
        <v>1.59</v>
      </c>
      <c r="E5514">
        <v>1.33</v>
      </c>
      <c r="F5514" s="3">
        <v>0.16399999999999998</v>
      </c>
      <c r="G5514">
        <v>1.3292999999999999</v>
      </c>
      <c r="H5514">
        <v>173.4</v>
      </c>
    </row>
    <row r="5515" spans="1:8" x14ac:dyDescent="0.25">
      <c r="A5515" t="s">
        <v>5521</v>
      </c>
      <c r="B5515">
        <v>5562</v>
      </c>
      <c r="C5515">
        <v>7892840813451</v>
      </c>
      <c r="D5515">
        <v>8.99</v>
      </c>
      <c r="E5515">
        <v>6.51</v>
      </c>
      <c r="F5515" s="3">
        <v>0.27690000000000003</v>
      </c>
      <c r="G5515">
        <v>6.5004</v>
      </c>
      <c r="H5515">
        <v>92.632999999999996</v>
      </c>
    </row>
    <row r="5516" spans="1:8" x14ac:dyDescent="0.25">
      <c r="A5516" t="s">
        <v>5522</v>
      </c>
      <c r="B5516">
        <v>5563</v>
      </c>
      <c r="C5516">
        <v>7892840812386</v>
      </c>
      <c r="D5516">
        <v>6.79</v>
      </c>
      <c r="E5516">
        <v>5.42</v>
      </c>
      <c r="F5516" s="3">
        <v>0.2122</v>
      </c>
      <c r="G5516">
        <v>5.3494000000000002</v>
      </c>
      <c r="H5516">
        <v>18.966999999999999</v>
      </c>
    </row>
    <row r="5517" spans="1:8" x14ac:dyDescent="0.25">
      <c r="A5517" t="s">
        <v>5523</v>
      </c>
      <c r="B5517">
        <v>5564</v>
      </c>
      <c r="C5517">
        <v>7892840800000</v>
      </c>
      <c r="D5517">
        <v>8.9</v>
      </c>
      <c r="E5517">
        <v>6.62</v>
      </c>
      <c r="F5517" s="3">
        <v>0.25679999999999997</v>
      </c>
      <c r="G5517">
        <v>6.6142000000000003</v>
      </c>
      <c r="H5517">
        <v>53.332999999999998</v>
      </c>
    </row>
    <row r="5518" spans="1:8" x14ac:dyDescent="0.25">
      <c r="A5518" t="s">
        <v>5524</v>
      </c>
      <c r="B5518">
        <v>5566</v>
      </c>
      <c r="C5518">
        <v>7892840800079</v>
      </c>
      <c r="D5518">
        <v>3.49</v>
      </c>
      <c r="E5518">
        <v>2.4900000000000002</v>
      </c>
      <c r="F5518" s="3">
        <v>0.28660000000000002</v>
      </c>
      <c r="G5518">
        <v>2.4897</v>
      </c>
      <c r="H5518">
        <v>8.3330000000000002</v>
      </c>
    </row>
    <row r="5519" spans="1:8" x14ac:dyDescent="0.25">
      <c r="A5519" t="s">
        <v>5525</v>
      </c>
      <c r="B5519">
        <v>5568</v>
      </c>
      <c r="C5519">
        <v>7892840800239</v>
      </c>
      <c r="D5519">
        <v>4.99</v>
      </c>
      <c r="E5519">
        <v>3.49</v>
      </c>
      <c r="F5519" s="3">
        <v>0.30059999999999998</v>
      </c>
      <c r="G5519">
        <v>3.4899</v>
      </c>
      <c r="H5519">
        <v>19.033000000000001</v>
      </c>
    </row>
    <row r="5520" spans="1:8" x14ac:dyDescent="0.25">
      <c r="A5520" t="s">
        <v>5526</v>
      </c>
      <c r="B5520">
        <v>5572</v>
      </c>
      <c r="C5520">
        <v>7892840802714</v>
      </c>
      <c r="D5520">
        <v>8.9</v>
      </c>
      <c r="E5520">
        <v>7.07</v>
      </c>
      <c r="F5520" s="3">
        <v>0.20559999999999998</v>
      </c>
      <c r="G5520">
        <v>7.0698999999999996</v>
      </c>
      <c r="H5520">
        <v>21.4</v>
      </c>
    </row>
    <row r="5521" spans="1:8" x14ac:dyDescent="0.25">
      <c r="A5521" t="s">
        <v>5527</v>
      </c>
      <c r="B5521">
        <v>5569</v>
      </c>
      <c r="C5521">
        <v>7892840802745</v>
      </c>
      <c r="D5521">
        <v>3.49</v>
      </c>
      <c r="E5521">
        <v>2.4900000000000002</v>
      </c>
      <c r="F5521" s="3">
        <v>0.28670000000000001</v>
      </c>
      <c r="G5521">
        <v>2.4895</v>
      </c>
      <c r="H5521">
        <v>8.8670000000000009</v>
      </c>
    </row>
    <row r="5522" spans="1:8" x14ac:dyDescent="0.25">
      <c r="A5522" t="s">
        <v>5528</v>
      </c>
      <c r="B5522">
        <v>40004</v>
      </c>
      <c r="C5522">
        <v>7892840813505</v>
      </c>
      <c r="D5522">
        <v>3.49</v>
      </c>
      <c r="E5522">
        <v>2.4900000000000002</v>
      </c>
      <c r="F5522" s="3">
        <v>0.28660000000000002</v>
      </c>
      <c r="G5522">
        <v>2.4899</v>
      </c>
      <c r="H5522">
        <v>40.732999999999997</v>
      </c>
    </row>
    <row r="5523" spans="1:8" x14ac:dyDescent="0.25">
      <c r="A5523" t="s">
        <v>5529</v>
      </c>
      <c r="B5523">
        <v>5521</v>
      </c>
      <c r="C5523">
        <v>7894900321753</v>
      </c>
      <c r="D5523">
        <v>9.59</v>
      </c>
      <c r="E5523">
        <v>7.17</v>
      </c>
      <c r="F5523" s="3">
        <v>0.25190000000000001</v>
      </c>
      <c r="G5523">
        <v>7.1741000000000001</v>
      </c>
      <c r="H5523">
        <v>6.4329999999999998</v>
      </c>
    </row>
    <row r="5524" spans="1:8" x14ac:dyDescent="0.25">
      <c r="A5524" t="s">
        <v>5530</v>
      </c>
      <c r="B5524">
        <v>15348</v>
      </c>
      <c r="C5524">
        <v>7894900323405</v>
      </c>
      <c r="D5524">
        <v>3.89</v>
      </c>
      <c r="E5524">
        <v>3.41</v>
      </c>
      <c r="F5524" s="3">
        <v>0.12330000000000001</v>
      </c>
      <c r="G5524">
        <v>3.4102000000000001</v>
      </c>
      <c r="H5524">
        <v>54.366999999999997</v>
      </c>
    </row>
    <row r="5525" spans="1:8" x14ac:dyDescent="0.25">
      <c r="A5525" t="s">
        <v>5531</v>
      </c>
      <c r="B5525">
        <v>5523</v>
      </c>
      <c r="C5525">
        <v>7894900180503</v>
      </c>
      <c r="D5525">
        <v>3.99</v>
      </c>
      <c r="E5525">
        <v>3.03</v>
      </c>
      <c r="F5525" s="3">
        <v>0.2414</v>
      </c>
      <c r="G5525">
        <v>3.0268000000000002</v>
      </c>
      <c r="H5525">
        <v>35.267000000000003</v>
      </c>
    </row>
    <row r="5526" spans="1:8" x14ac:dyDescent="0.25">
      <c r="A5526" t="s">
        <v>5532</v>
      </c>
      <c r="B5526">
        <v>5525</v>
      </c>
      <c r="C5526">
        <v>7894900370010</v>
      </c>
      <c r="D5526">
        <v>3.99</v>
      </c>
      <c r="E5526">
        <v>3.03</v>
      </c>
      <c r="F5526" s="3">
        <v>0.2414</v>
      </c>
      <c r="G5526">
        <v>3.0268999999999999</v>
      </c>
      <c r="H5526">
        <v>39.1</v>
      </c>
    </row>
    <row r="5527" spans="1:8" x14ac:dyDescent="0.25">
      <c r="A5527" t="s">
        <v>5533</v>
      </c>
      <c r="B5527">
        <v>5527</v>
      </c>
      <c r="C5527">
        <v>7894900310016</v>
      </c>
      <c r="D5527">
        <v>3.99</v>
      </c>
      <c r="E5527">
        <v>3.03</v>
      </c>
      <c r="F5527" s="3">
        <v>0.2414</v>
      </c>
      <c r="G5527">
        <v>3.0270000000000001</v>
      </c>
      <c r="H5527">
        <v>7.4329999999999998</v>
      </c>
    </row>
    <row r="5528" spans="1:8" x14ac:dyDescent="0.25">
      <c r="A5528" t="s">
        <v>5534</v>
      </c>
      <c r="B5528">
        <v>57784</v>
      </c>
      <c r="C5528">
        <v>7894900180022</v>
      </c>
      <c r="D5528">
        <v>2.99</v>
      </c>
      <c r="E5528">
        <v>2.25</v>
      </c>
      <c r="F5528" s="3">
        <v>0.2475</v>
      </c>
      <c r="G5528">
        <v>2.25</v>
      </c>
      <c r="H5528">
        <v>16.766999999999999</v>
      </c>
    </row>
    <row r="5529" spans="1:8" x14ac:dyDescent="0.25">
      <c r="A5529" t="s">
        <v>5535</v>
      </c>
      <c r="B5529">
        <v>51371</v>
      </c>
      <c r="C5529">
        <v>7894900180541</v>
      </c>
      <c r="D5529">
        <v>9.59</v>
      </c>
      <c r="E5529">
        <v>7.17</v>
      </c>
      <c r="F5529" s="3">
        <v>0.25190000000000001</v>
      </c>
      <c r="G5529">
        <v>7.1738999999999997</v>
      </c>
      <c r="H5529">
        <v>10.733000000000001</v>
      </c>
    </row>
    <row r="5530" spans="1:8" x14ac:dyDescent="0.25">
      <c r="A5530" t="s">
        <v>5536</v>
      </c>
      <c r="B5530">
        <v>5582</v>
      </c>
      <c r="C5530">
        <v>7891991014984</v>
      </c>
      <c r="D5530">
        <v>1.79</v>
      </c>
      <c r="E5530">
        <v>1.33</v>
      </c>
      <c r="F5530" s="3">
        <v>0.25700000000000001</v>
      </c>
      <c r="G5530">
        <v>1.33</v>
      </c>
      <c r="H5530">
        <v>98.266999999999996</v>
      </c>
    </row>
    <row r="5531" spans="1:8" x14ac:dyDescent="0.25">
      <c r="A5531" t="s">
        <v>5537</v>
      </c>
      <c r="B5531">
        <v>5579</v>
      </c>
      <c r="C5531">
        <v>7891991003162</v>
      </c>
      <c r="D5531">
        <v>8.99</v>
      </c>
      <c r="E5531">
        <v>6.79</v>
      </c>
      <c r="F5531" s="3">
        <v>0.24420000000000003</v>
      </c>
      <c r="G5531">
        <v>6.7948000000000004</v>
      </c>
      <c r="H5531">
        <v>22.5</v>
      </c>
    </row>
    <row r="5532" spans="1:8" x14ac:dyDescent="0.25">
      <c r="A5532" t="s">
        <v>5538</v>
      </c>
      <c r="B5532">
        <v>5580</v>
      </c>
      <c r="C5532">
        <v>7891991000833</v>
      </c>
      <c r="D5532">
        <v>3.49</v>
      </c>
      <c r="E5532">
        <v>2.4900000000000002</v>
      </c>
      <c r="F5532" s="3">
        <v>0.28660000000000002</v>
      </c>
      <c r="G5532">
        <v>2.4897999999999998</v>
      </c>
      <c r="H5532">
        <v>13.2</v>
      </c>
    </row>
    <row r="5533" spans="1:8" x14ac:dyDescent="0.25">
      <c r="A5533" t="s">
        <v>5539</v>
      </c>
      <c r="B5533">
        <v>5575</v>
      </c>
      <c r="C5533">
        <v>7891991001380</v>
      </c>
      <c r="D5533">
        <v>8.99</v>
      </c>
      <c r="E5533">
        <v>6.82</v>
      </c>
      <c r="F5533" s="3">
        <v>0.2414</v>
      </c>
      <c r="G5533">
        <v>6.8197000000000001</v>
      </c>
      <c r="H5533">
        <v>33.167000000000002</v>
      </c>
    </row>
    <row r="5534" spans="1:8" x14ac:dyDescent="0.25">
      <c r="A5534" t="s">
        <v>5540</v>
      </c>
      <c r="B5534">
        <v>5577</v>
      </c>
      <c r="C5534">
        <v>7891991000819</v>
      </c>
      <c r="D5534">
        <v>3.49</v>
      </c>
      <c r="E5534">
        <v>2.4900000000000002</v>
      </c>
      <c r="F5534" s="3">
        <v>0.28660000000000002</v>
      </c>
      <c r="G5534">
        <v>2.4897999999999998</v>
      </c>
      <c r="H5534">
        <v>22.132999999999999</v>
      </c>
    </row>
    <row r="5535" spans="1:8" x14ac:dyDescent="0.25">
      <c r="A5535" t="s">
        <v>5541</v>
      </c>
      <c r="B5535">
        <v>5587</v>
      </c>
      <c r="C5535">
        <v>7894900681000</v>
      </c>
      <c r="D5535">
        <v>8.99</v>
      </c>
      <c r="E5535">
        <v>7.55</v>
      </c>
      <c r="F5535" s="3">
        <v>0.21629999999999999</v>
      </c>
      <c r="G5535">
        <v>7.0457999999999998</v>
      </c>
      <c r="H5535">
        <v>47.767000000000003</v>
      </c>
    </row>
    <row r="5536" spans="1:8" x14ac:dyDescent="0.25">
      <c r="A5536" t="s">
        <v>5542</v>
      </c>
      <c r="B5536">
        <v>5588</v>
      </c>
      <c r="C5536">
        <v>7894900681017</v>
      </c>
      <c r="D5536">
        <v>3.89</v>
      </c>
      <c r="E5536">
        <v>2.99</v>
      </c>
      <c r="F5536" s="3">
        <v>0.23010000000000003</v>
      </c>
      <c r="G5536">
        <v>2.9950000000000001</v>
      </c>
      <c r="H5536">
        <v>14.2</v>
      </c>
    </row>
    <row r="5537" spans="1:8" x14ac:dyDescent="0.25">
      <c r="A5537" t="s">
        <v>5543</v>
      </c>
      <c r="B5537">
        <v>49416</v>
      </c>
      <c r="C5537">
        <v>7894900680508</v>
      </c>
      <c r="D5537">
        <v>2.79</v>
      </c>
      <c r="E5537">
        <v>2.65</v>
      </c>
      <c r="F5537" s="3">
        <v>0.10929999999999999</v>
      </c>
      <c r="G5537">
        <v>2.4851000000000001</v>
      </c>
      <c r="H5537">
        <v>118</v>
      </c>
    </row>
    <row r="5538" spans="1:8" x14ac:dyDescent="0.25">
      <c r="A5538" t="s">
        <v>5544</v>
      </c>
      <c r="B5538">
        <v>55515</v>
      </c>
      <c r="C5538">
        <v>7894900681246</v>
      </c>
      <c r="D5538">
        <v>5.39</v>
      </c>
      <c r="E5538">
        <v>4.24</v>
      </c>
      <c r="F5538" s="3">
        <v>0.21429999999999999</v>
      </c>
      <c r="G5538">
        <v>4.2347000000000001</v>
      </c>
      <c r="H5538">
        <v>38.4</v>
      </c>
    </row>
    <row r="5539" spans="1:8" x14ac:dyDescent="0.25">
      <c r="A5539" t="s">
        <v>5545</v>
      </c>
      <c r="B5539">
        <v>56030</v>
      </c>
      <c r="C5539">
        <v>7894900680522</v>
      </c>
      <c r="D5539">
        <v>7.49</v>
      </c>
      <c r="E5539">
        <v>5.75</v>
      </c>
      <c r="F5539" s="3">
        <v>0.2321</v>
      </c>
      <c r="G5539">
        <v>5.7514000000000003</v>
      </c>
      <c r="H5539">
        <v>49.667000000000002</v>
      </c>
    </row>
    <row r="5540" spans="1:8" x14ac:dyDescent="0.25">
      <c r="A5540" t="s">
        <v>5546</v>
      </c>
      <c r="B5540">
        <v>42847</v>
      </c>
      <c r="C5540">
        <v>7894900681178</v>
      </c>
      <c r="D5540">
        <v>2.79</v>
      </c>
      <c r="E5540">
        <v>2.0499999999999998</v>
      </c>
      <c r="F5540" s="3">
        <v>0.27310000000000001</v>
      </c>
      <c r="G5540">
        <v>2.0282</v>
      </c>
      <c r="H5540">
        <v>28.933</v>
      </c>
    </row>
    <row r="5541" spans="1:8" x14ac:dyDescent="0.25">
      <c r="A5541" t="s">
        <v>5547</v>
      </c>
      <c r="B5541">
        <v>5586</v>
      </c>
      <c r="C5541">
        <v>7894900070019</v>
      </c>
      <c r="D5541">
        <v>3.89</v>
      </c>
      <c r="E5541">
        <v>3</v>
      </c>
      <c r="F5541" s="3">
        <v>0.22949999999999998</v>
      </c>
      <c r="G5541">
        <v>2.9971000000000001</v>
      </c>
      <c r="H5541">
        <v>12.35</v>
      </c>
    </row>
    <row r="5542" spans="1:8" x14ac:dyDescent="0.25">
      <c r="A5542" t="s">
        <v>5548</v>
      </c>
      <c r="B5542">
        <v>13960</v>
      </c>
      <c r="C5542">
        <v>7891149108282</v>
      </c>
      <c r="D5542">
        <v>1.59</v>
      </c>
      <c r="E5542">
        <v>1.33</v>
      </c>
      <c r="F5542" s="3">
        <v>0.16620000000000001</v>
      </c>
      <c r="G5542">
        <v>1.3257000000000001</v>
      </c>
      <c r="H5542">
        <v>69.167000000000002</v>
      </c>
    </row>
    <row r="5543" spans="1:8" x14ac:dyDescent="0.25">
      <c r="A5543" t="s">
        <v>5549</v>
      </c>
      <c r="B5543">
        <v>5593</v>
      </c>
      <c r="C5543">
        <v>7891991298674</v>
      </c>
      <c r="D5543">
        <v>1.59</v>
      </c>
      <c r="E5543">
        <v>1.33</v>
      </c>
      <c r="F5543" s="3">
        <v>0.1636</v>
      </c>
      <c r="G5543">
        <v>1.3299000000000001</v>
      </c>
      <c r="H5543">
        <v>59.6</v>
      </c>
    </row>
    <row r="5544" spans="1:8" x14ac:dyDescent="0.25">
      <c r="A5544" t="s">
        <v>5550</v>
      </c>
      <c r="B5544">
        <v>5512</v>
      </c>
      <c r="C5544">
        <v>7891149440801</v>
      </c>
      <c r="D5544">
        <v>6.9</v>
      </c>
      <c r="E5544">
        <v>5.24</v>
      </c>
      <c r="F5544" s="3">
        <v>0.24059999999999998</v>
      </c>
      <c r="G5544">
        <v>5.2397999999999998</v>
      </c>
      <c r="H5544">
        <v>24.632999999999999</v>
      </c>
    </row>
    <row r="5545" spans="1:8" x14ac:dyDescent="0.25">
      <c r="A5545" t="s">
        <v>5551</v>
      </c>
      <c r="B5545">
        <v>58017</v>
      </c>
      <c r="C5545">
        <v>7891991297172</v>
      </c>
      <c r="D5545">
        <v>6.9</v>
      </c>
      <c r="E5545">
        <v>5.1100000000000003</v>
      </c>
      <c r="F5545" s="3">
        <v>0.26550000000000001</v>
      </c>
      <c r="G5545">
        <v>5.0682999999999998</v>
      </c>
      <c r="H5545">
        <v>19.766999999999999</v>
      </c>
    </row>
    <row r="5546" spans="1:8" x14ac:dyDescent="0.25">
      <c r="A5546" t="s">
        <v>5552</v>
      </c>
      <c r="B5546">
        <v>5592</v>
      </c>
      <c r="C5546">
        <v>7891149102808</v>
      </c>
      <c r="D5546">
        <v>6.9</v>
      </c>
      <c r="E5546">
        <v>5.24</v>
      </c>
      <c r="F5546" s="3">
        <v>0.24079999999999999</v>
      </c>
      <c r="G5546">
        <v>5.2382999999999997</v>
      </c>
      <c r="H5546">
        <v>15.733000000000001</v>
      </c>
    </row>
    <row r="5547" spans="1:8" x14ac:dyDescent="0.25">
      <c r="A5547" t="s">
        <v>5553</v>
      </c>
      <c r="B5547">
        <v>5515</v>
      </c>
      <c r="C5547">
        <v>7891149440603</v>
      </c>
      <c r="D5547">
        <v>3.37</v>
      </c>
      <c r="E5547">
        <v>2.4900000000000002</v>
      </c>
      <c r="F5547" s="3">
        <v>0.2621</v>
      </c>
      <c r="G5547">
        <v>2.4895999999999998</v>
      </c>
      <c r="H5547">
        <v>4.9000000000000004</v>
      </c>
    </row>
    <row r="5548" spans="1:8" x14ac:dyDescent="0.25">
      <c r="A5548" t="s">
        <v>5554</v>
      </c>
      <c r="B5548">
        <v>5517</v>
      </c>
      <c r="C5548">
        <v>7891149441501</v>
      </c>
      <c r="D5548">
        <v>4.99</v>
      </c>
      <c r="E5548">
        <v>3.49</v>
      </c>
      <c r="F5548" s="3">
        <v>0.30070000000000002</v>
      </c>
      <c r="G5548">
        <v>3.4895999999999998</v>
      </c>
      <c r="H5548">
        <v>0.1</v>
      </c>
    </row>
    <row r="5549" spans="1:8" x14ac:dyDescent="0.25">
      <c r="A5549" t="s">
        <v>5555</v>
      </c>
      <c r="B5549">
        <v>67755</v>
      </c>
      <c r="C5549">
        <v>7898965052256</v>
      </c>
      <c r="D5549">
        <v>32.799999999999997</v>
      </c>
      <c r="E5549">
        <v>24.58</v>
      </c>
      <c r="F5549" s="3">
        <v>0.22719999999999999</v>
      </c>
      <c r="G5549">
        <v>22.3093</v>
      </c>
      <c r="H5549">
        <v>1</v>
      </c>
    </row>
    <row r="5550" spans="1:8" x14ac:dyDescent="0.25">
      <c r="A5550" t="s">
        <v>5556</v>
      </c>
      <c r="B5550">
        <v>15565</v>
      </c>
      <c r="C5550">
        <v>7896496972555</v>
      </c>
      <c r="D5550">
        <v>7.99</v>
      </c>
      <c r="E5550">
        <v>4.9000000000000004</v>
      </c>
      <c r="F5550" s="3">
        <v>0.37369999999999998</v>
      </c>
      <c r="G5550">
        <v>4.2652000000000001</v>
      </c>
      <c r="H5550">
        <v>1.5</v>
      </c>
    </row>
    <row r="5551" spans="1:8" x14ac:dyDescent="0.25">
      <c r="A5551" t="s">
        <v>5557</v>
      </c>
      <c r="B5551">
        <v>57798</v>
      </c>
      <c r="C5551">
        <v>7896496972609</v>
      </c>
      <c r="D5551">
        <v>7.99</v>
      </c>
      <c r="E5551">
        <v>4.76</v>
      </c>
      <c r="F5551" s="3">
        <v>0.36579999999999996</v>
      </c>
      <c r="G5551">
        <v>4.3281999999999998</v>
      </c>
      <c r="H5551">
        <v>0.63300000000000001</v>
      </c>
    </row>
    <row r="5552" spans="1:8" x14ac:dyDescent="0.25">
      <c r="A5552" t="s">
        <v>5558</v>
      </c>
      <c r="B5552">
        <v>15566</v>
      </c>
      <c r="C5552">
        <v>7896496972500</v>
      </c>
      <c r="D5552">
        <v>7.99</v>
      </c>
      <c r="E5552">
        <v>4.8099999999999996</v>
      </c>
      <c r="F5552" s="3">
        <v>0.28970000000000001</v>
      </c>
      <c r="G5552">
        <v>3.4977</v>
      </c>
      <c r="H5552">
        <v>0.9</v>
      </c>
    </row>
    <row r="5553" spans="1:8" x14ac:dyDescent="0.25">
      <c r="A5553" t="s">
        <v>5559</v>
      </c>
      <c r="B5553">
        <v>48247</v>
      </c>
      <c r="C5553">
        <v>7896496972623</v>
      </c>
      <c r="D5553">
        <v>7.99</v>
      </c>
      <c r="E5553">
        <v>5.15</v>
      </c>
      <c r="F5553" s="3">
        <v>0.31940000000000002</v>
      </c>
      <c r="G5553">
        <v>4.6986999999999997</v>
      </c>
      <c r="H5553">
        <v>1.0329999999999999</v>
      </c>
    </row>
    <row r="5554" spans="1:8" x14ac:dyDescent="0.25">
      <c r="A5554" t="s">
        <v>5560</v>
      </c>
      <c r="B5554">
        <v>37741</v>
      </c>
      <c r="C5554">
        <v>7896090700363</v>
      </c>
      <c r="D5554">
        <v>5.99</v>
      </c>
      <c r="E5554">
        <v>3.4</v>
      </c>
      <c r="F5554" s="3">
        <v>0.41840000000000005</v>
      </c>
      <c r="G5554">
        <v>3.484</v>
      </c>
      <c r="H5554">
        <v>2.5670000000000002</v>
      </c>
    </row>
    <row r="5555" spans="1:8" x14ac:dyDescent="0.25">
      <c r="A5555" t="s">
        <v>5561</v>
      </c>
      <c r="B5555">
        <v>37742</v>
      </c>
      <c r="C5555">
        <v>7896090700301</v>
      </c>
      <c r="D5555">
        <v>5.99</v>
      </c>
      <c r="E5555">
        <v>3.3</v>
      </c>
      <c r="F5555" s="3">
        <v>0.4415</v>
      </c>
      <c r="G5555">
        <v>3.3452000000000002</v>
      </c>
      <c r="H5555">
        <v>3.4670000000000001</v>
      </c>
    </row>
    <row r="5556" spans="1:8" x14ac:dyDescent="0.25">
      <c r="A5556" t="s">
        <v>5562</v>
      </c>
      <c r="B5556">
        <v>6929</v>
      </c>
      <c r="C5556">
        <v>7896090700455</v>
      </c>
      <c r="D5556">
        <v>5.99</v>
      </c>
      <c r="E5556">
        <v>3.4</v>
      </c>
      <c r="F5556" s="3">
        <v>0.42959999999999998</v>
      </c>
      <c r="G5556">
        <v>3.4167999999999998</v>
      </c>
      <c r="H5556">
        <v>6.2329999999999997</v>
      </c>
    </row>
    <row r="5557" spans="1:8" x14ac:dyDescent="0.25">
      <c r="A5557" t="s">
        <v>5563</v>
      </c>
      <c r="B5557">
        <v>63952</v>
      </c>
      <c r="C5557">
        <v>7896090706327</v>
      </c>
      <c r="D5557">
        <v>11.9</v>
      </c>
      <c r="E5557">
        <v>6.32</v>
      </c>
      <c r="F5557" s="3">
        <v>0.4254</v>
      </c>
      <c r="G5557">
        <v>5.7371999999999996</v>
      </c>
      <c r="H5557">
        <v>5.2670000000000003</v>
      </c>
    </row>
    <row r="5558" spans="1:8" x14ac:dyDescent="0.25">
      <c r="A5558" t="s">
        <v>5564</v>
      </c>
      <c r="B5558">
        <v>5077</v>
      </c>
      <c r="C5558">
        <v>7896090706365</v>
      </c>
      <c r="D5558">
        <v>24.9</v>
      </c>
      <c r="E5558">
        <v>15.25</v>
      </c>
      <c r="F5558" s="3">
        <v>0.29210000000000003</v>
      </c>
      <c r="G5558">
        <v>11.401999999999999</v>
      </c>
      <c r="H5558">
        <v>1.667</v>
      </c>
    </row>
    <row r="5559" spans="1:8" x14ac:dyDescent="0.25">
      <c r="A5559" t="s">
        <v>5565</v>
      </c>
      <c r="B5559">
        <v>5075</v>
      </c>
      <c r="C5559">
        <v>7896090706341</v>
      </c>
      <c r="D5559">
        <v>19.899999999999999</v>
      </c>
      <c r="E5559">
        <v>10.34</v>
      </c>
      <c r="F5559" s="3">
        <v>0.35899999999999999</v>
      </c>
      <c r="G5559">
        <v>7.78</v>
      </c>
      <c r="H5559">
        <v>5.0670000000000002</v>
      </c>
    </row>
    <row r="5560" spans="1:8" x14ac:dyDescent="0.25">
      <c r="A5560" t="s">
        <v>5566</v>
      </c>
      <c r="B5560">
        <v>5078</v>
      </c>
      <c r="C5560">
        <v>7896090706358</v>
      </c>
      <c r="D5560">
        <v>19.899999999999999</v>
      </c>
      <c r="E5560">
        <v>9.48</v>
      </c>
      <c r="F5560" s="3">
        <v>0.39179999999999998</v>
      </c>
      <c r="G5560">
        <v>7.1275000000000004</v>
      </c>
      <c r="H5560">
        <v>2.5670000000000002</v>
      </c>
    </row>
    <row r="5561" spans="1:8" x14ac:dyDescent="0.25">
      <c r="A5561" t="s">
        <v>5567</v>
      </c>
      <c r="B5561">
        <v>5319</v>
      </c>
      <c r="C5561">
        <v>7896090706297</v>
      </c>
      <c r="D5561">
        <v>42.9</v>
      </c>
      <c r="E5561">
        <v>26.95</v>
      </c>
      <c r="F5561" s="3">
        <v>0.28199999999999997</v>
      </c>
      <c r="G5561">
        <v>20.078099999999999</v>
      </c>
      <c r="H5561">
        <v>1.3</v>
      </c>
    </row>
    <row r="5562" spans="1:8" x14ac:dyDescent="0.25">
      <c r="A5562" t="s">
        <v>5568</v>
      </c>
      <c r="B5562">
        <v>5073</v>
      </c>
      <c r="C5562">
        <v>7896090706280</v>
      </c>
      <c r="D5562">
        <v>35.9</v>
      </c>
      <c r="E5562">
        <v>19.2</v>
      </c>
      <c r="F5562" s="3">
        <v>0.3417</v>
      </c>
      <c r="G5562">
        <v>14.6568</v>
      </c>
      <c r="H5562">
        <v>3</v>
      </c>
    </row>
    <row r="5563" spans="1:8" x14ac:dyDescent="0.25">
      <c r="A5563" t="s">
        <v>5569</v>
      </c>
      <c r="B5563">
        <v>5081</v>
      </c>
      <c r="C5563">
        <v>7896090706303</v>
      </c>
      <c r="D5563">
        <v>35.9</v>
      </c>
      <c r="E5563">
        <v>18.329999999999998</v>
      </c>
      <c r="F5563" s="3">
        <v>0.36229999999999996</v>
      </c>
      <c r="G5563">
        <v>13.918100000000001</v>
      </c>
      <c r="H5563">
        <v>1.667</v>
      </c>
    </row>
    <row r="5564" spans="1:8" x14ac:dyDescent="0.25">
      <c r="A5564" t="s">
        <v>5570</v>
      </c>
      <c r="B5564">
        <v>5082</v>
      </c>
      <c r="C5564">
        <v>7896090704019</v>
      </c>
      <c r="D5564">
        <v>26.9</v>
      </c>
      <c r="E5564">
        <v>16.05</v>
      </c>
      <c r="F5564" s="3">
        <v>0.29859999999999998</v>
      </c>
      <c r="G5564">
        <v>12.141500000000001</v>
      </c>
      <c r="H5564">
        <v>0.4</v>
      </c>
    </row>
    <row r="5565" spans="1:8" x14ac:dyDescent="0.25">
      <c r="A5565" t="s">
        <v>5571</v>
      </c>
      <c r="B5565">
        <v>5080</v>
      </c>
      <c r="C5565">
        <v>7896090704026</v>
      </c>
      <c r="D5565">
        <v>14.9</v>
      </c>
      <c r="E5565">
        <v>8.81</v>
      </c>
      <c r="F5565" s="3">
        <v>0.307</v>
      </c>
      <c r="G5565">
        <v>6.6002000000000001</v>
      </c>
      <c r="H5565">
        <v>0.16700000000000001</v>
      </c>
    </row>
    <row r="5566" spans="1:8" x14ac:dyDescent="0.25">
      <c r="A5566" t="s">
        <v>5572</v>
      </c>
      <c r="B5566">
        <v>66155</v>
      </c>
      <c r="C5566">
        <v>7891010913908</v>
      </c>
      <c r="D5566">
        <v>76.900000000000006</v>
      </c>
      <c r="E5566">
        <v>50.4</v>
      </c>
      <c r="F5566" s="3">
        <v>0.25069999999999998</v>
      </c>
      <c r="G5566">
        <v>36.662300000000002</v>
      </c>
      <c r="H5566">
        <v>0</v>
      </c>
    </row>
    <row r="5567" spans="1:8" x14ac:dyDescent="0.25">
      <c r="A5567" t="s">
        <v>5573</v>
      </c>
      <c r="B5567">
        <v>67908</v>
      </c>
      <c r="C5567">
        <v>7891035002830</v>
      </c>
      <c r="D5567">
        <v>21.9</v>
      </c>
      <c r="E5567">
        <v>13.21</v>
      </c>
      <c r="F5567" s="3">
        <v>0.28649999999999998</v>
      </c>
      <c r="G5567">
        <v>9.6569000000000003</v>
      </c>
      <c r="H5567">
        <v>1.867</v>
      </c>
    </row>
    <row r="5568" spans="1:8" x14ac:dyDescent="0.25">
      <c r="A5568" t="s">
        <v>5574</v>
      </c>
      <c r="B5568">
        <v>57627</v>
      </c>
      <c r="C5568">
        <v>7891035024252</v>
      </c>
      <c r="D5568">
        <v>37.9</v>
      </c>
      <c r="E5568">
        <v>24.33</v>
      </c>
      <c r="F5568" s="3">
        <v>0.26039999999999996</v>
      </c>
      <c r="G5568">
        <v>17.703099999999999</v>
      </c>
      <c r="H5568">
        <v>2.2330000000000001</v>
      </c>
    </row>
    <row r="5569" spans="1:8" x14ac:dyDescent="0.25">
      <c r="A5569" t="s">
        <v>5575</v>
      </c>
      <c r="B5569">
        <v>27924</v>
      </c>
      <c r="C5569">
        <v>7891035621109</v>
      </c>
      <c r="D5569">
        <v>15.9</v>
      </c>
      <c r="E5569">
        <v>10.14</v>
      </c>
      <c r="F5569" s="3">
        <v>0.26369999999999999</v>
      </c>
      <c r="G5569">
        <v>7.3738000000000001</v>
      </c>
      <c r="H5569">
        <v>0.13300000000000001</v>
      </c>
    </row>
    <row r="5570" spans="1:8" x14ac:dyDescent="0.25">
      <c r="A5570" t="s">
        <v>5576</v>
      </c>
      <c r="B5570">
        <v>57626</v>
      </c>
      <c r="C5570">
        <v>7891035911729</v>
      </c>
      <c r="D5570">
        <v>30.9</v>
      </c>
      <c r="E5570">
        <v>18.89</v>
      </c>
      <c r="F5570" s="3">
        <v>0.2828</v>
      </c>
      <c r="G5570">
        <v>13.742699999999999</v>
      </c>
      <c r="H5570">
        <v>0.2</v>
      </c>
    </row>
    <row r="5571" spans="1:8" x14ac:dyDescent="0.25">
      <c r="A5571" t="s">
        <v>5577</v>
      </c>
      <c r="B5571">
        <v>27927</v>
      </c>
      <c r="C5571">
        <v>7891035620003</v>
      </c>
      <c r="D5571">
        <v>33.9</v>
      </c>
      <c r="E5571">
        <v>22.12</v>
      </c>
      <c r="F5571" s="3">
        <v>0.25280000000000002</v>
      </c>
      <c r="G5571">
        <v>16.092500000000001</v>
      </c>
      <c r="H5571">
        <v>0.56699999999999995</v>
      </c>
    </row>
    <row r="5572" spans="1:8" x14ac:dyDescent="0.25">
      <c r="A5572" t="s">
        <v>5578</v>
      </c>
      <c r="B5572">
        <v>44784</v>
      </c>
      <c r="C5572">
        <v>7891035024214</v>
      </c>
      <c r="D5572">
        <v>23.15</v>
      </c>
      <c r="E5572">
        <v>14.56</v>
      </c>
      <c r="F5572" s="3">
        <v>0.27140000000000003</v>
      </c>
      <c r="G5572">
        <v>10.557700000000001</v>
      </c>
      <c r="H5572">
        <v>0.96699999999999997</v>
      </c>
    </row>
    <row r="5573" spans="1:8" x14ac:dyDescent="0.25">
      <c r="A5573" t="s">
        <v>5579</v>
      </c>
      <c r="B5573">
        <v>57628</v>
      </c>
      <c r="C5573">
        <v>78902312</v>
      </c>
      <c r="D5573">
        <v>23.9</v>
      </c>
      <c r="E5573">
        <v>14.8</v>
      </c>
      <c r="F5573" s="3">
        <v>0.27949999999999997</v>
      </c>
      <c r="G5573">
        <v>10.7065</v>
      </c>
      <c r="H5573">
        <v>0.96699999999999997</v>
      </c>
    </row>
    <row r="5574" spans="1:8" x14ac:dyDescent="0.25">
      <c r="A5574" t="s">
        <v>5580</v>
      </c>
      <c r="B5574">
        <v>38965</v>
      </c>
      <c r="C5574">
        <v>7891035618345</v>
      </c>
      <c r="D5574">
        <v>43.9</v>
      </c>
      <c r="E5574">
        <v>28.51</v>
      </c>
      <c r="F5574" s="3">
        <v>0.255</v>
      </c>
      <c r="G5574">
        <v>20.741599999999998</v>
      </c>
      <c r="H5574">
        <v>0.33300000000000002</v>
      </c>
    </row>
    <row r="5575" spans="1:8" x14ac:dyDescent="0.25">
      <c r="A5575" t="s">
        <v>5581</v>
      </c>
      <c r="B5575">
        <v>59281</v>
      </c>
      <c r="C5575">
        <v>7891035000898</v>
      </c>
      <c r="D5575">
        <v>42.9</v>
      </c>
      <c r="E5575">
        <v>27.17</v>
      </c>
      <c r="F5575" s="3">
        <v>0.26679999999999998</v>
      </c>
      <c r="G5575">
        <v>19.764099999999999</v>
      </c>
      <c r="H5575">
        <v>0.26700000000000002</v>
      </c>
    </row>
    <row r="5576" spans="1:8" x14ac:dyDescent="0.25">
      <c r="A5576" t="s">
        <v>5582</v>
      </c>
      <c r="B5576">
        <v>66322</v>
      </c>
      <c r="C5576">
        <v>4008100173606</v>
      </c>
      <c r="D5576">
        <v>32.9</v>
      </c>
      <c r="E5576">
        <v>22.79</v>
      </c>
      <c r="F5576" s="3">
        <v>0.27889999999999998</v>
      </c>
      <c r="G5576">
        <v>20.680499999999999</v>
      </c>
      <c r="H5576">
        <v>0</v>
      </c>
    </row>
    <row r="5577" spans="1:8" x14ac:dyDescent="0.25">
      <c r="A5577" t="s">
        <v>5583</v>
      </c>
      <c r="B5577">
        <v>18265</v>
      </c>
      <c r="C5577">
        <v>8001420007084</v>
      </c>
      <c r="D5577">
        <v>36.9</v>
      </c>
      <c r="E5577">
        <v>27.07</v>
      </c>
      <c r="F5577" s="3">
        <v>0.24170000000000003</v>
      </c>
      <c r="G5577">
        <v>24.569700000000001</v>
      </c>
      <c r="H5577">
        <v>3.3000000000000002E-2</v>
      </c>
    </row>
    <row r="5578" spans="1:8" x14ac:dyDescent="0.25">
      <c r="A5578" t="s">
        <v>5584</v>
      </c>
      <c r="B5578">
        <v>66130</v>
      </c>
      <c r="C5578">
        <v>7896001020283</v>
      </c>
      <c r="D5578">
        <v>25.9</v>
      </c>
      <c r="E5578">
        <v>16.260000000000002</v>
      </c>
      <c r="F5578" s="3">
        <v>0.2707</v>
      </c>
      <c r="G5578">
        <v>11.832100000000001</v>
      </c>
      <c r="H5578">
        <v>0.53300000000000003</v>
      </c>
    </row>
    <row r="5579" spans="1:8" x14ac:dyDescent="0.25">
      <c r="A5579" t="s">
        <v>5585</v>
      </c>
      <c r="B5579">
        <v>3776</v>
      </c>
      <c r="C5579">
        <v>7891055128503</v>
      </c>
      <c r="D5579">
        <v>35.9</v>
      </c>
      <c r="E5579">
        <v>23.68</v>
      </c>
      <c r="F5579" s="3">
        <v>0.2477</v>
      </c>
      <c r="G5579">
        <v>17.225000000000001</v>
      </c>
      <c r="H5579">
        <v>3.3000000000000002E-2</v>
      </c>
    </row>
    <row r="5580" spans="1:8" x14ac:dyDescent="0.25">
      <c r="A5580" t="s">
        <v>5586</v>
      </c>
      <c r="B5580">
        <v>3777</v>
      </c>
      <c r="C5580">
        <v>7891055128602</v>
      </c>
      <c r="D5580">
        <v>39.9</v>
      </c>
      <c r="E5580">
        <v>27</v>
      </c>
      <c r="F5580" s="3">
        <v>0.23519999999999999</v>
      </c>
      <c r="G5580">
        <v>19.640799999999999</v>
      </c>
      <c r="H5580">
        <v>0</v>
      </c>
    </row>
    <row r="5581" spans="1:8" x14ac:dyDescent="0.25">
      <c r="A5581" t="s">
        <v>5587</v>
      </c>
      <c r="B5581">
        <v>3771</v>
      </c>
      <c r="C5581">
        <v>7891055585801</v>
      </c>
      <c r="D5581">
        <v>20.9</v>
      </c>
      <c r="E5581">
        <v>12.7</v>
      </c>
      <c r="F5581" s="3">
        <v>0.28539999999999999</v>
      </c>
      <c r="G5581">
        <v>9.24</v>
      </c>
      <c r="H5581">
        <v>0.2</v>
      </c>
    </row>
    <row r="5582" spans="1:8" x14ac:dyDescent="0.25">
      <c r="A5582" t="s">
        <v>5588</v>
      </c>
      <c r="B5582">
        <v>3772</v>
      </c>
      <c r="C5582">
        <v>7891055112403</v>
      </c>
      <c r="D5582">
        <v>20.9</v>
      </c>
      <c r="E5582">
        <v>13.46</v>
      </c>
      <c r="F5582" s="3">
        <v>0.2591</v>
      </c>
      <c r="G5582">
        <v>9.7897999999999996</v>
      </c>
      <c r="H5582">
        <v>6.7000000000000004E-2</v>
      </c>
    </row>
    <row r="5583" spans="1:8" x14ac:dyDescent="0.25">
      <c r="A5583" t="s">
        <v>5589</v>
      </c>
      <c r="B5583">
        <v>3774</v>
      </c>
      <c r="C5583">
        <v>7891055112502</v>
      </c>
      <c r="D5583">
        <v>23.9</v>
      </c>
      <c r="E5583">
        <v>15.76</v>
      </c>
      <c r="F5583" s="3">
        <v>0.24780000000000002</v>
      </c>
      <c r="G5583">
        <v>11.4642</v>
      </c>
      <c r="H5583">
        <v>0.16700000000000001</v>
      </c>
    </row>
    <row r="5584" spans="1:8" x14ac:dyDescent="0.25">
      <c r="A5584" t="s">
        <v>5590</v>
      </c>
      <c r="B5584">
        <v>66129</v>
      </c>
      <c r="C5584">
        <v>7896001006225</v>
      </c>
      <c r="D5584">
        <v>17.899999999999999</v>
      </c>
      <c r="E5584">
        <v>10.15</v>
      </c>
      <c r="F5584" s="3">
        <v>0.31409999999999999</v>
      </c>
      <c r="G5584">
        <v>7.4002999999999997</v>
      </c>
      <c r="H5584">
        <v>0.46700000000000003</v>
      </c>
    </row>
    <row r="5585" spans="1:8" x14ac:dyDescent="0.25">
      <c r="A5585" t="s">
        <v>5591</v>
      </c>
      <c r="B5585">
        <v>66143</v>
      </c>
      <c r="C5585">
        <v>7896001001305</v>
      </c>
      <c r="D5585">
        <v>32.9</v>
      </c>
      <c r="E5585">
        <v>20.36</v>
      </c>
      <c r="F5585" s="3">
        <v>0.27739999999999998</v>
      </c>
      <c r="G5585">
        <v>14.8089</v>
      </c>
      <c r="H5585">
        <v>1.167</v>
      </c>
    </row>
    <row r="5586" spans="1:8" x14ac:dyDescent="0.25">
      <c r="A5586" t="s">
        <v>5592</v>
      </c>
      <c r="B5586">
        <v>66126</v>
      </c>
      <c r="C5586">
        <v>7896001012318</v>
      </c>
      <c r="D5586">
        <v>24.9</v>
      </c>
      <c r="E5586">
        <v>13.75</v>
      </c>
      <c r="F5586" s="3">
        <v>0.33439999999999998</v>
      </c>
      <c r="G5586">
        <v>9.7885000000000009</v>
      </c>
      <c r="H5586">
        <v>0.8</v>
      </c>
    </row>
    <row r="5587" spans="1:8" x14ac:dyDescent="0.25">
      <c r="A5587" t="s">
        <v>5593</v>
      </c>
      <c r="B5587">
        <v>66125</v>
      </c>
      <c r="C5587">
        <v>7896001012219</v>
      </c>
      <c r="D5587">
        <v>22.9</v>
      </c>
      <c r="E5587">
        <v>13.41</v>
      </c>
      <c r="F5587" s="3">
        <v>0.30059999999999998</v>
      </c>
      <c r="G5587">
        <v>9.7771000000000008</v>
      </c>
      <c r="H5587">
        <v>1.0329999999999999</v>
      </c>
    </row>
    <row r="5588" spans="1:8" x14ac:dyDescent="0.25">
      <c r="A5588" t="s">
        <v>5594</v>
      </c>
      <c r="B5588">
        <v>69224</v>
      </c>
      <c r="C5588">
        <v>7898015780788</v>
      </c>
      <c r="D5588">
        <v>29.9</v>
      </c>
      <c r="E5588">
        <v>20.47</v>
      </c>
      <c r="F5588" s="3">
        <v>0.28620000000000001</v>
      </c>
      <c r="G5588">
        <v>18.575500000000002</v>
      </c>
      <c r="H5588">
        <v>0.16700000000000001</v>
      </c>
    </row>
    <row r="5589" spans="1:8" x14ac:dyDescent="0.25">
      <c r="A5589" t="s">
        <v>5595</v>
      </c>
      <c r="B5589">
        <v>69226</v>
      </c>
      <c r="C5589">
        <v>7898015780795</v>
      </c>
      <c r="D5589">
        <v>26.9</v>
      </c>
      <c r="E5589">
        <v>17.68</v>
      </c>
      <c r="F5589" s="3">
        <v>0.31109999999999999</v>
      </c>
      <c r="G5589">
        <v>16.043500000000002</v>
      </c>
      <c r="H5589">
        <v>0.2</v>
      </c>
    </row>
    <row r="5590" spans="1:8" x14ac:dyDescent="0.25">
      <c r="A5590" t="s">
        <v>5596</v>
      </c>
      <c r="B5590">
        <v>69225</v>
      </c>
      <c r="C5590">
        <v>7898015780740</v>
      </c>
      <c r="D5590">
        <v>24.9</v>
      </c>
      <c r="E5590">
        <v>15.78</v>
      </c>
      <c r="F5590" s="3">
        <v>0.33240000000000003</v>
      </c>
      <c r="G5590">
        <v>14.321</v>
      </c>
      <c r="H5590">
        <v>0.36699999999999999</v>
      </c>
    </row>
    <row r="5591" spans="1:8" x14ac:dyDescent="0.25">
      <c r="A5591" t="s">
        <v>5597</v>
      </c>
      <c r="B5591">
        <v>66152</v>
      </c>
      <c r="C5591">
        <v>7896001002012</v>
      </c>
      <c r="D5591">
        <v>11.9</v>
      </c>
      <c r="E5591">
        <v>7.29</v>
      </c>
      <c r="F5591" s="3">
        <v>0.28859999999999997</v>
      </c>
      <c r="G5591">
        <v>5.2225000000000001</v>
      </c>
      <c r="H5591">
        <v>1.6</v>
      </c>
    </row>
    <row r="5592" spans="1:8" x14ac:dyDescent="0.25">
      <c r="A5592" t="s">
        <v>5598</v>
      </c>
      <c r="B5592">
        <v>4079</v>
      </c>
      <c r="C5592">
        <v>7896283000478</v>
      </c>
      <c r="D5592">
        <v>9.9</v>
      </c>
      <c r="E5592">
        <v>6.04</v>
      </c>
      <c r="F5592" s="3">
        <v>0.32789999999999997</v>
      </c>
      <c r="G5592">
        <v>5.0449000000000002</v>
      </c>
      <c r="H5592">
        <v>0.63300000000000001</v>
      </c>
    </row>
    <row r="5593" spans="1:8" x14ac:dyDescent="0.25">
      <c r="A5593" t="s">
        <v>5599</v>
      </c>
      <c r="B5593">
        <v>4080</v>
      </c>
      <c r="C5593">
        <v>7896283000874</v>
      </c>
      <c r="D5593">
        <v>9.9</v>
      </c>
      <c r="E5593">
        <v>5.58</v>
      </c>
      <c r="F5593" s="3">
        <v>0.36579999999999996</v>
      </c>
      <c r="G5593">
        <v>4.6699000000000002</v>
      </c>
      <c r="H5593">
        <v>1.4670000000000001</v>
      </c>
    </row>
    <row r="5594" spans="1:8" x14ac:dyDescent="0.25">
      <c r="A5594" t="s">
        <v>5600</v>
      </c>
      <c r="B5594">
        <v>11112</v>
      </c>
      <c r="C5594">
        <v>7896283001581</v>
      </c>
      <c r="D5594">
        <v>9.9</v>
      </c>
      <c r="E5594">
        <v>5.81</v>
      </c>
      <c r="F5594" s="3">
        <v>0.34970000000000001</v>
      </c>
      <c r="G5594">
        <v>4.8296000000000001</v>
      </c>
      <c r="H5594">
        <v>1.1000000000000001</v>
      </c>
    </row>
    <row r="5595" spans="1:8" x14ac:dyDescent="0.25">
      <c r="A5595" t="s">
        <v>5601</v>
      </c>
      <c r="B5595">
        <v>4097</v>
      </c>
      <c r="C5595">
        <v>7891203021168</v>
      </c>
      <c r="D5595">
        <v>11.9</v>
      </c>
      <c r="E5595">
        <v>8.7100000000000009</v>
      </c>
      <c r="F5595" s="3">
        <v>0.24309999999999998</v>
      </c>
      <c r="G5595">
        <v>7.9066000000000001</v>
      </c>
      <c r="H5595">
        <v>8.2330000000000005</v>
      </c>
    </row>
    <row r="5596" spans="1:8" x14ac:dyDescent="0.25">
      <c r="A5596" t="s">
        <v>5602</v>
      </c>
      <c r="B5596">
        <v>4098</v>
      </c>
      <c r="C5596">
        <v>7891203021106</v>
      </c>
      <c r="D5596">
        <v>9.9</v>
      </c>
      <c r="E5596">
        <v>6.12</v>
      </c>
      <c r="F5596" s="3">
        <v>0.32</v>
      </c>
      <c r="G5596">
        <v>5.1230000000000002</v>
      </c>
      <c r="H5596">
        <v>22.667000000000002</v>
      </c>
    </row>
    <row r="5597" spans="1:8" x14ac:dyDescent="0.25">
      <c r="A5597" t="s">
        <v>5603</v>
      </c>
      <c r="B5597">
        <v>4099</v>
      </c>
      <c r="C5597">
        <v>7891203021151</v>
      </c>
      <c r="D5597">
        <v>13.9</v>
      </c>
      <c r="E5597">
        <v>10.119999999999999</v>
      </c>
      <c r="F5597" s="3">
        <v>0.24679999999999999</v>
      </c>
      <c r="G5597">
        <v>9.1838999999999995</v>
      </c>
      <c r="H5597">
        <v>7.6669999999999998</v>
      </c>
    </row>
    <row r="5598" spans="1:8" x14ac:dyDescent="0.25">
      <c r="A5598" t="s">
        <v>5604</v>
      </c>
      <c r="B5598">
        <v>4100</v>
      </c>
      <c r="C5598">
        <v>7891203050663</v>
      </c>
      <c r="D5598">
        <v>10.9</v>
      </c>
      <c r="E5598">
        <v>7.23</v>
      </c>
      <c r="F5598" s="3">
        <v>0.28170000000000001</v>
      </c>
      <c r="G5598">
        <v>6.0578000000000003</v>
      </c>
      <c r="H5598">
        <v>6.2670000000000003</v>
      </c>
    </row>
    <row r="5599" spans="1:8" x14ac:dyDescent="0.25">
      <c r="A5599" t="s">
        <v>5605</v>
      </c>
      <c r="B5599">
        <v>4101</v>
      </c>
      <c r="C5599">
        <v>7891203021205</v>
      </c>
      <c r="D5599">
        <v>10.9</v>
      </c>
      <c r="E5599">
        <v>6.78</v>
      </c>
      <c r="F5599" s="3">
        <v>0.31640000000000001</v>
      </c>
      <c r="G5599">
        <v>5.6795999999999998</v>
      </c>
      <c r="H5599">
        <v>7.5330000000000004</v>
      </c>
    </row>
    <row r="5600" spans="1:8" x14ac:dyDescent="0.25">
      <c r="A5600" t="s">
        <v>5606</v>
      </c>
      <c r="B5600">
        <v>7500</v>
      </c>
      <c r="C5600">
        <v>7897327900532</v>
      </c>
      <c r="D5600">
        <v>11.9</v>
      </c>
      <c r="E5600">
        <v>7.79</v>
      </c>
      <c r="F5600" s="3">
        <v>0.31340000000000001</v>
      </c>
      <c r="G5600">
        <v>7.0702999999999996</v>
      </c>
      <c r="H5600">
        <v>1.333</v>
      </c>
    </row>
    <row r="5601" spans="1:8" x14ac:dyDescent="0.25">
      <c r="A5601" t="s">
        <v>5607</v>
      </c>
      <c r="B5601">
        <v>7600</v>
      </c>
      <c r="C5601">
        <v>7897327900556</v>
      </c>
      <c r="D5601">
        <v>11.9</v>
      </c>
      <c r="E5601">
        <v>7.78</v>
      </c>
      <c r="F5601" s="3">
        <v>0.31489999999999996</v>
      </c>
      <c r="G5601">
        <v>7.0523999999999996</v>
      </c>
      <c r="H5601">
        <v>0.9</v>
      </c>
    </row>
    <row r="5602" spans="1:8" x14ac:dyDescent="0.25">
      <c r="A5602" t="s">
        <v>5608</v>
      </c>
      <c r="B5602">
        <v>7601</v>
      </c>
      <c r="C5602">
        <v>7897327900549</v>
      </c>
      <c r="D5602">
        <v>11.9</v>
      </c>
      <c r="E5602">
        <v>7.79</v>
      </c>
      <c r="F5602" s="3">
        <v>0.3135</v>
      </c>
      <c r="G5602">
        <v>7.0688000000000004</v>
      </c>
      <c r="H5602">
        <v>1</v>
      </c>
    </row>
    <row r="5603" spans="1:8" x14ac:dyDescent="0.25">
      <c r="A5603" t="s">
        <v>5609</v>
      </c>
      <c r="B5603">
        <v>62771</v>
      </c>
      <c r="C5603">
        <v>7897327900044</v>
      </c>
      <c r="D5603">
        <v>19.899999999999999</v>
      </c>
      <c r="E5603">
        <v>13.88</v>
      </c>
      <c r="F5603" s="3">
        <v>0.27410000000000001</v>
      </c>
      <c r="G5603">
        <v>12.6044</v>
      </c>
      <c r="H5603">
        <v>0.53300000000000003</v>
      </c>
    </row>
    <row r="5604" spans="1:8" x14ac:dyDescent="0.25">
      <c r="A5604" t="s">
        <v>5610</v>
      </c>
      <c r="B5604">
        <v>62768</v>
      </c>
      <c r="C5604">
        <v>7897327900013</v>
      </c>
      <c r="D5604">
        <v>20.9</v>
      </c>
      <c r="E5604">
        <v>13.96</v>
      </c>
      <c r="F5604" s="3">
        <v>0.3009</v>
      </c>
      <c r="G5604">
        <v>12.6785</v>
      </c>
      <c r="H5604">
        <v>0.76700000000000002</v>
      </c>
    </row>
    <row r="5605" spans="1:8" x14ac:dyDescent="0.25">
      <c r="A5605" t="s">
        <v>5611</v>
      </c>
      <c r="B5605">
        <v>62770</v>
      </c>
      <c r="C5605">
        <v>7897327901256</v>
      </c>
      <c r="D5605">
        <v>20.9</v>
      </c>
      <c r="E5605">
        <v>13.99</v>
      </c>
      <c r="F5605" s="3">
        <v>0.30020000000000002</v>
      </c>
      <c r="G5605">
        <v>12.6936</v>
      </c>
      <c r="H5605">
        <v>0.26700000000000002</v>
      </c>
    </row>
    <row r="5606" spans="1:8" x14ac:dyDescent="0.25">
      <c r="A5606" t="s">
        <v>5612</v>
      </c>
      <c r="B5606">
        <v>62769</v>
      </c>
      <c r="C5606">
        <v>7897327900037</v>
      </c>
      <c r="D5606">
        <v>20.9</v>
      </c>
      <c r="E5606">
        <v>13.99</v>
      </c>
      <c r="F5606" s="3">
        <v>0.30010000000000003</v>
      </c>
      <c r="G5606">
        <v>12.6942</v>
      </c>
      <c r="H5606">
        <v>0.23300000000000001</v>
      </c>
    </row>
    <row r="5607" spans="1:8" x14ac:dyDescent="0.25">
      <c r="A5607" t="s">
        <v>5613</v>
      </c>
      <c r="B5607">
        <v>65513</v>
      </c>
      <c r="C5607">
        <v>8008698014851</v>
      </c>
      <c r="D5607">
        <v>26.9</v>
      </c>
      <c r="E5607">
        <v>18.39</v>
      </c>
      <c r="F5607" s="3">
        <v>0.2823</v>
      </c>
      <c r="G5607">
        <v>16.816700000000001</v>
      </c>
      <c r="H5607">
        <v>0.4</v>
      </c>
    </row>
    <row r="5608" spans="1:8" x14ac:dyDescent="0.25">
      <c r="A5608" t="s">
        <v>5614</v>
      </c>
      <c r="B5608">
        <v>8362</v>
      </c>
      <c r="C5608">
        <v>7898115900512</v>
      </c>
      <c r="D5608">
        <v>4.79</v>
      </c>
      <c r="E5608">
        <v>3.03</v>
      </c>
      <c r="F5608" s="3">
        <v>0.33229999999999998</v>
      </c>
      <c r="G5608">
        <v>2.7553000000000001</v>
      </c>
      <c r="H5608">
        <v>3.4670000000000001</v>
      </c>
    </row>
    <row r="5609" spans="1:8" x14ac:dyDescent="0.25">
      <c r="A5609" t="s">
        <v>5615</v>
      </c>
      <c r="B5609">
        <v>20810</v>
      </c>
      <c r="C5609">
        <v>7898115900505</v>
      </c>
      <c r="D5609">
        <v>4.79</v>
      </c>
      <c r="E5609">
        <v>3.04</v>
      </c>
      <c r="F5609" s="3">
        <v>0.3322</v>
      </c>
      <c r="G5609">
        <v>2.7557</v>
      </c>
      <c r="H5609">
        <v>3.6669999999999998</v>
      </c>
    </row>
    <row r="5610" spans="1:8" x14ac:dyDescent="0.25">
      <c r="A5610" t="s">
        <v>5616</v>
      </c>
      <c r="B5610">
        <v>52124</v>
      </c>
      <c r="C5610">
        <v>7896007547210</v>
      </c>
      <c r="D5610">
        <v>86.9</v>
      </c>
      <c r="E5610">
        <v>54.94</v>
      </c>
      <c r="F5610" s="3">
        <v>0.33380000000000004</v>
      </c>
      <c r="G5610">
        <v>49.854999999999997</v>
      </c>
      <c r="H5610">
        <v>0.26700000000000002</v>
      </c>
    </row>
    <row r="5611" spans="1:8" x14ac:dyDescent="0.25">
      <c r="A5611" t="s">
        <v>5617</v>
      </c>
      <c r="B5611">
        <v>59760</v>
      </c>
      <c r="C5611">
        <v>7896007547203</v>
      </c>
      <c r="D5611">
        <v>86.9</v>
      </c>
      <c r="E5611">
        <v>61.74</v>
      </c>
      <c r="F5611" s="3">
        <v>0.26269999999999999</v>
      </c>
      <c r="G5611">
        <v>56.0321</v>
      </c>
      <c r="H5611">
        <v>0</v>
      </c>
    </row>
    <row r="5612" spans="1:8" x14ac:dyDescent="0.25">
      <c r="A5612" t="s">
        <v>5618</v>
      </c>
      <c r="B5612">
        <v>67766</v>
      </c>
      <c r="C5612">
        <v>7896098908136</v>
      </c>
      <c r="D5612">
        <v>3.9</v>
      </c>
      <c r="E5612">
        <v>2.2799999999999998</v>
      </c>
      <c r="F5612" s="3">
        <v>0.41470000000000001</v>
      </c>
      <c r="G5612">
        <v>2.2827000000000002</v>
      </c>
      <c r="H5612">
        <v>0.3</v>
      </c>
    </row>
    <row r="5613" spans="1:8" x14ac:dyDescent="0.25">
      <c r="A5613" t="s">
        <v>5619</v>
      </c>
      <c r="B5613">
        <v>57188</v>
      </c>
      <c r="C5613">
        <v>7896098909652</v>
      </c>
      <c r="D5613">
        <v>3.9</v>
      </c>
      <c r="E5613">
        <v>2.19</v>
      </c>
      <c r="F5613" s="3">
        <v>0.4385</v>
      </c>
      <c r="G5613">
        <v>2.1898</v>
      </c>
      <c r="H5613">
        <v>0.13300000000000001</v>
      </c>
    </row>
    <row r="5614" spans="1:8" x14ac:dyDescent="0.25">
      <c r="A5614" t="s">
        <v>5620</v>
      </c>
      <c r="B5614">
        <v>62358</v>
      </c>
      <c r="C5614">
        <v>67238891190</v>
      </c>
      <c r="D5614">
        <v>8.9</v>
      </c>
      <c r="E5614">
        <v>5.48</v>
      </c>
      <c r="F5614" s="3">
        <v>0.3846</v>
      </c>
      <c r="G5614">
        <v>5.4774000000000003</v>
      </c>
      <c r="H5614">
        <v>0</v>
      </c>
    </row>
    <row r="5615" spans="1:8" x14ac:dyDescent="0.25">
      <c r="A5615" t="s">
        <v>5621</v>
      </c>
      <c r="B5615">
        <v>62357</v>
      </c>
      <c r="C5615">
        <v>7891150086159</v>
      </c>
      <c r="D5615">
        <v>8.9</v>
      </c>
      <c r="E5615">
        <v>5.6</v>
      </c>
      <c r="F5615" s="3">
        <v>0.36990000000000001</v>
      </c>
      <c r="G5615">
        <v>5.6082999999999998</v>
      </c>
      <c r="H5615">
        <v>0.16700000000000001</v>
      </c>
    </row>
    <row r="5616" spans="1:8" x14ac:dyDescent="0.25">
      <c r="A5616" t="s">
        <v>5622</v>
      </c>
      <c r="B5616">
        <v>57343</v>
      </c>
      <c r="C5616">
        <v>7891150075382</v>
      </c>
      <c r="D5616">
        <v>5.2</v>
      </c>
      <c r="E5616">
        <v>3.82</v>
      </c>
      <c r="F5616" s="3">
        <v>0.27829999999999999</v>
      </c>
      <c r="G5616">
        <v>3.7526000000000002</v>
      </c>
      <c r="H5616">
        <v>2.867</v>
      </c>
    </row>
    <row r="5617" spans="1:8" x14ac:dyDescent="0.25">
      <c r="A5617" t="s">
        <v>5623</v>
      </c>
      <c r="B5617">
        <v>66909</v>
      </c>
      <c r="C5617">
        <v>7891150076051</v>
      </c>
      <c r="D5617">
        <v>23.94</v>
      </c>
      <c r="E5617">
        <v>21.36</v>
      </c>
      <c r="F5617" s="3">
        <v>0.1094</v>
      </c>
      <c r="G5617">
        <v>21.3201</v>
      </c>
      <c r="H5617">
        <v>2.7330000000000001</v>
      </c>
    </row>
    <row r="5618" spans="1:8" x14ac:dyDescent="0.25">
      <c r="A5618" t="s">
        <v>5624</v>
      </c>
      <c r="B5618">
        <v>62573</v>
      </c>
      <c r="C5618">
        <v>7891150088474</v>
      </c>
      <c r="D5618">
        <v>23.94</v>
      </c>
      <c r="E5618">
        <v>19.649999999999999</v>
      </c>
      <c r="F5618" s="3">
        <v>0.17309999999999998</v>
      </c>
      <c r="G5618">
        <v>19.7971</v>
      </c>
      <c r="H5618">
        <v>5.3</v>
      </c>
    </row>
    <row r="5619" spans="1:8" x14ac:dyDescent="0.25">
      <c r="A5619" t="s">
        <v>5625</v>
      </c>
      <c r="B5619">
        <v>9551</v>
      </c>
      <c r="C5619">
        <v>7891150044654</v>
      </c>
      <c r="D5619">
        <v>23.94</v>
      </c>
      <c r="E5619">
        <v>21.2</v>
      </c>
      <c r="F5619" s="3">
        <v>0.1038</v>
      </c>
      <c r="G5619">
        <v>21.455100000000002</v>
      </c>
      <c r="H5619">
        <v>6.3</v>
      </c>
    </row>
    <row r="5620" spans="1:8" x14ac:dyDescent="0.25">
      <c r="A5620" t="s">
        <v>5626</v>
      </c>
      <c r="B5620">
        <v>9066</v>
      </c>
      <c r="C5620">
        <v>7891150044616</v>
      </c>
      <c r="D5620">
        <v>23.94</v>
      </c>
      <c r="E5620">
        <v>20.48</v>
      </c>
      <c r="F5620" s="3">
        <v>0.12770000000000001</v>
      </c>
      <c r="G5620">
        <v>20.883900000000001</v>
      </c>
      <c r="H5620">
        <v>18.733000000000001</v>
      </c>
    </row>
    <row r="5621" spans="1:8" x14ac:dyDescent="0.25">
      <c r="A5621" t="s">
        <v>5627</v>
      </c>
      <c r="B5621">
        <v>66931</v>
      </c>
      <c r="C5621">
        <v>7891150095632</v>
      </c>
      <c r="D5621">
        <v>23.94</v>
      </c>
      <c r="E5621">
        <v>21.68</v>
      </c>
      <c r="F5621" s="3">
        <v>9.4499999999999987E-2</v>
      </c>
      <c r="G5621">
        <v>21.6767</v>
      </c>
      <c r="H5621">
        <v>3.1669999999999998</v>
      </c>
    </row>
    <row r="5622" spans="1:8" x14ac:dyDescent="0.25">
      <c r="A5622" t="s">
        <v>5628</v>
      </c>
      <c r="B5622">
        <v>62359</v>
      </c>
      <c r="C5622">
        <v>7891150088238</v>
      </c>
      <c r="D5622">
        <v>5.2</v>
      </c>
      <c r="E5622">
        <v>4.2</v>
      </c>
      <c r="F5622" s="3">
        <v>0.1772</v>
      </c>
      <c r="G5622">
        <v>4.2788000000000004</v>
      </c>
      <c r="H5622">
        <v>6.133</v>
      </c>
    </row>
    <row r="5623" spans="1:8" x14ac:dyDescent="0.25">
      <c r="A5623" t="s">
        <v>5629</v>
      </c>
      <c r="B5623">
        <v>6879</v>
      </c>
      <c r="C5623">
        <v>7898422746827</v>
      </c>
      <c r="D5623">
        <v>5.2</v>
      </c>
      <c r="E5623">
        <v>4.33</v>
      </c>
      <c r="F5623" s="3">
        <v>0.14499999999999999</v>
      </c>
      <c r="G5623">
        <v>4.4458000000000002</v>
      </c>
      <c r="H5623">
        <v>5.7670000000000003</v>
      </c>
    </row>
    <row r="5624" spans="1:8" x14ac:dyDescent="0.25">
      <c r="A5624" t="s">
        <v>5630</v>
      </c>
      <c r="B5624">
        <v>6882</v>
      </c>
      <c r="C5624">
        <v>7891150019560</v>
      </c>
      <c r="D5624">
        <v>5.2</v>
      </c>
      <c r="E5624">
        <v>3.91</v>
      </c>
      <c r="F5624" s="3">
        <v>0.25579999999999997</v>
      </c>
      <c r="G5624">
        <v>3.8700999999999999</v>
      </c>
      <c r="H5624">
        <v>2.9329999999999998</v>
      </c>
    </row>
    <row r="5625" spans="1:8" x14ac:dyDescent="0.25">
      <c r="A5625" t="s">
        <v>5631</v>
      </c>
      <c r="B5625">
        <v>17531</v>
      </c>
      <c r="C5625">
        <v>7891150034075</v>
      </c>
      <c r="D5625">
        <v>5.2</v>
      </c>
      <c r="E5625">
        <v>4.0199999999999996</v>
      </c>
      <c r="F5625" s="3">
        <v>0.2281</v>
      </c>
      <c r="G5625">
        <v>4.0140000000000002</v>
      </c>
      <c r="H5625">
        <v>6.2670000000000003</v>
      </c>
    </row>
    <row r="5626" spans="1:8" x14ac:dyDescent="0.25">
      <c r="A5626" t="s">
        <v>5632</v>
      </c>
      <c r="B5626">
        <v>51114</v>
      </c>
      <c r="C5626">
        <v>7891150057470</v>
      </c>
      <c r="D5626">
        <v>5.2</v>
      </c>
      <c r="E5626">
        <v>4.03</v>
      </c>
      <c r="F5626" s="3">
        <v>0.22570000000000001</v>
      </c>
      <c r="G5626">
        <v>4.0265000000000004</v>
      </c>
      <c r="H5626">
        <v>2.8</v>
      </c>
    </row>
    <row r="5627" spans="1:8" x14ac:dyDescent="0.25">
      <c r="A5627" t="s">
        <v>5633</v>
      </c>
      <c r="B5627">
        <v>6876</v>
      </c>
      <c r="C5627">
        <v>7898422746759</v>
      </c>
      <c r="D5627">
        <v>5.2</v>
      </c>
      <c r="E5627">
        <v>4.1100000000000003</v>
      </c>
      <c r="F5627" s="3">
        <v>0.20079999999999998</v>
      </c>
      <c r="G5627">
        <v>4.1558000000000002</v>
      </c>
      <c r="H5627">
        <v>32.067</v>
      </c>
    </row>
    <row r="5628" spans="1:8" x14ac:dyDescent="0.25">
      <c r="A5628" t="s">
        <v>5634</v>
      </c>
      <c r="B5628">
        <v>66930</v>
      </c>
      <c r="C5628">
        <v>7891150095618</v>
      </c>
      <c r="D5628">
        <v>5.2</v>
      </c>
      <c r="E5628">
        <v>4.01</v>
      </c>
      <c r="F5628" s="3">
        <v>0.2281</v>
      </c>
      <c r="G5628">
        <v>4.0137</v>
      </c>
      <c r="H5628">
        <v>2.5329999999999999</v>
      </c>
    </row>
    <row r="5629" spans="1:8" x14ac:dyDescent="0.25">
      <c r="A5629" t="s">
        <v>5635</v>
      </c>
      <c r="B5629">
        <v>38603</v>
      </c>
      <c r="C5629">
        <v>7891150043923</v>
      </c>
      <c r="D5629">
        <v>5.2</v>
      </c>
      <c r="E5629">
        <v>4.0199999999999996</v>
      </c>
      <c r="F5629" s="3">
        <v>0.22829999999999998</v>
      </c>
      <c r="G5629">
        <v>4.0129999999999999</v>
      </c>
      <c r="H5629">
        <v>6.7329999999999997</v>
      </c>
    </row>
    <row r="5630" spans="1:8" x14ac:dyDescent="0.25">
      <c r="A5630" t="s">
        <v>5636</v>
      </c>
      <c r="B5630">
        <v>55504</v>
      </c>
      <c r="C5630">
        <v>7891150065321</v>
      </c>
      <c r="D5630">
        <v>5.9</v>
      </c>
      <c r="E5630">
        <v>4.09</v>
      </c>
      <c r="F5630" s="3">
        <v>0.30620000000000003</v>
      </c>
      <c r="G5630">
        <v>4.0933999999999999</v>
      </c>
      <c r="H5630">
        <v>1.0669999999999999</v>
      </c>
    </row>
    <row r="5631" spans="1:8" x14ac:dyDescent="0.25">
      <c r="A5631" t="s">
        <v>5637</v>
      </c>
      <c r="B5631">
        <v>24693</v>
      </c>
      <c r="C5631">
        <v>7891150026025</v>
      </c>
      <c r="D5631">
        <v>5.9</v>
      </c>
      <c r="E5631">
        <v>4.18</v>
      </c>
      <c r="F5631" s="3">
        <v>0.29039999999999999</v>
      </c>
      <c r="G5631">
        <v>4.1866000000000003</v>
      </c>
      <c r="H5631">
        <v>3.5670000000000002</v>
      </c>
    </row>
    <row r="5632" spans="1:8" x14ac:dyDescent="0.25">
      <c r="A5632" t="s">
        <v>5638</v>
      </c>
      <c r="B5632">
        <v>68112</v>
      </c>
      <c r="C5632">
        <v>7891150099944</v>
      </c>
      <c r="D5632">
        <v>5.2</v>
      </c>
      <c r="E5632">
        <v>4.01</v>
      </c>
      <c r="F5632" s="3">
        <v>0.2281</v>
      </c>
      <c r="G5632">
        <v>4.0137</v>
      </c>
      <c r="H5632">
        <v>3.4</v>
      </c>
    </row>
    <row r="5633" spans="1:8" x14ac:dyDescent="0.25">
      <c r="A5633" t="s">
        <v>5639</v>
      </c>
      <c r="B5633">
        <v>68111</v>
      </c>
      <c r="C5633">
        <v>7891150099951</v>
      </c>
      <c r="D5633">
        <v>5.2</v>
      </c>
      <c r="E5633">
        <v>4.01</v>
      </c>
      <c r="F5633" s="3">
        <v>0.22820000000000001</v>
      </c>
      <c r="G5633">
        <v>4.0134999999999996</v>
      </c>
      <c r="H5633">
        <v>2.9670000000000001</v>
      </c>
    </row>
    <row r="5634" spans="1:8" x14ac:dyDescent="0.25">
      <c r="A5634" t="s">
        <v>5640</v>
      </c>
      <c r="B5634">
        <v>66277</v>
      </c>
      <c r="C5634">
        <v>7891010009250</v>
      </c>
      <c r="D5634">
        <v>43.9</v>
      </c>
      <c r="E5634">
        <v>28.57</v>
      </c>
      <c r="F5634" s="3">
        <v>0.31609999999999999</v>
      </c>
      <c r="G5634">
        <v>25.9605</v>
      </c>
      <c r="H5634">
        <v>0.13300000000000001</v>
      </c>
    </row>
    <row r="5635" spans="1:8" x14ac:dyDescent="0.25">
      <c r="A5635" t="s">
        <v>5641</v>
      </c>
      <c r="B5635">
        <v>66278</v>
      </c>
      <c r="C5635">
        <v>7891010245214</v>
      </c>
      <c r="D5635">
        <v>59.9</v>
      </c>
      <c r="E5635">
        <v>37.1</v>
      </c>
      <c r="F5635" s="3">
        <v>0.34549999999999997</v>
      </c>
      <c r="G5635">
        <v>33.664999999999999</v>
      </c>
      <c r="H5635">
        <v>0.13300000000000001</v>
      </c>
    </row>
    <row r="5636" spans="1:8" x14ac:dyDescent="0.25">
      <c r="A5636" t="s">
        <v>5642</v>
      </c>
      <c r="B5636">
        <v>63770</v>
      </c>
      <c r="C5636">
        <v>4005808189625</v>
      </c>
      <c r="D5636">
        <v>34.9</v>
      </c>
      <c r="E5636">
        <v>22.96</v>
      </c>
      <c r="F5636" s="3">
        <v>0.3105</v>
      </c>
      <c r="G5636">
        <v>20.835799999999999</v>
      </c>
      <c r="H5636">
        <v>0.33300000000000002</v>
      </c>
    </row>
    <row r="5637" spans="1:8" x14ac:dyDescent="0.25">
      <c r="A5637" t="s">
        <v>5643</v>
      </c>
      <c r="B5637">
        <v>63771</v>
      </c>
      <c r="C5637">
        <v>4005900602220</v>
      </c>
      <c r="D5637">
        <v>39.9</v>
      </c>
      <c r="E5637">
        <v>25.32</v>
      </c>
      <c r="F5637" s="3">
        <v>0.31670000000000004</v>
      </c>
      <c r="G5637">
        <v>23.5747</v>
      </c>
      <c r="H5637">
        <v>0.2</v>
      </c>
    </row>
    <row r="5638" spans="1:8" x14ac:dyDescent="0.25">
      <c r="A5638" t="s">
        <v>5644</v>
      </c>
      <c r="B5638">
        <v>66156</v>
      </c>
      <c r="C5638">
        <v>7891010099725</v>
      </c>
      <c r="D5638">
        <v>23.9</v>
      </c>
      <c r="E5638">
        <v>10.97</v>
      </c>
      <c r="F5638" s="3">
        <v>0.53349999999999997</v>
      </c>
      <c r="G5638">
        <v>11.148199999999999</v>
      </c>
      <c r="H5638">
        <v>0.16700000000000001</v>
      </c>
    </row>
    <row r="5639" spans="1:8" x14ac:dyDescent="0.25">
      <c r="A5639" t="s">
        <v>5645</v>
      </c>
      <c r="B5639">
        <v>60682</v>
      </c>
      <c r="C5639">
        <v>7896098902264</v>
      </c>
      <c r="D5639">
        <v>1.49</v>
      </c>
      <c r="E5639">
        <v>1.1599999999999999</v>
      </c>
      <c r="F5639" s="3">
        <v>0.21960000000000002</v>
      </c>
      <c r="G5639">
        <v>1.1628000000000001</v>
      </c>
      <c r="H5639">
        <v>0.56699999999999995</v>
      </c>
    </row>
    <row r="5640" spans="1:8" x14ac:dyDescent="0.25">
      <c r="A5640" t="s">
        <v>5646</v>
      </c>
      <c r="B5640">
        <v>6912</v>
      </c>
      <c r="C5640">
        <v>7896090400027</v>
      </c>
      <c r="D5640">
        <v>3.99</v>
      </c>
      <c r="E5640">
        <v>2.2599999999999998</v>
      </c>
      <c r="F5640" s="3">
        <v>0.43520000000000003</v>
      </c>
      <c r="G5640">
        <v>2.2534000000000001</v>
      </c>
      <c r="H5640">
        <v>10.1</v>
      </c>
    </row>
    <row r="5641" spans="1:8" x14ac:dyDescent="0.25">
      <c r="A5641" t="s">
        <v>5647</v>
      </c>
      <c r="B5641">
        <v>6913</v>
      </c>
      <c r="C5641">
        <v>7896090403134</v>
      </c>
      <c r="D5641">
        <v>3.99</v>
      </c>
      <c r="E5641">
        <v>2.25</v>
      </c>
      <c r="F5641" s="3">
        <v>0.44030000000000002</v>
      </c>
      <c r="G5641">
        <v>2.2332000000000001</v>
      </c>
      <c r="H5641">
        <v>12.067</v>
      </c>
    </row>
    <row r="5642" spans="1:8" x14ac:dyDescent="0.25">
      <c r="A5642" t="s">
        <v>5648</v>
      </c>
      <c r="B5642">
        <v>6910</v>
      </c>
      <c r="C5642">
        <v>7896090400034</v>
      </c>
      <c r="D5642">
        <v>3.99</v>
      </c>
      <c r="E5642">
        <v>2.31</v>
      </c>
      <c r="F5642" s="3">
        <v>0.42299999999999999</v>
      </c>
      <c r="G5642">
        <v>2.3020999999999998</v>
      </c>
      <c r="H5642">
        <v>7</v>
      </c>
    </row>
    <row r="5643" spans="1:8" x14ac:dyDescent="0.25">
      <c r="A5643" t="s">
        <v>5649</v>
      </c>
      <c r="B5643">
        <v>6911</v>
      </c>
      <c r="C5643">
        <v>7896090400041</v>
      </c>
      <c r="D5643">
        <v>3.99</v>
      </c>
      <c r="E5643">
        <v>2.35</v>
      </c>
      <c r="F5643" s="3">
        <v>0.4249</v>
      </c>
      <c r="G5643">
        <v>2.2946</v>
      </c>
      <c r="H5643">
        <v>14.266999999999999</v>
      </c>
    </row>
    <row r="5644" spans="1:8" x14ac:dyDescent="0.25">
      <c r="A5644" t="s">
        <v>5650</v>
      </c>
      <c r="B5644">
        <v>6908</v>
      </c>
      <c r="C5644">
        <v>7896090403233</v>
      </c>
      <c r="D5644">
        <v>3.99</v>
      </c>
      <c r="E5644">
        <v>2.2400000000000002</v>
      </c>
      <c r="F5644" s="3">
        <v>0.43819999999999998</v>
      </c>
      <c r="G5644">
        <v>2.2414999999999998</v>
      </c>
      <c r="H5644">
        <v>14.933</v>
      </c>
    </row>
    <row r="5645" spans="1:8" x14ac:dyDescent="0.25">
      <c r="A5645" t="s">
        <v>5651</v>
      </c>
      <c r="B5645">
        <v>6909</v>
      </c>
      <c r="C5645">
        <v>7896090400010</v>
      </c>
      <c r="D5645">
        <v>3.99</v>
      </c>
      <c r="E5645">
        <v>2.25</v>
      </c>
      <c r="F5645" s="3">
        <v>0.44259999999999999</v>
      </c>
      <c r="G5645">
        <v>2.2240000000000002</v>
      </c>
      <c r="H5645">
        <v>14.167</v>
      </c>
    </row>
    <row r="5646" spans="1:8" x14ac:dyDescent="0.25">
      <c r="A5646" t="s">
        <v>5652</v>
      </c>
      <c r="B5646">
        <v>66629</v>
      </c>
      <c r="C5646">
        <v>7896183313814</v>
      </c>
      <c r="D5646">
        <v>42.9</v>
      </c>
      <c r="E5646">
        <v>30.55</v>
      </c>
      <c r="F5646" s="3">
        <v>0.28899999999999998</v>
      </c>
      <c r="G5646">
        <v>30.504000000000001</v>
      </c>
      <c r="H5646">
        <v>0.3</v>
      </c>
    </row>
    <row r="5647" spans="1:8" x14ac:dyDescent="0.25">
      <c r="A5647" t="s">
        <v>5653</v>
      </c>
      <c r="B5647">
        <v>68665</v>
      </c>
      <c r="C5647">
        <v>7896183313906</v>
      </c>
      <c r="D5647">
        <v>24.9</v>
      </c>
      <c r="E5647">
        <v>16.850000000000001</v>
      </c>
      <c r="F5647" s="3">
        <v>0.32329999999999998</v>
      </c>
      <c r="G5647">
        <v>16.8508</v>
      </c>
      <c r="H5647">
        <v>0.433</v>
      </c>
    </row>
    <row r="5648" spans="1:8" x14ac:dyDescent="0.25">
      <c r="A5648" t="s">
        <v>5654</v>
      </c>
      <c r="B5648">
        <v>68662</v>
      </c>
      <c r="C5648">
        <v>7896183305826</v>
      </c>
      <c r="D5648">
        <v>24.9</v>
      </c>
      <c r="E5648">
        <v>16.95</v>
      </c>
      <c r="F5648" s="3">
        <v>0.3196</v>
      </c>
      <c r="G5648">
        <v>16.9419</v>
      </c>
      <c r="H5648">
        <v>0.53300000000000003</v>
      </c>
    </row>
    <row r="5649" spans="1:8" x14ac:dyDescent="0.25">
      <c r="A5649" t="s">
        <v>5655</v>
      </c>
      <c r="B5649">
        <v>68663</v>
      </c>
      <c r="C5649">
        <v>7896183305796</v>
      </c>
      <c r="D5649">
        <v>24.9</v>
      </c>
      <c r="E5649">
        <v>16.75</v>
      </c>
      <c r="F5649" s="3">
        <v>0.32250000000000001</v>
      </c>
      <c r="G5649">
        <v>16.869399999999999</v>
      </c>
      <c r="H5649">
        <v>0.83299999999999996</v>
      </c>
    </row>
    <row r="5650" spans="1:8" x14ac:dyDescent="0.25">
      <c r="A5650" t="s">
        <v>5656</v>
      </c>
      <c r="B5650">
        <v>68664</v>
      </c>
      <c r="C5650">
        <v>7896183309879</v>
      </c>
      <c r="D5650">
        <v>24.9</v>
      </c>
      <c r="E5650">
        <v>14.22</v>
      </c>
      <c r="F5650" s="3">
        <v>0.4289</v>
      </c>
      <c r="G5650">
        <v>14.22</v>
      </c>
      <c r="H5650">
        <v>0.2</v>
      </c>
    </row>
    <row r="5651" spans="1:8" x14ac:dyDescent="0.25">
      <c r="A5651" t="s">
        <v>5657</v>
      </c>
      <c r="B5651">
        <v>68666</v>
      </c>
      <c r="C5651">
        <v>7896183310653</v>
      </c>
      <c r="D5651">
        <v>26.9</v>
      </c>
      <c r="E5651">
        <v>17.010000000000002</v>
      </c>
      <c r="F5651" s="3">
        <v>0.35960000000000003</v>
      </c>
      <c r="G5651">
        <v>17.2273</v>
      </c>
      <c r="H5651">
        <v>0.5</v>
      </c>
    </row>
    <row r="5652" spans="1:8" x14ac:dyDescent="0.25">
      <c r="A5652" t="s">
        <v>5658</v>
      </c>
      <c r="B5652">
        <v>19688</v>
      </c>
      <c r="C5652">
        <v>7896512905420</v>
      </c>
      <c r="D5652">
        <v>7.9</v>
      </c>
      <c r="E5652">
        <v>4.75</v>
      </c>
      <c r="F5652" s="3">
        <v>0.3871</v>
      </c>
      <c r="G5652">
        <v>4.8419999999999996</v>
      </c>
      <c r="H5652">
        <v>3.5329999999999999</v>
      </c>
    </row>
    <row r="5653" spans="1:8" x14ac:dyDescent="0.25">
      <c r="A5653" t="s">
        <v>5659</v>
      </c>
      <c r="B5653">
        <v>17223</v>
      </c>
      <c r="C5653">
        <v>7896512900050</v>
      </c>
      <c r="D5653">
        <v>8.9</v>
      </c>
      <c r="E5653">
        <v>5.77</v>
      </c>
      <c r="F5653" s="3">
        <v>0.3332</v>
      </c>
      <c r="G5653">
        <v>5.9345999999999997</v>
      </c>
      <c r="H5653">
        <v>2.5329999999999999</v>
      </c>
    </row>
    <row r="5654" spans="1:8" x14ac:dyDescent="0.25">
      <c r="A5654" t="s">
        <v>5660</v>
      </c>
      <c r="B5654">
        <v>67324</v>
      </c>
      <c r="C5654">
        <v>7896512941947</v>
      </c>
      <c r="D5654">
        <v>7.9</v>
      </c>
      <c r="E5654">
        <v>4.6900000000000004</v>
      </c>
      <c r="F5654" s="3">
        <v>0.38409999999999994</v>
      </c>
      <c r="G5654">
        <v>4.8653000000000004</v>
      </c>
      <c r="H5654">
        <v>0.93300000000000005</v>
      </c>
    </row>
    <row r="5655" spans="1:8" x14ac:dyDescent="0.25">
      <c r="A5655" t="s">
        <v>5661</v>
      </c>
      <c r="B5655">
        <v>19687</v>
      </c>
      <c r="C5655">
        <v>7896512911858</v>
      </c>
      <c r="D5655">
        <v>7.9</v>
      </c>
      <c r="E5655">
        <v>4.75</v>
      </c>
      <c r="F5655" s="3">
        <v>0.38729999999999998</v>
      </c>
      <c r="G5655">
        <v>4.8406000000000002</v>
      </c>
      <c r="H5655">
        <v>0.63300000000000001</v>
      </c>
    </row>
    <row r="5656" spans="1:8" x14ac:dyDescent="0.25">
      <c r="A5656" t="s">
        <v>5662</v>
      </c>
      <c r="B5656">
        <v>8186</v>
      </c>
      <c r="C5656">
        <v>7896512905277</v>
      </c>
      <c r="D5656">
        <v>7.9</v>
      </c>
      <c r="E5656">
        <v>4.95</v>
      </c>
      <c r="F5656" s="3">
        <v>0.37509999999999999</v>
      </c>
      <c r="G5656">
        <v>4.9368999999999996</v>
      </c>
      <c r="H5656">
        <v>2.7669999999999999</v>
      </c>
    </row>
    <row r="5657" spans="1:8" x14ac:dyDescent="0.25">
      <c r="A5657" t="s">
        <v>5663</v>
      </c>
      <c r="B5657">
        <v>67331</v>
      </c>
      <c r="C5657">
        <v>7896512959904</v>
      </c>
      <c r="D5657">
        <v>7.9</v>
      </c>
      <c r="E5657">
        <v>4.95</v>
      </c>
      <c r="F5657" s="3">
        <v>0.38409999999999994</v>
      </c>
      <c r="G5657">
        <v>4.8658999999999999</v>
      </c>
      <c r="H5657">
        <v>1.667</v>
      </c>
    </row>
    <row r="5658" spans="1:8" x14ac:dyDescent="0.25">
      <c r="A5658" t="s">
        <v>5664</v>
      </c>
      <c r="B5658">
        <v>67318</v>
      </c>
      <c r="C5658">
        <v>7896512959898</v>
      </c>
      <c r="D5658">
        <v>7.9</v>
      </c>
      <c r="E5658">
        <v>4.9800000000000004</v>
      </c>
      <c r="F5658" s="3">
        <v>0.35</v>
      </c>
      <c r="G5658">
        <v>5.1346999999999996</v>
      </c>
      <c r="H5658">
        <v>1.4670000000000001</v>
      </c>
    </row>
    <row r="5659" spans="1:8" x14ac:dyDescent="0.25">
      <c r="A5659" t="s">
        <v>5665</v>
      </c>
      <c r="B5659">
        <v>8188</v>
      </c>
      <c r="C5659">
        <v>7896512905222</v>
      </c>
      <c r="D5659">
        <v>7.9</v>
      </c>
      <c r="E5659">
        <v>5.21</v>
      </c>
      <c r="F5659" s="3">
        <v>0.33950000000000002</v>
      </c>
      <c r="G5659">
        <v>5.2176999999999998</v>
      </c>
      <c r="H5659">
        <v>5.8</v>
      </c>
    </row>
    <row r="5660" spans="1:8" x14ac:dyDescent="0.25">
      <c r="A5660" t="s">
        <v>5666</v>
      </c>
      <c r="B5660">
        <v>5885</v>
      </c>
      <c r="C5660">
        <v>7896512905253</v>
      </c>
      <c r="D5660">
        <v>7.9</v>
      </c>
      <c r="E5660">
        <v>4.66</v>
      </c>
      <c r="F5660" s="3">
        <v>0.41210000000000002</v>
      </c>
      <c r="G5660">
        <v>4.6447000000000003</v>
      </c>
      <c r="H5660">
        <v>5.0330000000000004</v>
      </c>
    </row>
    <row r="5661" spans="1:8" x14ac:dyDescent="0.25">
      <c r="A5661" t="s">
        <v>5667</v>
      </c>
      <c r="B5661">
        <v>17219</v>
      </c>
      <c r="C5661">
        <v>7896512910844</v>
      </c>
      <c r="D5661">
        <v>7.9</v>
      </c>
      <c r="E5661">
        <v>4.46</v>
      </c>
      <c r="F5661" s="3">
        <v>0.42549999999999999</v>
      </c>
      <c r="G5661">
        <v>4.5382999999999996</v>
      </c>
      <c r="H5661">
        <v>2.6</v>
      </c>
    </row>
    <row r="5662" spans="1:8" x14ac:dyDescent="0.25">
      <c r="A5662" t="s">
        <v>5668</v>
      </c>
      <c r="B5662">
        <v>67337</v>
      </c>
      <c r="C5662">
        <v>7896512928122</v>
      </c>
      <c r="D5662">
        <v>6.9</v>
      </c>
      <c r="E5662">
        <v>4.66</v>
      </c>
      <c r="F5662" s="3">
        <v>0.32369999999999999</v>
      </c>
      <c r="G5662">
        <v>4.6661999999999999</v>
      </c>
      <c r="H5662">
        <v>1.4330000000000001</v>
      </c>
    </row>
    <row r="5663" spans="1:8" x14ac:dyDescent="0.25">
      <c r="A5663" t="s">
        <v>5669</v>
      </c>
      <c r="B5663">
        <v>50055</v>
      </c>
      <c r="C5663">
        <v>7891024037348</v>
      </c>
      <c r="D5663">
        <v>6.99</v>
      </c>
      <c r="E5663">
        <v>5.24</v>
      </c>
      <c r="F5663" s="3">
        <v>0.23329999999999998</v>
      </c>
      <c r="G5663">
        <v>5.3596000000000004</v>
      </c>
      <c r="H5663">
        <v>0.66700000000000004</v>
      </c>
    </row>
    <row r="5664" spans="1:8" x14ac:dyDescent="0.25">
      <c r="A5664" t="s">
        <v>5670</v>
      </c>
      <c r="B5664">
        <v>50065</v>
      </c>
      <c r="C5664">
        <v>7891024037355</v>
      </c>
      <c r="D5664">
        <v>6.99</v>
      </c>
      <c r="E5664">
        <v>5.45</v>
      </c>
      <c r="F5664" s="3">
        <v>0.2198</v>
      </c>
      <c r="G5664">
        <v>5.4532999999999996</v>
      </c>
      <c r="H5664">
        <v>0.23300000000000001</v>
      </c>
    </row>
    <row r="5665" spans="1:8" x14ac:dyDescent="0.25">
      <c r="A5665" t="s">
        <v>5671</v>
      </c>
      <c r="B5665">
        <v>66215</v>
      </c>
      <c r="C5665">
        <v>7891010035976</v>
      </c>
      <c r="D5665">
        <v>7.29</v>
      </c>
      <c r="E5665">
        <v>4.62</v>
      </c>
      <c r="F5665" s="3">
        <v>0.3765</v>
      </c>
      <c r="G5665">
        <v>4.5449999999999999</v>
      </c>
      <c r="H5665">
        <v>2.8330000000000002</v>
      </c>
    </row>
    <row r="5666" spans="1:8" x14ac:dyDescent="0.25">
      <c r="A5666" t="s">
        <v>5672</v>
      </c>
      <c r="B5666">
        <v>66216</v>
      </c>
      <c r="C5666">
        <v>7891010781668</v>
      </c>
      <c r="D5666">
        <v>7.9</v>
      </c>
      <c r="E5666">
        <v>5.15</v>
      </c>
      <c r="F5666" s="3">
        <v>0.34499999999999997</v>
      </c>
      <c r="G5666">
        <v>5.1746999999999996</v>
      </c>
      <c r="H5666">
        <v>1.367</v>
      </c>
    </row>
    <row r="5667" spans="1:8" x14ac:dyDescent="0.25">
      <c r="A5667" t="s">
        <v>5673</v>
      </c>
      <c r="B5667">
        <v>66214</v>
      </c>
      <c r="C5667">
        <v>7891010032906</v>
      </c>
      <c r="D5667">
        <v>7.29</v>
      </c>
      <c r="E5667">
        <v>4.76</v>
      </c>
      <c r="F5667" s="3">
        <v>0.35340000000000005</v>
      </c>
      <c r="G5667">
        <v>4.7134</v>
      </c>
      <c r="H5667">
        <v>3.867</v>
      </c>
    </row>
    <row r="5668" spans="1:8" x14ac:dyDescent="0.25">
      <c r="A5668" t="s">
        <v>5674</v>
      </c>
      <c r="B5668">
        <v>58416</v>
      </c>
      <c r="C5668">
        <v>7891150075375</v>
      </c>
      <c r="D5668">
        <v>12.9</v>
      </c>
      <c r="E5668">
        <v>9.33</v>
      </c>
      <c r="F5668" s="3">
        <v>0.25040000000000001</v>
      </c>
      <c r="G5668">
        <v>8.4768000000000008</v>
      </c>
      <c r="H5668">
        <v>0.53300000000000003</v>
      </c>
    </row>
    <row r="5669" spans="1:8" x14ac:dyDescent="0.25">
      <c r="A5669" t="s">
        <v>5675</v>
      </c>
      <c r="B5669">
        <v>66929</v>
      </c>
      <c r="C5669">
        <v>7891150095670</v>
      </c>
      <c r="D5669">
        <v>12.9</v>
      </c>
      <c r="E5669">
        <v>8.26</v>
      </c>
      <c r="F5669" s="3">
        <v>0.32619999999999999</v>
      </c>
      <c r="G5669">
        <v>7.4987000000000004</v>
      </c>
      <c r="H5669">
        <v>0.9</v>
      </c>
    </row>
    <row r="5670" spans="1:8" x14ac:dyDescent="0.25">
      <c r="A5670" t="s">
        <v>5676</v>
      </c>
      <c r="B5670">
        <v>57344</v>
      </c>
      <c r="C5670">
        <v>7891150075405</v>
      </c>
      <c r="D5670">
        <v>17.899999999999999</v>
      </c>
      <c r="E5670">
        <v>11.83</v>
      </c>
      <c r="F5670" s="3">
        <v>0.30769999999999997</v>
      </c>
      <c r="G5670">
        <v>10.7357</v>
      </c>
      <c r="H5670">
        <v>3.3000000000000002E-2</v>
      </c>
    </row>
    <row r="5671" spans="1:8" x14ac:dyDescent="0.25">
      <c r="A5671" t="s">
        <v>5677</v>
      </c>
      <c r="B5671">
        <v>51117</v>
      </c>
      <c r="C5671">
        <v>7891150057487</v>
      </c>
      <c r="D5671">
        <v>17.899999999999999</v>
      </c>
      <c r="E5671">
        <v>11.92</v>
      </c>
      <c r="F5671" s="3">
        <v>0.30309999999999998</v>
      </c>
      <c r="G5671">
        <v>10.819000000000001</v>
      </c>
      <c r="H5671">
        <v>0</v>
      </c>
    </row>
    <row r="5672" spans="1:8" x14ac:dyDescent="0.25">
      <c r="A5672" t="s">
        <v>5678</v>
      </c>
      <c r="B5672">
        <v>66928</v>
      </c>
      <c r="C5672">
        <v>7891150095694</v>
      </c>
      <c r="D5672">
        <v>17.899999999999999</v>
      </c>
      <c r="E5672">
        <v>12.37</v>
      </c>
      <c r="F5672" s="3">
        <v>0.2707</v>
      </c>
      <c r="G5672">
        <v>11.398</v>
      </c>
      <c r="H5672">
        <v>0.8</v>
      </c>
    </row>
    <row r="5673" spans="1:8" x14ac:dyDescent="0.25">
      <c r="A5673" t="s">
        <v>5679</v>
      </c>
      <c r="B5673">
        <v>24689</v>
      </c>
      <c r="C5673">
        <v>7891150035874</v>
      </c>
      <c r="D5673">
        <v>15.9</v>
      </c>
      <c r="E5673">
        <v>10.050000000000001</v>
      </c>
      <c r="F5673" s="3">
        <v>0.33110000000000001</v>
      </c>
      <c r="G5673">
        <v>9.1651000000000007</v>
      </c>
      <c r="H5673">
        <v>0.7</v>
      </c>
    </row>
    <row r="5674" spans="1:8" x14ac:dyDescent="0.25">
      <c r="A5674" t="s">
        <v>5680</v>
      </c>
      <c r="B5674">
        <v>55505</v>
      </c>
      <c r="C5674">
        <v>7891150065338</v>
      </c>
      <c r="D5674">
        <v>15.9</v>
      </c>
      <c r="E5674">
        <v>9.9700000000000006</v>
      </c>
      <c r="F5674" s="3">
        <v>0.34009999999999996</v>
      </c>
      <c r="G5674">
        <v>9.0219000000000005</v>
      </c>
      <c r="H5674">
        <v>0.46700000000000003</v>
      </c>
    </row>
    <row r="5675" spans="1:8" x14ac:dyDescent="0.25">
      <c r="A5675" t="s">
        <v>5681</v>
      </c>
      <c r="B5675">
        <v>59792</v>
      </c>
      <c r="C5675">
        <v>7891150079229</v>
      </c>
      <c r="D5675">
        <v>15.9</v>
      </c>
      <c r="E5675">
        <v>10.01</v>
      </c>
      <c r="F5675" s="3">
        <v>0.33479999999999999</v>
      </c>
      <c r="G5675">
        <v>9.1061999999999994</v>
      </c>
      <c r="H5675">
        <v>0.33300000000000002</v>
      </c>
    </row>
    <row r="5676" spans="1:8" x14ac:dyDescent="0.25">
      <c r="A5676" t="s">
        <v>5682</v>
      </c>
      <c r="B5676">
        <v>24709</v>
      </c>
      <c r="C5676">
        <v>7891150035881</v>
      </c>
      <c r="D5676">
        <v>15.9</v>
      </c>
      <c r="E5676">
        <v>9.74</v>
      </c>
      <c r="F5676" s="3">
        <v>0.35149999999999998</v>
      </c>
      <c r="G5676">
        <v>8.84</v>
      </c>
      <c r="H5676">
        <v>0</v>
      </c>
    </row>
    <row r="5677" spans="1:8" x14ac:dyDescent="0.25">
      <c r="A5677" t="s">
        <v>5683</v>
      </c>
      <c r="B5677">
        <v>55506</v>
      </c>
      <c r="C5677">
        <v>7891150065291</v>
      </c>
      <c r="D5677">
        <v>22.9</v>
      </c>
      <c r="E5677">
        <v>13.84</v>
      </c>
      <c r="F5677" s="3">
        <v>0.36070000000000002</v>
      </c>
      <c r="G5677">
        <v>12.522500000000001</v>
      </c>
      <c r="H5677">
        <v>0.33300000000000002</v>
      </c>
    </row>
    <row r="5678" spans="1:8" x14ac:dyDescent="0.25">
      <c r="A5678" t="s">
        <v>5684</v>
      </c>
      <c r="B5678">
        <v>24687</v>
      </c>
      <c r="C5678">
        <v>7891150025981</v>
      </c>
      <c r="D5678">
        <v>22.9</v>
      </c>
      <c r="E5678">
        <v>13.71</v>
      </c>
      <c r="F5678" s="3">
        <v>0.35880000000000001</v>
      </c>
      <c r="G5678">
        <v>12.5661</v>
      </c>
      <c r="H5678">
        <v>0.46700000000000003</v>
      </c>
    </row>
    <row r="5679" spans="1:8" x14ac:dyDescent="0.25">
      <c r="A5679" t="s">
        <v>5685</v>
      </c>
      <c r="B5679">
        <v>24688</v>
      </c>
      <c r="C5679">
        <v>7891150036369</v>
      </c>
      <c r="D5679">
        <v>34.9</v>
      </c>
      <c r="E5679">
        <v>21.84</v>
      </c>
      <c r="F5679" s="3">
        <v>0.34789999999999999</v>
      </c>
      <c r="G5679">
        <v>19.530999999999999</v>
      </c>
      <c r="H5679">
        <v>0.13300000000000001</v>
      </c>
    </row>
    <row r="5680" spans="1:8" x14ac:dyDescent="0.25">
      <c r="A5680" t="s">
        <v>5686</v>
      </c>
      <c r="B5680">
        <v>55507</v>
      </c>
      <c r="C5680">
        <v>7891150065390</v>
      </c>
      <c r="D5680">
        <v>34.9</v>
      </c>
      <c r="E5680">
        <v>22.39</v>
      </c>
      <c r="F5680" s="3">
        <v>0.32030000000000003</v>
      </c>
      <c r="G5680">
        <v>20.492100000000001</v>
      </c>
      <c r="H5680">
        <v>0.66700000000000004</v>
      </c>
    </row>
    <row r="5681" spans="1:8" x14ac:dyDescent="0.25">
      <c r="A5681" t="s">
        <v>5687</v>
      </c>
      <c r="B5681">
        <v>68109</v>
      </c>
      <c r="C5681">
        <v>7891150097964</v>
      </c>
      <c r="D5681">
        <v>27.9</v>
      </c>
      <c r="E5681">
        <v>18.52</v>
      </c>
      <c r="F5681" s="3">
        <v>0.30519999999999997</v>
      </c>
      <c r="G5681">
        <v>16.804200000000002</v>
      </c>
      <c r="H5681">
        <v>0.56699999999999995</v>
      </c>
    </row>
    <row r="5682" spans="1:8" x14ac:dyDescent="0.25">
      <c r="A5682" t="s">
        <v>5688</v>
      </c>
      <c r="B5682">
        <v>68108</v>
      </c>
      <c r="C5682">
        <v>7891150097971</v>
      </c>
      <c r="D5682">
        <v>27.9</v>
      </c>
      <c r="E5682">
        <v>18.52</v>
      </c>
      <c r="F5682" s="3">
        <v>0.30519999999999997</v>
      </c>
      <c r="G5682">
        <v>16.804200000000002</v>
      </c>
      <c r="H5682">
        <v>0.4</v>
      </c>
    </row>
    <row r="5683" spans="1:8" x14ac:dyDescent="0.25">
      <c r="A5683" t="s">
        <v>5689</v>
      </c>
      <c r="B5683">
        <v>39852</v>
      </c>
      <c r="C5683">
        <v>7891150053236</v>
      </c>
      <c r="D5683">
        <v>11.9</v>
      </c>
      <c r="E5683">
        <v>8.11</v>
      </c>
      <c r="F5683" s="3">
        <v>0.28870000000000001</v>
      </c>
      <c r="G5683">
        <v>7.3639000000000001</v>
      </c>
      <c r="H5683">
        <v>0.7</v>
      </c>
    </row>
    <row r="5684" spans="1:8" x14ac:dyDescent="0.25">
      <c r="A5684" t="s">
        <v>5690</v>
      </c>
      <c r="B5684">
        <v>39851</v>
      </c>
      <c r="C5684">
        <v>7891150053229</v>
      </c>
      <c r="D5684">
        <v>11.9</v>
      </c>
      <c r="E5684">
        <v>8.61</v>
      </c>
      <c r="F5684" s="3">
        <v>0.25059999999999999</v>
      </c>
      <c r="G5684">
        <v>7.8171999999999997</v>
      </c>
      <c r="H5684">
        <v>0.46700000000000003</v>
      </c>
    </row>
    <row r="5685" spans="1:8" x14ac:dyDescent="0.25">
      <c r="A5685" t="s">
        <v>5691</v>
      </c>
      <c r="B5685">
        <v>6991</v>
      </c>
      <c r="C5685">
        <v>7891150063105</v>
      </c>
      <c r="D5685">
        <v>18.899999999999999</v>
      </c>
      <c r="E5685">
        <v>12.35</v>
      </c>
      <c r="F5685" s="3">
        <v>0.30269999999999997</v>
      </c>
      <c r="G5685">
        <v>11.4298</v>
      </c>
      <c r="H5685">
        <v>1.333</v>
      </c>
    </row>
    <row r="5686" spans="1:8" x14ac:dyDescent="0.25">
      <c r="A5686" t="s">
        <v>5692</v>
      </c>
      <c r="B5686">
        <v>17586</v>
      </c>
      <c r="C5686">
        <v>7891150029309</v>
      </c>
      <c r="D5686">
        <v>18.899999999999999</v>
      </c>
      <c r="E5686">
        <v>12.59</v>
      </c>
      <c r="F5686" s="3">
        <v>0.28100000000000003</v>
      </c>
      <c r="G5686">
        <v>11.8414</v>
      </c>
      <c r="H5686">
        <v>0.9</v>
      </c>
    </row>
    <row r="5687" spans="1:8" x14ac:dyDescent="0.25">
      <c r="A5687" t="s">
        <v>5693</v>
      </c>
      <c r="B5687">
        <v>17587</v>
      </c>
      <c r="C5687">
        <v>7891150029293</v>
      </c>
      <c r="D5687">
        <v>18.899999999999999</v>
      </c>
      <c r="E5687">
        <v>11.93</v>
      </c>
      <c r="F5687" s="3">
        <v>0.33479999999999999</v>
      </c>
      <c r="G5687">
        <v>10.823700000000001</v>
      </c>
      <c r="H5687">
        <v>0.36699999999999999</v>
      </c>
    </row>
    <row r="5688" spans="1:8" x14ac:dyDescent="0.25">
      <c r="A5688" t="s">
        <v>5694</v>
      </c>
      <c r="B5688">
        <v>66279</v>
      </c>
      <c r="C5688">
        <v>7891010972226</v>
      </c>
      <c r="D5688">
        <v>44.9</v>
      </c>
      <c r="E5688">
        <v>26.34</v>
      </c>
      <c r="F5688" s="3">
        <v>0.37520000000000003</v>
      </c>
      <c r="G5688">
        <v>23.8992</v>
      </c>
      <c r="H5688">
        <v>0.16700000000000001</v>
      </c>
    </row>
    <row r="5689" spans="1:8" x14ac:dyDescent="0.25">
      <c r="A5689" t="s">
        <v>5695</v>
      </c>
      <c r="B5689">
        <v>69204</v>
      </c>
      <c r="C5689">
        <v>7896098905593</v>
      </c>
      <c r="D5689">
        <v>6.9</v>
      </c>
      <c r="E5689">
        <v>3.15</v>
      </c>
      <c r="F5689" s="3">
        <v>0.49310000000000004</v>
      </c>
      <c r="G5689">
        <v>2.8595000000000002</v>
      </c>
      <c r="H5689">
        <v>0.3</v>
      </c>
    </row>
    <row r="5690" spans="1:8" x14ac:dyDescent="0.25">
      <c r="A5690" t="s">
        <v>5696</v>
      </c>
      <c r="B5690">
        <v>65025</v>
      </c>
      <c r="C5690">
        <v>7896098907986</v>
      </c>
      <c r="D5690">
        <v>6.9</v>
      </c>
      <c r="E5690">
        <v>3.64</v>
      </c>
      <c r="F5690" s="3">
        <v>0.42829999999999996</v>
      </c>
      <c r="G5690">
        <v>3.3065000000000002</v>
      </c>
      <c r="H5690">
        <v>3.3000000000000002E-2</v>
      </c>
    </row>
    <row r="5691" spans="1:8" x14ac:dyDescent="0.25">
      <c r="A5691" t="s">
        <v>5697</v>
      </c>
      <c r="B5691">
        <v>68661</v>
      </c>
      <c r="C5691">
        <v>7896183313739</v>
      </c>
      <c r="D5691">
        <v>26.9</v>
      </c>
      <c r="E5691">
        <v>16.350000000000001</v>
      </c>
      <c r="F5691" s="3">
        <v>0.40529999999999999</v>
      </c>
      <c r="G5691">
        <v>15.996700000000001</v>
      </c>
      <c r="H5691">
        <v>0.23300000000000001</v>
      </c>
    </row>
    <row r="5692" spans="1:8" x14ac:dyDescent="0.25">
      <c r="A5692" t="s">
        <v>5698</v>
      </c>
      <c r="B5692">
        <v>68660</v>
      </c>
      <c r="C5692">
        <v>7896183313715</v>
      </c>
      <c r="D5692">
        <v>26.9</v>
      </c>
      <c r="E5692">
        <v>17.36</v>
      </c>
      <c r="F5692" s="3">
        <v>0.35409999999999997</v>
      </c>
      <c r="G5692">
        <v>17.3734</v>
      </c>
      <c r="H5692">
        <v>0.23300000000000001</v>
      </c>
    </row>
    <row r="5693" spans="1:8" x14ac:dyDescent="0.25">
      <c r="A5693" t="s">
        <v>5699</v>
      </c>
      <c r="B5693">
        <v>68659</v>
      </c>
      <c r="C5693">
        <v>7896183313708</v>
      </c>
      <c r="D5693">
        <v>26.9</v>
      </c>
      <c r="E5693">
        <v>16.39</v>
      </c>
      <c r="F5693" s="3">
        <v>0.39079999999999998</v>
      </c>
      <c r="G5693">
        <v>16.388300000000001</v>
      </c>
      <c r="H5693">
        <v>0.23300000000000001</v>
      </c>
    </row>
    <row r="5694" spans="1:8" x14ac:dyDescent="0.25">
      <c r="A5694" t="s">
        <v>5700</v>
      </c>
      <c r="B5694">
        <v>8194</v>
      </c>
      <c r="C5694">
        <v>7896512904621</v>
      </c>
      <c r="D5694">
        <v>29.9</v>
      </c>
      <c r="E5694">
        <v>20.149999999999999</v>
      </c>
      <c r="F5694" s="3">
        <v>0.29530000000000001</v>
      </c>
      <c r="G5694">
        <v>18.304500000000001</v>
      </c>
      <c r="H5694">
        <v>1.0669999999999999</v>
      </c>
    </row>
    <row r="5695" spans="1:8" x14ac:dyDescent="0.25">
      <c r="A5695" t="s">
        <v>5701</v>
      </c>
      <c r="B5695">
        <v>8192</v>
      </c>
      <c r="C5695">
        <v>7896512911940</v>
      </c>
      <c r="D5695">
        <v>29.9</v>
      </c>
      <c r="E5695">
        <v>18.809999999999999</v>
      </c>
      <c r="F5695" s="3">
        <v>0.32579999999999998</v>
      </c>
      <c r="G5695">
        <v>17.392099999999999</v>
      </c>
      <c r="H5695">
        <v>0.13300000000000001</v>
      </c>
    </row>
    <row r="5696" spans="1:8" x14ac:dyDescent="0.25">
      <c r="A5696" t="s">
        <v>5702</v>
      </c>
      <c r="B5696">
        <v>8195</v>
      </c>
      <c r="C5696">
        <v>7896512911933</v>
      </c>
      <c r="D5696">
        <v>29.9</v>
      </c>
      <c r="E5696">
        <v>19.2</v>
      </c>
      <c r="F5696" s="3">
        <v>0.31579999999999997</v>
      </c>
      <c r="G5696">
        <v>17.6921</v>
      </c>
      <c r="H5696">
        <v>0.33300000000000002</v>
      </c>
    </row>
    <row r="5697" spans="1:8" x14ac:dyDescent="0.25">
      <c r="A5697" t="s">
        <v>5703</v>
      </c>
      <c r="B5697">
        <v>58919</v>
      </c>
      <c r="C5697">
        <v>7896512949899</v>
      </c>
      <c r="D5697">
        <v>23.9</v>
      </c>
      <c r="E5697">
        <v>16.239999999999998</v>
      </c>
      <c r="F5697" s="3">
        <v>0.28960000000000002</v>
      </c>
      <c r="G5697">
        <v>14.7685</v>
      </c>
      <c r="H5697">
        <v>0.83299999999999996</v>
      </c>
    </row>
    <row r="5698" spans="1:8" x14ac:dyDescent="0.25">
      <c r="A5698" t="s">
        <v>5704</v>
      </c>
      <c r="B5698">
        <v>58920</v>
      </c>
      <c r="C5698">
        <v>7896512941923</v>
      </c>
      <c r="D5698">
        <v>28.9</v>
      </c>
      <c r="E5698">
        <v>20.07</v>
      </c>
      <c r="F5698" s="3">
        <v>0.27789999999999998</v>
      </c>
      <c r="G5698">
        <v>18.195799999999998</v>
      </c>
      <c r="H5698">
        <v>0.46700000000000003</v>
      </c>
    </row>
    <row r="5699" spans="1:8" x14ac:dyDescent="0.25">
      <c r="A5699" t="s">
        <v>5705</v>
      </c>
      <c r="B5699">
        <v>67384</v>
      </c>
      <c r="C5699">
        <v>7896512959843</v>
      </c>
      <c r="D5699">
        <v>21.9</v>
      </c>
      <c r="E5699">
        <v>13.98</v>
      </c>
      <c r="F5699" s="3">
        <v>0.3281</v>
      </c>
      <c r="G5699">
        <v>12.6896</v>
      </c>
      <c r="H5699">
        <v>0.6</v>
      </c>
    </row>
    <row r="5700" spans="1:8" x14ac:dyDescent="0.25">
      <c r="A5700" t="s">
        <v>5706</v>
      </c>
      <c r="B5700">
        <v>67327</v>
      </c>
      <c r="C5700">
        <v>7896512941930</v>
      </c>
      <c r="D5700">
        <v>21.9</v>
      </c>
      <c r="E5700">
        <v>14.12</v>
      </c>
      <c r="F5700" s="3">
        <v>0.3226</v>
      </c>
      <c r="G5700">
        <v>12.8086</v>
      </c>
      <c r="H5700">
        <v>0.56699999999999995</v>
      </c>
    </row>
    <row r="5701" spans="1:8" x14ac:dyDescent="0.25">
      <c r="A5701" t="s">
        <v>5707</v>
      </c>
      <c r="B5701">
        <v>58922</v>
      </c>
      <c r="C5701">
        <v>7896512922373</v>
      </c>
      <c r="D5701">
        <v>21.9</v>
      </c>
      <c r="E5701">
        <v>14.84</v>
      </c>
      <c r="F5701" s="3">
        <v>0.29049999999999998</v>
      </c>
      <c r="G5701">
        <v>13.5122</v>
      </c>
      <c r="H5701">
        <v>1.167</v>
      </c>
    </row>
    <row r="5702" spans="1:8" x14ac:dyDescent="0.25">
      <c r="A5702" t="s">
        <v>5708</v>
      </c>
      <c r="B5702">
        <v>67326</v>
      </c>
      <c r="C5702">
        <v>7896512922472</v>
      </c>
      <c r="D5702">
        <v>21.9</v>
      </c>
      <c r="E5702">
        <v>13.98</v>
      </c>
      <c r="F5702" s="3">
        <v>0.32799999999999996</v>
      </c>
      <c r="G5702">
        <v>12.69</v>
      </c>
      <c r="H5702">
        <v>0.3</v>
      </c>
    </row>
    <row r="5703" spans="1:8" x14ac:dyDescent="0.25">
      <c r="A5703" t="s">
        <v>5709</v>
      </c>
      <c r="B5703">
        <v>67325</v>
      </c>
      <c r="C5703">
        <v>7896512960382</v>
      </c>
      <c r="D5703">
        <v>44.9</v>
      </c>
      <c r="E5703">
        <v>28.56</v>
      </c>
      <c r="F5703" s="3">
        <v>0.32490000000000002</v>
      </c>
      <c r="G5703">
        <v>26.158200000000001</v>
      </c>
      <c r="H5703">
        <v>0.13300000000000001</v>
      </c>
    </row>
    <row r="5704" spans="1:8" x14ac:dyDescent="0.25">
      <c r="A5704" t="s">
        <v>5710</v>
      </c>
      <c r="B5704">
        <v>61208</v>
      </c>
      <c r="C5704">
        <v>7896512955265</v>
      </c>
      <c r="D5704">
        <v>44.9</v>
      </c>
      <c r="E5704">
        <v>30.25</v>
      </c>
      <c r="F5704" s="3">
        <v>0.29620000000000002</v>
      </c>
      <c r="G5704">
        <v>27.4483</v>
      </c>
      <c r="H5704">
        <v>6.7000000000000004E-2</v>
      </c>
    </row>
    <row r="5705" spans="1:8" x14ac:dyDescent="0.25">
      <c r="A5705" t="s">
        <v>5711</v>
      </c>
      <c r="B5705">
        <v>58921</v>
      </c>
      <c r="C5705">
        <v>7896512949417</v>
      </c>
      <c r="D5705">
        <v>44.9</v>
      </c>
      <c r="E5705">
        <v>30.17</v>
      </c>
      <c r="F5705" s="3">
        <v>0.29770000000000002</v>
      </c>
      <c r="G5705">
        <v>27.3813</v>
      </c>
      <c r="H5705">
        <v>0.46700000000000003</v>
      </c>
    </row>
    <row r="5706" spans="1:8" x14ac:dyDescent="0.25">
      <c r="A5706" t="s">
        <v>5712</v>
      </c>
      <c r="B5706">
        <v>17205</v>
      </c>
      <c r="C5706">
        <v>7896512939678</v>
      </c>
      <c r="D5706">
        <v>25.9</v>
      </c>
      <c r="E5706">
        <v>17.13</v>
      </c>
      <c r="F5706" s="3">
        <v>0.29600000000000004</v>
      </c>
      <c r="G5706">
        <v>15.836600000000001</v>
      </c>
      <c r="H5706">
        <v>1.1000000000000001</v>
      </c>
    </row>
    <row r="5707" spans="1:8" x14ac:dyDescent="0.25">
      <c r="A5707" t="s">
        <v>5713</v>
      </c>
      <c r="B5707">
        <v>67333</v>
      </c>
      <c r="C5707">
        <v>7896512959928</v>
      </c>
      <c r="D5707">
        <v>25.9</v>
      </c>
      <c r="E5707">
        <v>16.739999999999998</v>
      </c>
      <c r="F5707" s="3">
        <v>0.3211</v>
      </c>
      <c r="G5707">
        <v>15.188000000000001</v>
      </c>
      <c r="H5707">
        <v>0.2</v>
      </c>
    </row>
    <row r="5708" spans="1:8" x14ac:dyDescent="0.25">
      <c r="A5708" t="s">
        <v>5714</v>
      </c>
      <c r="B5708">
        <v>67336</v>
      </c>
      <c r="C5708">
        <v>7896512947376</v>
      </c>
      <c r="D5708">
        <v>21.9</v>
      </c>
      <c r="E5708">
        <v>14.3</v>
      </c>
      <c r="F5708" s="3">
        <v>0.31379999999999997</v>
      </c>
      <c r="G5708">
        <v>13.002700000000001</v>
      </c>
      <c r="H5708">
        <v>0.23300000000000001</v>
      </c>
    </row>
    <row r="5709" spans="1:8" x14ac:dyDescent="0.25">
      <c r="A5709" t="s">
        <v>5715</v>
      </c>
      <c r="B5709">
        <v>67335</v>
      </c>
      <c r="C5709">
        <v>7896512959942</v>
      </c>
      <c r="D5709">
        <v>21.9</v>
      </c>
      <c r="E5709">
        <v>14.2</v>
      </c>
      <c r="F5709" s="3">
        <v>0.31909999999999999</v>
      </c>
      <c r="G5709">
        <v>12.886699999999999</v>
      </c>
      <c r="H5709">
        <v>0.2</v>
      </c>
    </row>
    <row r="5710" spans="1:8" x14ac:dyDescent="0.25">
      <c r="A5710" t="s">
        <v>5716</v>
      </c>
      <c r="B5710">
        <v>67334</v>
      </c>
      <c r="C5710">
        <v>7896512959935</v>
      </c>
      <c r="D5710">
        <v>21.9</v>
      </c>
      <c r="E5710">
        <v>14.2</v>
      </c>
      <c r="F5710" s="3">
        <v>0.31909999999999999</v>
      </c>
      <c r="G5710">
        <v>12.886699999999999</v>
      </c>
      <c r="H5710">
        <v>0.26700000000000002</v>
      </c>
    </row>
    <row r="5711" spans="1:8" x14ac:dyDescent="0.25">
      <c r="A5711" t="s">
        <v>5717</v>
      </c>
      <c r="B5711">
        <v>67332</v>
      </c>
      <c r="C5711">
        <v>7896512959911</v>
      </c>
      <c r="D5711">
        <v>25.9</v>
      </c>
      <c r="E5711">
        <v>16.739999999999998</v>
      </c>
      <c r="F5711" s="3">
        <v>0.3211</v>
      </c>
      <c r="G5711">
        <v>15.188000000000001</v>
      </c>
      <c r="H5711">
        <v>0.53300000000000003</v>
      </c>
    </row>
    <row r="5712" spans="1:8" x14ac:dyDescent="0.25">
      <c r="A5712" t="s">
        <v>5718</v>
      </c>
      <c r="B5712">
        <v>8205</v>
      </c>
      <c r="C5712">
        <v>7896512939593</v>
      </c>
      <c r="D5712">
        <v>25.9</v>
      </c>
      <c r="E5712">
        <v>17.28</v>
      </c>
      <c r="F5712" s="3">
        <v>0.29930000000000001</v>
      </c>
      <c r="G5712">
        <v>15.751300000000001</v>
      </c>
      <c r="H5712">
        <v>0.56699999999999995</v>
      </c>
    </row>
    <row r="5713" spans="1:8" x14ac:dyDescent="0.25">
      <c r="A5713" t="s">
        <v>5719</v>
      </c>
      <c r="B5713">
        <v>17203</v>
      </c>
      <c r="C5713">
        <v>7896512911070</v>
      </c>
      <c r="D5713">
        <v>29.9</v>
      </c>
      <c r="E5713">
        <v>19.79</v>
      </c>
      <c r="F5713" s="3">
        <v>0.30760000000000004</v>
      </c>
      <c r="G5713">
        <v>17.9374</v>
      </c>
      <c r="H5713">
        <v>0.6</v>
      </c>
    </row>
    <row r="5714" spans="1:8" x14ac:dyDescent="0.25">
      <c r="A5714" t="s">
        <v>5720</v>
      </c>
      <c r="B5714">
        <v>17202</v>
      </c>
      <c r="C5714">
        <v>7896512911087</v>
      </c>
      <c r="D5714">
        <v>29.9</v>
      </c>
      <c r="E5714">
        <v>19.36</v>
      </c>
      <c r="F5714" s="3">
        <v>0.32140000000000002</v>
      </c>
      <c r="G5714">
        <v>17.525300000000001</v>
      </c>
      <c r="H5714">
        <v>0.36699999999999999</v>
      </c>
    </row>
    <row r="5715" spans="1:8" x14ac:dyDescent="0.25">
      <c r="A5715" t="s">
        <v>5721</v>
      </c>
      <c r="B5715">
        <v>67323</v>
      </c>
      <c r="C5715">
        <v>7896512940216</v>
      </c>
      <c r="D5715">
        <v>29.9</v>
      </c>
      <c r="E5715">
        <v>13.04</v>
      </c>
      <c r="F5715" s="3">
        <v>0.53010000000000002</v>
      </c>
      <c r="G5715">
        <v>11.284800000000001</v>
      </c>
      <c r="H5715">
        <v>0.6</v>
      </c>
    </row>
    <row r="5716" spans="1:8" x14ac:dyDescent="0.25">
      <c r="A5716" t="s">
        <v>5722</v>
      </c>
      <c r="B5716">
        <v>17204</v>
      </c>
      <c r="C5716">
        <v>7896512922458</v>
      </c>
      <c r="D5716">
        <v>29.9</v>
      </c>
      <c r="E5716">
        <v>19.100000000000001</v>
      </c>
      <c r="F5716" s="3">
        <v>0.32770000000000005</v>
      </c>
      <c r="G5716">
        <v>17.335799999999999</v>
      </c>
      <c r="H5716">
        <v>0</v>
      </c>
    </row>
    <row r="5717" spans="1:8" x14ac:dyDescent="0.25">
      <c r="A5717" t="s">
        <v>5723</v>
      </c>
      <c r="B5717">
        <v>67338</v>
      </c>
      <c r="C5717">
        <v>7896512949905</v>
      </c>
      <c r="D5717">
        <v>23.9</v>
      </c>
      <c r="E5717">
        <v>15.84</v>
      </c>
      <c r="F5717" s="3">
        <v>0.30599999999999999</v>
      </c>
      <c r="G5717">
        <v>14.3767</v>
      </c>
      <c r="H5717">
        <v>0.3</v>
      </c>
    </row>
    <row r="5718" spans="1:8" x14ac:dyDescent="0.25">
      <c r="A5718" t="s">
        <v>5724</v>
      </c>
      <c r="B5718">
        <v>67339</v>
      </c>
      <c r="C5718">
        <v>7896512949868</v>
      </c>
      <c r="D5718">
        <v>23.9</v>
      </c>
      <c r="E5718">
        <v>15.84</v>
      </c>
      <c r="F5718" s="3">
        <v>0.30599999999999999</v>
      </c>
      <c r="G5718">
        <v>14.3767</v>
      </c>
      <c r="H5718">
        <v>0.33300000000000002</v>
      </c>
    </row>
    <row r="5719" spans="1:8" x14ac:dyDescent="0.25">
      <c r="A5719" t="s">
        <v>5725</v>
      </c>
      <c r="B5719">
        <v>7041</v>
      </c>
      <c r="C5719">
        <v>7890704810516</v>
      </c>
      <c r="D5719">
        <v>19.899999999999999</v>
      </c>
      <c r="E5719">
        <v>16.739999999999998</v>
      </c>
      <c r="F5719" s="3">
        <v>0.14349999999999999</v>
      </c>
      <c r="G5719">
        <v>15.203099999999999</v>
      </c>
      <c r="H5719">
        <v>2.133</v>
      </c>
    </row>
    <row r="5720" spans="1:8" x14ac:dyDescent="0.25">
      <c r="A5720" t="s">
        <v>5726</v>
      </c>
      <c r="B5720">
        <v>59840</v>
      </c>
      <c r="C5720">
        <v>4005900219626</v>
      </c>
      <c r="D5720">
        <v>19.899999999999999</v>
      </c>
      <c r="E5720">
        <v>16.760000000000002</v>
      </c>
      <c r="F5720" s="3">
        <v>0.1434</v>
      </c>
      <c r="G5720">
        <v>15.206099999999999</v>
      </c>
      <c r="H5720">
        <v>1.2669999999999999</v>
      </c>
    </row>
    <row r="5721" spans="1:8" x14ac:dyDescent="0.25">
      <c r="A5721" t="s">
        <v>5727</v>
      </c>
      <c r="B5721">
        <v>53271</v>
      </c>
      <c r="C5721">
        <v>7891024041154</v>
      </c>
      <c r="D5721">
        <v>36.9</v>
      </c>
      <c r="E5721">
        <v>22.58</v>
      </c>
      <c r="F5721" s="3">
        <v>0.34749999999999998</v>
      </c>
      <c r="G5721">
        <v>20.6646</v>
      </c>
      <c r="H5721">
        <v>1.5669999999999999</v>
      </c>
    </row>
    <row r="5722" spans="1:8" x14ac:dyDescent="0.25">
      <c r="A5722" t="s">
        <v>5728</v>
      </c>
      <c r="B5722">
        <v>27662</v>
      </c>
      <c r="C5722">
        <v>7891024023969</v>
      </c>
      <c r="D5722">
        <v>22.9</v>
      </c>
      <c r="E5722">
        <v>14.71</v>
      </c>
      <c r="F5722" s="3">
        <v>0.32409999999999994</v>
      </c>
      <c r="G5722">
        <v>13.3606</v>
      </c>
      <c r="H5722">
        <v>0</v>
      </c>
    </row>
    <row r="5723" spans="1:8" x14ac:dyDescent="0.25">
      <c r="A5723" t="s">
        <v>5729</v>
      </c>
      <c r="B5723">
        <v>42522</v>
      </c>
      <c r="C5723">
        <v>7891024033227</v>
      </c>
      <c r="D5723">
        <v>22.9</v>
      </c>
      <c r="E5723">
        <v>15.09</v>
      </c>
      <c r="F5723" s="3">
        <v>0.3054</v>
      </c>
      <c r="G5723">
        <v>13.788399999999999</v>
      </c>
      <c r="H5723">
        <v>0.83299999999999996</v>
      </c>
    </row>
    <row r="5724" spans="1:8" x14ac:dyDescent="0.25">
      <c r="A5724" t="s">
        <v>5730</v>
      </c>
      <c r="B5724">
        <v>50048</v>
      </c>
      <c r="C5724">
        <v>7891024036402</v>
      </c>
      <c r="D5724">
        <v>6.9</v>
      </c>
      <c r="E5724">
        <v>4.3</v>
      </c>
      <c r="F5724" s="3">
        <v>0.34229999999999999</v>
      </c>
      <c r="G5724">
        <v>3.8997000000000002</v>
      </c>
      <c r="H5724">
        <v>0.13300000000000001</v>
      </c>
    </row>
    <row r="5725" spans="1:8" x14ac:dyDescent="0.25">
      <c r="A5725" t="s">
        <v>5731</v>
      </c>
      <c r="B5725">
        <v>66174</v>
      </c>
      <c r="C5725">
        <v>7891010579289</v>
      </c>
      <c r="D5725">
        <v>31.9</v>
      </c>
      <c r="E5725">
        <v>19.670000000000002</v>
      </c>
      <c r="F5725" s="3">
        <v>0.35229999999999995</v>
      </c>
      <c r="G5725">
        <v>17.709800000000001</v>
      </c>
      <c r="H5725">
        <v>6.7000000000000004E-2</v>
      </c>
    </row>
    <row r="5726" spans="1:8" x14ac:dyDescent="0.25">
      <c r="A5726" t="s">
        <v>5732</v>
      </c>
      <c r="B5726">
        <v>67579</v>
      </c>
      <c r="C5726">
        <v>7891010256821</v>
      </c>
      <c r="D5726">
        <v>19.899999999999999</v>
      </c>
      <c r="E5726">
        <v>10.52</v>
      </c>
      <c r="F5726" s="3">
        <v>0.4279</v>
      </c>
      <c r="G5726">
        <v>9.5439000000000007</v>
      </c>
      <c r="H5726">
        <v>1.833</v>
      </c>
    </row>
    <row r="5727" spans="1:8" x14ac:dyDescent="0.25">
      <c r="A5727" t="s">
        <v>5733</v>
      </c>
      <c r="B5727">
        <v>68595</v>
      </c>
      <c r="C5727">
        <v>7891010256852</v>
      </c>
      <c r="D5727">
        <v>19.899999999999999</v>
      </c>
      <c r="E5727">
        <v>10.52</v>
      </c>
      <c r="F5727" s="3">
        <v>0.4279</v>
      </c>
      <c r="G5727">
        <v>9.5441000000000003</v>
      </c>
      <c r="H5727">
        <v>1.1000000000000001</v>
      </c>
    </row>
    <row r="5728" spans="1:8" x14ac:dyDescent="0.25">
      <c r="A5728" t="s">
        <v>5734</v>
      </c>
      <c r="B5728">
        <v>66172</v>
      </c>
      <c r="C5728">
        <v>7891010871031</v>
      </c>
      <c r="D5728">
        <v>19.899999999999999</v>
      </c>
      <c r="E5728">
        <v>10.54</v>
      </c>
      <c r="F5728" s="3">
        <v>0.42710000000000004</v>
      </c>
      <c r="G5728">
        <v>9.5593000000000004</v>
      </c>
      <c r="H5728">
        <v>1.833</v>
      </c>
    </row>
    <row r="5729" spans="1:8" x14ac:dyDescent="0.25">
      <c r="A5729" t="s">
        <v>5735</v>
      </c>
      <c r="B5729">
        <v>66173</v>
      </c>
      <c r="C5729">
        <v>7891010871024</v>
      </c>
      <c r="D5729">
        <v>21.9</v>
      </c>
      <c r="E5729">
        <v>10.66</v>
      </c>
      <c r="F5729" s="3">
        <v>0.46549999999999997</v>
      </c>
      <c r="G5729">
        <v>9.6795000000000009</v>
      </c>
      <c r="H5729">
        <v>1.1000000000000001</v>
      </c>
    </row>
    <row r="5730" spans="1:8" x14ac:dyDescent="0.25">
      <c r="A5730" t="s">
        <v>5736</v>
      </c>
      <c r="B5730">
        <v>67577</v>
      </c>
      <c r="C5730">
        <v>7891010256807</v>
      </c>
      <c r="D5730">
        <v>21.9</v>
      </c>
      <c r="E5730">
        <v>14.73</v>
      </c>
      <c r="F5730" s="3">
        <v>0.29719999999999996</v>
      </c>
      <c r="G5730">
        <v>13.3651</v>
      </c>
      <c r="H5730">
        <v>0.5</v>
      </c>
    </row>
    <row r="5731" spans="1:8" x14ac:dyDescent="0.25">
      <c r="A5731" t="s">
        <v>5737</v>
      </c>
      <c r="B5731">
        <v>68593</v>
      </c>
      <c r="C5731">
        <v>7891010256838</v>
      </c>
      <c r="D5731">
        <v>21.9</v>
      </c>
      <c r="E5731">
        <v>14.73</v>
      </c>
      <c r="F5731" s="3">
        <v>0.29719999999999996</v>
      </c>
      <c r="G5731">
        <v>13.365</v>
      </c>
      <c r="H5731">
        <v>0.16700000000000001</v>
      </c>
    </row>
    <row r="5732" spans="1:8" x14ac:dyDescent="0.25">
      <c r="A5732" t="s">
        <v>5738</v>
      </c>
      <c r="B5732">
        <v>66160</v>
      </c>
      <c r="C5732">
        <v>7891010005757</v>
      </c>
      <c r="D5732">
        <v>21.9</v>
      </c>
      <c r="E5732">
        <v>14.8</v>
      </c>
      <c r="F5732" s="3">
        <v>0.29370000000000002</v>
      </c>
      <c r="G5732">
        <v>13.4412</v>
      </c>
      <c r="H5732">
        <v>0.4</v>
      </c>
    </row>
    <row r="5733" spans="1:8" x14ac:dyDescent="0.25">
      <c r="A5733" t="s">
        <v>5739</v>
      </c>
      <c r="B5733">
        <v>66161</v>
      </c>
      <c r="C5733">
        <v>7891010042950</v>
      </c>
      <c r="D5733">
        <v>26.9</v>
      </c>
      <c r="E5733">
        <v>15.43</v>
      </c>
      <c r="F5733" s="3">
        <v>0.39939999999999998</v>
      </c>
      <c r="G5733">
        <v>13.6692</v>
      </c>
      <c r="H5733">
        <v>0.4</v>
      </c>
    </row>
    <row r="5734" spans="1:8" x14ac:dyDescent="0.25">
      <c r="A5734" t="s">
        <v>5740</v>
      </c>
      <c r="B5734">
        <v>66168</v>
      </c>
      <c r="C5734">
        <v>7891010250935</v>
      </c>
      <c r="D5734">
        <v>33.9</v>
      </c>
      <c r="E5734">
        <v>21.74</v>
      </c>
      <c r="F5734" s="3">
        <v>0.32280000000000003</v>
      </c>
      <c r="G5734">
        <v>19.819800000000001</v>
      </c>
      <c r="H5734">
        <v>0.13300000000000001</v>
      </c>
    </row>
    <row r="5735" spans="1:8" x14ac:dyDescent="0.25">
      <c r="A5735" t="s">
        <v>5741</v>
      </c>
      <c r="B5735">
        <v>67578</v>
      </c>
      <c r="C5735">
        <v>7891010256814</v>
      </c>
      <c r="D5735">
        <v>39.9</v>
      </c>
      <c r="E5735">
        <v>25.54</v>
      </c>
      <c r="F5735" s="3">
        <v>0.32659999999999995</v>
      </c>
      <c r="G5735">
        <v>23.1783</v>
      </c>
      <c r="H5735">
        <v>5.8330000000000002</v>
      </c>
    </row>
    <row r="5736" spans="1:8" x14ac:dyDescent="0.25">
      <c r="A5736" t="s">
        <v>5742</v>
      </c>
      <c r="B5736">
        <v>68594</v>
      </c>
      <c r="C5736">
        <v>7891010256845</v>
      </c>
      <c r="D5736">
        <v>39.9</v>
      </c>
      <c r="E5736">
        <v>25.54</v>
      </c>
      <c r="F5736" s="3">
        <v>0.32659999999999995</v>
      </c>
      <c r="G5736">
        <v>23.1783</v>
      </c>
      <c r="H5736">
        <v>2.2000000000000002</v>
      </c>
    </row>
    <row r="5737" spans="1:8" x14ac:dyDescent="0.25">
      <c r="A5737" t="s">
        <v>5743</v>
      </c>
      <c r="B5737">
        <v>66163</v>
      </c>
      <c r="C5737">
        <v>7891010870744</v>
      </c>
      <c r="D5737">
        <v>39.9</v>
      </c>
      <c r="E5737">
        <v>25.56</v>
      </c>
      <c r="F5737" s="3">
        <v>0.32650000000000001</v>
      </c>
      <c r="G5737">
        <v>23.182300000000001</v>
      </c>
      <c r="H5737">
        <v>7.3</v>
      </c>
    </row>
    <row r="5738" spans="1:8" x14ac:dyDescent="0.25">
      <c r="A5738" t="s">
        <v>5744</v>
      </c>
      <c r="B5738">
        <v>66165</v>
      </c>
      <c r="C5738">
        <v>7891010870713</v>
      </c>
      <c r="D5738">
        <v>49.9</v>
      </c>
      <c r="E5738">
        <v>26.67</v>
      </c>
      <c r="F5738" s="3">
        <v>0.44069999999999998</v>
      </c>
      <c r="G5738">
        <v>23.295100000000001</v>
      </c>
      <c r="H5738">
        <v>0.56699999999999995</v>
      </c>
    </row>
    <row r="5739" spans="1:8" x14ac:dyDescent="0.25">
      <c r="A5739" t="s">
        <v>5745</v>
      </c>
      <c r="B5739">
        <v>66177</v>
      </c>
      <c r="C5739">
        <v>7891010253691</v>
      </c>
      <c r="D5739">
        <v>24.9</v>
      </c>
      <c r="E5739">
        <v>15.08</v>
      </c>
      <c r="F5739" s="3">
        <v>0.36320000000000002</v>
      </c>
      <c r="G5739">
        <v>13.5525</v>
      </c>
      <c r="H5739">
        <v>0.13300000000000001</v>
      </c>
    </row>
    <row r="5740" spans="1:8" x14ac:dyDescent="0.25">
      <c r="A5740" t="s">
        <v>5746</v>
      </c>
      <c r="B5740">
        <v>66179</v>
      </c>
      <c r="C5740">
        <v>7891010253707</v>
      </c>
      <c r="D5740">
        <v>42.9</v>
      </c>
      <c r="E5740">
        <v>25.93</v>
      </c>
      <c r="F5740" s="3">
        <v>0.36009999999999998</v>
      </c>
      <c r="G5740">
        <v>23.482099999999999</v>
      </c>
      <c r="H5740">
        <v>6.7000000000000004E-2</v>
      </c>
    </row>
    <row r="5741" spans="1:8" x14ac:dyDescent="0.25">
      <c r="A5741" t="s">
        <v>5747</v>
      </c>
      <c r="B5741">
        <v>55276</v>
      </c>
      <c r="C5741">
        <v>7891150062177</v>
      </c>
      <c r="D5741">
        <v>24.9</v>
      </c>
      <c r="E5741">
        <v>17.36</v>
      </c>
      <c r="F5741" s="3">
        <v>0.27489999999999998</v>
      </c>
      <c r="G5741">
        <v>15.751300000000001</v>
      </c>
      <c r="H5741">
        <v>0.1</v>
      </c>
    </row>
    <row r="5742" spans="1:8" x14ac:dyDescent="0.25">
      <c r="A5742" t="s">
        <v>5748</v>
      </c>
      <c r="B5742">
        <v>55275</v>
      </c>
      <c r="C5742">
        <v>7891150062191</v>
      </c>
      <c r="D5742">
        <v>24.9</v>
      </c>
      <c r="E5742">
        <v>17.36</v>
      </c>
      <c r="F5742" s="3">
        <v>0.27489999999999998</v>
      </c>
      <c r="G5742">
        <v>15.751300000000001</v>
      </c>
      <c r="H5742">
        <v>3.3000000000000002E-2</v>
      </c>
    </row>
    <row r="5743" spans="1:8" x14ac:dyDescent="0.25">
      <c r="A5743" t="s">
        <v>5749</v>
      </c>
      <c r="B5743">
        <v>17570</v>
      </c>
      <c r="C5743">
        <v>7891150060241</v>
      </c>
      <c r="D5743">
        <v>4.99</v>
      </c>
      <c r="E5743">
        <v>5.5</v>
      </c>
      <c r="F5743" s="3">
        <v>-9.7599999999999992E-2</v>
      </c>
      <c r="G5743">
        <v>5.0152999999999999</v>
      </c>
      <c r="H5743">
        <v>20.667000000000002</v>
      </c>
    </row>
    <row r="5744" spans="1:8" x14ac:dyDescent="0.25">
      <c r="A5744" t="s">
        <v>5750</v>
      </c>
      <c r="B5744">
        <v>67447</v>
      </c>
      <c r="C5744">
        <v>7891150095328</v>
      </c>
      <c r="D5744">
        <v>4.99</v>
      </c>
      <c r="E5744">
        <v>5.5</v>
      </c>
      <c r="F5744" s="3">
        <v>-9.8100000000000007E-2</v>
      </c>
      <c r="G5744">
        <v>5.0179999999999998</v>
      </c>
      <c r="H5744">
        <v>18.266999999999999</v>
      </c>
    </row>
    <row r="5745" spans="1:8" x14ac:dyDescent="0.25">
      <c r="A5745" t="s">
        <v>5751</v>
      </c>
      <c r="B5745">
        <v>17573</v>
      </c>
      <c r="C5745">
        <v>7891150060227</v>
      </c>
      <c r="D5745">
        <v>4.99</v>
      </c>
      <c r="E5745">
        <v>5.53</v>
      </c>
      <c r="F5745" s="3">
        <v>-9.98E-2</v>
      </c>
      <c r="G5745">
        <v>5.0266000000000002</v>
      </c>
      <c r="H5745">
        <v>22.167000000000002</v>
      </c>
    </row>
    <row r="5746" spans="1:8" x14ac:dyDescent="0.25">
      <c r="A5746" t="s">
        <v>5752</v>
      </c>
      <c r="B5746">
        <v>27836</v>
      </c>
      <c r="C5746">
        <v>7891150060210</v>
      </c>
      <c r="D5746">
        <v>4.99</v>
      </c>
      <c r="E5746">
        <v>5.52</v>
      </c>
      <c r="F5746" s="3">
        <v>-9.8299999999999998E-2</v>
      </c>
      <c r="G5746">
        <v>5.0191999999999997</v>
      </c>
      <c r="H5746">
        <v>26.3</v>
      </c>
    </row>
    <row r="5747" spans="1:8" x14ac:dyDescent="0.25">
      <c r="A5747" t="s">
        <v>5753</v>
      </c>
      <c r="B5747">
        <v>17600</v>
      </c>
      <c r="C5747">
        <v>7891150060166</v>
      </c>
      <c r="D5747">
        <v>11.9</v>
      </c>
      <c r="E5747">
        <v>7.65</v>
      </c>
      <c r="F5747" s="3">
        <v>0.31730000000000003</v>
      </c>
      <c r="G5747">
        <v>7.0239000000000003</v>
      </c>
      <c r="H5747">
        <v>0.8</v>
      </c>
    </row>
    <row r="5748" spans="1:8" x14ac:dyDescent="0.25">
      <c r="A5748" t="s">
        <v>5754</v>
      </c>
      <c r="B5748">
        <v>67451</v>
      </c>
      <c r="C5748">
        <v>7891150095311</v>
      </c>
      <c r="D5748">
        <v>11.9</v>
      </c>
      <c r="E5748">
        <v>7.27</v>
      </c>
      <c r="F5748" s="3">
        <v>0.3528</v>
      </c>
      <c r="G5748">
        <v>6.6014999999999997</v>
      </c>
      <c r="H5748">
        <v>0.23300000000000001</v>
      </c>
    </row>
    <row r="5749" spans="1:8" x14ac:dyDescent="0.25">
      <c r="A5749" t="s">
        <v>5755</v>
      </c>
      <c r="B5749">
        <v>17564</v>
      </c>
      <c r="C5749">
        <v>7891150060159</v>
      </c>
      <c r="D5749">
        <v>11.9</v>
      </c>
      <c r="E5749">
        <v>7.71</v>
      </c>
      <c r="F5749" s="3">
        <v>0.31190000000000001</v>
      </c>
      <c r="G5749">
        <v>7.0871000000000004</v>
      </c>
      <c r="H5749">
        <v>0.66700000000000004</v>
      </c>
    </row>
    <row r="5750" spans="1:8" x14ac:dyDescent="0.25">
      <c r="A5750" t="s">
        <v>5756</v>
      </c>
      <c r="B5750">
        <v>17559</v>
      </c>
      <c r="C5750">
        <v>7891150060142</v>
      </c>
      <c r="D5750">
        <v>11.9</v>
      </c>
      <c r="E5750">
        <v>7.84</v>
      </c>
      <c r="F5750" s="3">
        <v>0.30870000000000003</v>
      </c>
      <c r="G5750">
        <v>7.1254999999999997</v>
      </c>
      <c r="H5750">
        <v>1.2</v>
      </c>
    </row>
    <row r="5751" spans="1:8" x14ac:dyDescent="0.25">
      <c r="A5751" t="s">
        <v>5757</v>
      </c>
      <c r="B5751">
        <v>17560</v>
      </c>
      <c r="C5751">
        <v>7891150060197</v>
      </c>
      <c r="D5751">
        <v>11.9</v>
      </c>
      <c r="E5751">
        <v>7.69</v>
      </c>
      <c r="F5751" s="3">
        <v>0.31019999999999998</v>
      </c>
      <c r="G5751">
        <v>7.1079999999999997</v>
      </c>
      <c r="H5751">
        <v>0.66700000000000004</v>
      </c>
    </row>
    <row r="5752" spans="1:8" x14ac:dyDescent="0.25">
      <c r="A5752" t="s">
        <v>5758</v>
      </c>
      <c r="B5752">
        <v>65205</v>
      </c>
      <c r="C5752">
        <v>7891150086760</v>
      </c>
      <c r="D5752">
        <v>15.9</v>
      </c>
      <c r="E5752">
        <v>11.77</v>
      </c>
      <c r="F5752" s="3">
        <v>0.23569999999999999</v>
      </c>
      <c r="G5752">
        <v>10.681699999999999</v>
      </c>
      <c r="H5752">
        <v>0.53300000000000003</v>
      </c>
    </row>
    <row r="5753" spans="1:8" x14ac:dyDescent="0.25">
      <c r="A5753" t="s">
        <v>5759</v>
      </c>
      <c r="B5753">
        <v>60977</v>
      </c>
      <c r="C5753">
        <v>7891150082786</v>
      </c>
      <c r="D5753">
        <v>15.9</v>
      </c>
      <c r="E5753">
        <v>11.63</v>
      </c>
      <c r="F5753" s="3">
        <v>0.23670000000000002</v>
      </c>
      <c r="G5753">
        <v>10.6653</v>
      </c>
      <c r="H5753">
        <v>0.26700000000000002</v>
      </c>
    </row>
    <row r="5754" spans="1:8" x14ac:dyDescent="0.25">
      <c r="A5754" t="s">
        <v>5760</v>
      </c>
      <c r="B5754">
        <v>60976</v>
      </c>
      <c r="C5754">
        <v>7891150082779</v>
      </c>
      <c r="D5754">
        <v>15.9</v>
      </c>
      <c r="E5754">
        <v>10.59</v>
      </c>
      <c r="F5754" s="3">
        <v>0.30149999999999999</v>
      </c>
      <c r="G5754">
        <v>9.6353000000000009</v>
      </c>
      <c r="H5754">
        <v>0.2</v>
      </c>
    </row>
    <row r="5755" spans="1:8" x14ac:dyDescent="0.25">
      <c r="A5755" t="s">
        <v>5761</v>
      </c>
      <c r="B5755">
        <v>60978</v>
      </c>
      <c r="C5755">
        <v>7891150082793</v>
      </c>
      <c r="D5755">
        <v>15.9</v>
      </c>
      <c r="E5755">
        <v>10.27</v>
      </c>
      <c r="F5755" s="3">
        <v>0.32150000000000001</v>
      </c>
      <c r="G5755">
        <v>9.3178000000000001</v>
      </c>
      <c r="H5755">
        <v>0.1</v>
      </c>
    </row>
    <row r="5756" spans="1:8" x14ac:dyDescent="0.25">
      <c r="A5756" t="s">
        <v>5762</v>
      </c>
      <c r="B5756">
        <v>67448</v>
      </c>
      <c r="C5756">
        <v>7891150095717</v>
      </c>
      <c r="D5756">
        <v>25.9</v>
      </c>
      <c r="E5756">
        <v>16.97</v>
      </c>
      <c r="F5756" s="3">
        <v>0.31280000000000002</v>
      </c>
      <c r="G5756">
        <v>15.4026</v>
      </c>
      <c r="H5756">
        <v>0.26700000000000002</v>
      </c>
    </row>
    <row r="5757" spans="1:8" x14ac:dyDescent="0.25">
      <c r="A5757" t="s">
        <v>5763</v>
      </c>
      <c r="B5757">
        <v>67449</v>
      </c>
      <c r="C5757">
        <v>7891150095724</v>
      </c>
      <c r="D5757">
        <v>25.9</v>
      </c>
      <c r="E5757">
        <v>16.97</v>
      </c>
      <c r="F5757" s="3">
        <v>0.31280000000000002</v>
      </c>
      <c r="G5757">
        <v>15.4026</v>
      </c>
      <c r="H5757">
        <v>0.23300000000000001</v>
      </c>
    </row>
    <row r="5758" spans="1:8" x14ac:dyDescent="0.25">
      <c r="A5758" t="s">
        <v>5764</v>
      </c>
      <c r="B5758">
        <v>63653</v>
      </c>
      <c r="C5758">
        <v>7891150087583</v>
      </c>
      <c r="D5758">
        <v>21.9</v>
      </c>
      <c r="E5758">
        <v>15.23</v>
      </c>
      <c r="F5758" s="3">
        <v>0.2737</v>
      </c>
      <c r="G5758">
        <v>13.8796</v>
      </c>
      <c r="H5758">
        <v>0.3</v>
      </c>
    </row>
    <row r="5759" spans="1:8" x14ac:dyDescent="0.25">
      <c r="A5759" t="s">
        <v>5765</v>
      </c>
      <c r="B5759">
        <v>57123</v>
      </c>
      <c r="C5759">
        <v>7891150068988</v>
      </c>
      <c r="D5759">
        <v>26.9</v>
      </c>
      <c r="E5759">
        <v>17.77</v>
      </c>
      <c r="F5759" s="3">
        <v>0.30570000000000003</v>
      </c>
      <c r="G5759">
        <v>16.188400000000001</v>
      </c>
      <c r="H5759">
        <v>6.7000000000000004E-2</v>
      </c>
    </row>
    <row r="5760" spans="1:8" x14ac:dyDescent="0.25">
      <c r="A5760" t="s">
        <v>5766</v>
      </c>
      <c r="B5760">
        <v>65202</v>
      </c>
      <c r="C5760">
        <v>7891150083486</v>
      </c>
      <c r="D5760">
        <v>11.9</v>
      </c>
      <c r="E5760">
        <v>7.67</v>
      </c>
      <c r="F5760" s="3">
        <v>0.31869999999999998</v>
      </c>
      <c r="G5760">
        <v>7.0067000000000004</v>
      </c>
      <c r="H5760">
        <v>0.83299999999999996</v>
      </c>
    </row>
    <row r="5761" spans="1:8" x14ac:dyDescent="0.25">
      <c r="A5761" t="s">
        <v>5767</v>
      </c>
      <c r="B5761">
        <v>60984</v>
      </c>
      <c r="C5761">
        <v>7891150083462</v>
      </c>
      <c r="D5761">
        <v>11.9</v>
      </c>
      <c r="E5761">
        <v>7.3</v>
      </c>
      <c r="F5761" s="3">
        <v>0.34360000000000002</v>
      </c>
      <c r="G5761">
        <v>6.7107999999999999</v>
      </c>
      <c r="H5761">
        <v>1.5</v>
      </c>
    </row>
    <row r="5762" spans="1:8" x14ac:dyDescent="0.25">
      <c r="A5762" t="s">
        <v>5768</v>
      </c>
      <c r="B5762">
        <v>60985</v>
      </c>
      <c r="C5762">
        <v>7891150083479</v>
      </c>
      <c r="D5762">
        <v>11.9</v>
      </c>
      <c r="E5762">
        <v>8.2100000000000009</v>
      </c>
      <c r="F5762" s="3">
        <v>0.28139999999999998</v>
      </c>
      <c r="G5762">
        <v>7.4505999999999997</v>
      </c>
      <c r="H5762">
        <v>0.36699999999999999</v>
      </c>
    </row>
    <row r="5763" spans="1:8" x14ac:dyDescent="0.25">
      <c r="A5763" t="s">
        <v>5769</v>
      </c>
      <c r="B5763">
        <v>65207</v>
      </c>
      <c r="C5763">
        <v>7891150083547</v>
      </c>
      <c r="D5763">
        <v>17.899999999999999</v>
      </c>
      <c r="E5763">
        <v>12.21</v>
      </c>
      <c r="F5763" s="3">
        <v>0.28859999999999997</v>
      </c>
      <c r="G5763">
        <v>11.0787</v>
      </c>
      <c r="H5763">
        <v>0.63300000000000001</v>
      </c>
    </row>
    <row r="5764" spans="1:8" x14ac:dyDescent="0.25">
      <c r="A5764" t="s">
        <v>5770</v>
      </c>
      <c r="B5764">
        <v>60980</v>
      </c>
      <c r="C5764">
        <v>7891150083523</v>
      </c>
      <c r="D5764">
        <v>17.899999999999999</v>
      </c>
      <c r="E5764">
        <v>11.69</v>
      </c>
      <c r="F5764" s="3">
        <v>0.30510000000000004</v>
      </c>
      <c r="G5764">
        <v>10.783099999999999</v>
      </c>
      <c r="H5764">
        <v>0.93300000000000005</v>
      </c>
    </row>
    <row r="5765" spans="1:8" x14ac:dyDescent="0.25">
      <c r="A5765" t="s">
        <v>5771</v>
      </c>
      <c r="B5765">
        <v>60979</v>
      </c>
      <c r="C5765">
        <v>7891150083516</v>
      </c>
      <c r="D5765">
        <v>17.899999999999999</v>
      </c>
      <c r="E5765">
        <v>11.35</v>
      </c>
      <c r="F5765" s="3">
        <v>0.33210000000000001</v>
      </c>
      <c r="G5765">
        <v>10.300599999999999</v>
      </c>
      <c r="H5765">
        <v>0</v>
      </c>
    </row>
    <row r="5766" spans="1:8" x14ac:dyDescent="0.25">
      <c r="A5766" t="s">
        <v>5772</v>
      </c>
      <c r="B5766">
        <v>60981</v>
      </c>
      <c r="C5766">
        <v>7891150083530</v>
      </c>
      <c r="D5766">
        <v>17.899999999999999</v>
      </c>
      <c r="E5766">
        <v>11.73</v>
      </c>
      <c r="F5766" s="3">
        <v>0.31019999999999998</v>
      </c>
      <c r="G5766">
        <v>10.6921</v>
      </c>
      <c r="H5766">
        <v>0.33300000000000002</v>
      </c>
    </row>
    <row r="5767" spans="1:8" x14ac:dyDescent="0.25">
      <c r="A5767" t="s">
        <v>5773</v>
      </c>
      <c r="B5767">
        <v>59310</v>
      </c>
      <c r="C5767">
        <v>7891150079694</v>
      </c>
      <c r="D5767">
        <v>19.899999999999999</v>
      </c>
      <c r="E5767">
        <v>15.41</v>
      </c>
      <c r="F5767" s="3">
        <v>0.20480000000000001</v>
      </c>
      <c r="G5767">
        <v>13.982900000000001</v>
      </c>
      <c r="H5767">
        <v>0.33300000000000002</v>
      </c>
    </row>
    <row r="5768" spans="1:8" x14ac:dyDescent="0.25">
      <c r="A5768" t="s">
        <v>5774</v>
      </c>
      <c r="B5768">
        <v>56026</v>
      </c>
      <c r="C5768">
        <v>7891150066298</v>
      </c>
      <c r="D5768">
        <v>19.899999999999999</v>
      </c>
      <c r="E5768">
        <v>13.13</v>
      </c>
      <c r="F5768" s="3">
        <v>0.3085</v>
      </c>
      <c r="G5768">
        <v>11.92</v>
      </c>
      <c r="H5768">
        <v>0</v>
      </c>
    </row>
    <row r="5769" spans="1:8" x14ac:dyDescent="0.25">
      <c r="A5769" t="s">
        <v>5775</v>
      </c>
      <c r="B5769">
        <v>55999</v>
      </c>
      <c r="C5769">
        <v>7891150066274</v>
      </c>
      <c r="D5769">
        <v>19.899999999999999</v>
      </c>
      <c r="E5769">
        <v>16.04</v>
      </c>
      <c r="F5769" s="3">
        <v>0.1759</v>
      </c>
      <c r="G5769">
        <v>14.5596</v>
      </c>
      <c r="H5769">
        <v>0.5</v>
      </c>
    </row>
    <row r="5770" spans="1:8" x14ac:dyDescent="0.25">
      <c r="A5770" t="s">
        <v>5776</v>
      </c>
      <c r="B5770">
        <v>62565</v>
      </c>
      <c r="C5770">
        <v>7891150086043</v>
      </c>
      <c r="D5770">
        <v>16.899999999999999</v>
      </c>
      <c r="E5770">
        <v>12.26</v>
      </c>
      <c r="F5770" s="3">
        <v>0.23350000000000001</v>
      </c>
      <c r="G5770">
        <v>11.391</v>
      </c>
      <c r="H5770">
        <v>0.7</v>
      </c>
    </row>
    <row r="5771" spans="1:8" x14ac:dyDescent="0.25">
      <c r="A5771" t="s">
        <v>5777</v>
      </c>
      <c r="B5771">
        <v>62566</v>
      </c>
      <c r="C5771">
        <v>7891150086067</v>
      </c>
      <c r="D5771">
        <v>16.899999999999999</v>
      </c>
      <c r="E5771">
        <v>11.11</v>
      </c>
      <c r="F5771" s="3">
        <v>0.3125</v>
      </c>
      <c r="G5771">
        <v>10.055999999999999</v>
      </c>
      <c r="H5771">
        <v>0</v>
      </c>
    </row>
    <row r="5772" spans="1:8" x14ac:dyDescent="0.25">
      <c r="A5772" t="s">
        <v>5778</v>
      </c>
      <c r="B5772">
        <v>62567</v>
      </c>
      <c r="C5772">
        <v>7891150086074</v>
      </c>
      <c r="D5772">
        <v>16.899999999999999</v>
      </c>
      <c r="E5772">
        <v>12.42</v>
      </c>
      <c r="F5772" s="3">
        <v>0.22399999999999998</v>
      </c>
      <c r="G5772">
        <v>11.5509</v>
      </c>
      <c r="H5772">
        <v>1.133</v>
      </c>
    </row>
    <row r="5773" spans="1:8" x14ac:dyDescent="0.25">
      <c r="A5773" t="s">
        <v>5779</v>
      </c>
      <c r="B5773">
        <v>59089</v>
      </c>
      <c r="C5773">
        <v>7509546666808</v>
      </c>
      <c r="D5773">
        <v>23.9</v>
      </c>
      <c r="E5773">
        <v>16.63</v>
      </c>
      <c r="F5773" s="3">
        <v>0.28949999999999998</v>
      </c>
      <c r="G5773">
        <v>14.771000000000001</v>
      </c>
      <c r="H5773">
        <v>4.3330000000000002</v>
      </c>
    </row>
    <row r="5774" spans="1:8" x14ac:dyDescent="0.25">
      <c r="A5774" t="s">
        <v>5780</v>
      </c>
      <c r="B5774">
        <v>60158</v>
      </c>
      <c r="C5774">
        <v>7509546665993</v>
      </c>
      <c r="D5774">
        <v>20.9</v>
      </c>
      <c r="E5774">
        <v>14.54</v>
      </c>
      <c r="F5774" s="3">
        <v>0.26919999999999999</v>
      </c>
      <c r="G5774">
        <v>13.339499999999999</v>
      </c>
      <c r="H5774">
        <v>0.2</v>
      </c>
    </row>
    <row r="5775" spans="1:8" x14ac:dyDescent="0.25">
      <c r="A5775" t="s">
        <v>5781</v>
      </c>
      <c r="B5775">
        <v>60159</v>
      </c>
      <c r="C5775">
        <v>7509546666006</v>
      </c>
      <c r="D5775">
        <v>20.9</v>
      </c>
      <c r="E5775">
        <v>14.47</v>
      </c>
      <c r="F5775" s="3">
        <v>0.28339999999999999</v>
      </c>
      <c r="G5775">
        <v>13.0427</v>
      </c>
      <c r="H5775">
        <v>0.2</v>
      </c>
    </row>
    <row r="5776" spans="1:8" x14ac:dyDescent="0.25">
      <c r="A5776" t="s">
        <v>5782</v>
      </c>
      <c r="B5776">
        <v>62013</v>
      </c>
      <c r="C5776">
        <v>7509546668543</v>
      </c>
      <c r="D5776">
        <v>19.899999999999999</v>
      </c>
      <c r="E5776">
        <v>12.1</v>
      </c>
      <c r="F5776" s="3">
        <v>0.35590000000000005</v>
      </c>
      <c r="G5776">
        <v>10.976900000000001</v>
      </c>
      <c r="H5776">
        <v>0.16700000000000001</v>
      </c>
    </row>
    <row r="5777" spans="1:8" x14ac:dyDescent="0.25">
      <c r="A5777" t="s">
        <v>5783</v>
      </c>
      <c r="B5777">
        <v>62015</v>
      </c>
      <c r="C5777">
        <v>7509546668536</v>
      </c>
      <c r="D5777">
        <v>19.899999999999999</v>
      </c>
      <c r="E5777">
        <v>13.11</v>
      </c>
      <c r="F5777" s="3">
        <v>0.3095</v>
      </c>
      <c r="G5777">
        <v>11.9</v>
      </c>
      <c r="H5777">
        <v>6.7000000000000004E-2</v>
      </c>
    </row>
    <row r="5778" spans="1:8" x14ac:dyDescent="0.25">
      <c r="A5778" t="s">
        <v>5784</v>
      </c>
      <c r="B5778">
        <v>59093</v>
      </c>
      <c r="C5778">
        <v>7509546667959</v>
      </c>
      <c r="D5778">
        <v>34.9</v>
      </c>
      <c r="E5778">
        <v>24.33</v>
      </c>
      <c r="F5778" s="3">
        <v>0.2712</v>
      </c>
      <c r="G5778">
        <v>22.206600000000002</v>
      </c>
      <c r="H5778">
        <v>2.6</v>
      </c>
    </row>
    <row r="5779" spans="1:8" x14ac:dyDescent="0.25">
      <c r="A5779" t="s">
        <v>5785</v>
      </c>
      <c r="B5779">
        <v>59090</v>
      </c>
      <c r="C5779">
        <v>7509546666792</v>
      </c>
      <c r="D5779">
        <v>34.9</v>
      </c>
      <c r="E5779">
        <v>24.41</v>
      </c>
      <c r="F5779" s="3">
        <v>0.26960000000000001</v>
      </c>
      <c r="G5779">
        <v>22.261299999999999</v>
      </c>
      <c r="H5779">
        <v>2.8330000000000002</v>
      </c>
    </row>
    <row r="5780" spans="1:8" x14ac:dyDescent="0.25">
      <c r="A5780" t="s">
        <v>5786</v>
      </c>
      <c r="B5780">
        <v>57347</v>
      </c>
      <c r="C5780">
        <v>7891150061781</v>
      </c>
      <c r="D5780">
        <v>15.9</v>
      </c>
      <c r="E5780">
        <v>10.56</v>
      </c>
      <c r="F5780" s="3">
        <v>0.3049</v>
      </c>
      <c r="G5780">
        <v>9.5807000000000002</v>
      </c>
      <c r="H5780">
        <v>0</v>
      </c>
    </row>
    <row r="5781" spans="1:8" x14ac:dyDescent="0.25">
      <c r="A5781" t="s">
        <v>5787</v>
      </c>
      <c r="B5781">
        <v>62149</v>
      </c>
      <c r="C5781">
        <v>7891150085657</v>
      </c>
      <c r="D5781">
        <v>24.9</v>
      </c>
      <c r="E5781">
        <v>16.23</v>
      </c>
      <c r="F5781" s="3">
        <v>0.31579999999999997</v>
      </c>
      <c r="G5781">
        <v>14.7339</v>
      </c>
      <c r="H5781">
        <v>0.433</v>
      </c>
    </row>
    <row r="5782" spans="1:8" x14ac:dyDescent="0.25">
      <c r="A5782" t="s">
        <v>5788</v>
      </c>
      <c r="B5782">
        <v>60998</v>
      </c>
      <c r="C5782">
        <v>7891150084186</v>
      </c>
      <c r="D5782">
        <v>24.9</v>
      </c>
      <c r="E5782">
        <v>16.239999999999998</v>
      </c>
      <c r="F5782" s="3">
        <v>0.31559999999999999</v>
      </c>
      <c r="G5782">
        <v>14.738899999999999</v>
      </c>
      <c r="H5782">
        <v>6.7000000000000004E-2</v>
      </c>
    </row>
    <row r="5783" spans="1:8" x14ac:dyDescent="0.25">
      <c r="A5783" t="s">
        <v>5789</v>
      </c>
      <c r="B5783">
        <v>62146</v>
      </c>
      <c r="C5783">
        <v>7891150085640</v>
      </c>
      <c r="D5783">
        <v>24.9</v>
      </c>
      <c r="E5783">
        <v>16.22</v>
      </c>
      <c r="F5783" s="3">
        <v>0.31709999999999999</v>
      </c>
      <c r="G5783">
        <v>14.7</v>
      </c>
      <c r="H5783">
        <v>0.3</v>
      </c>
    </row>
    <row r="5784" spans="1:8" x14ac:dyDescent="0.25">
      <c r="A5784" t="s">
        <v>5790</v>
      </c>
      <c r="B5784">
        <v>62147</v>
      </c>
      <c r="C5784">
        <v>7891150085664</v>
      </c>
      <c r="D5784">
        <v>24.9</v>
      </c>
      <c r="E5784">
        <v>16.23</v>
      </c>
      <c r="F5784" s="3">
        <v>0.31609999999999999</v>
      </c>
      <c r="G5784">
        <v>14.7262</v>
      </c>
      <c r="H5784">
        <v>0.26700000000000002</v>
      </c>
    </row>
    <row r="5785" spans="1:8" x14ac:dyDescent="0.25">
      <c r="A5785" t="s">
        <v>5791</v>
      </c>
      <c r="B5785">
        <v>63654</v>
      </c>
      <c r="C5785">
        <v>7891150086012</v>
      </c>
      <c r="D5785">
        <v>21.9</v>
      </c>
      <c r="E5785">
        <v>13.88</v>
      </c>
      <c r="F5785" s="3">
        <v>0.3322</v>
      </c>
      <c r="G5785">
        <v>12.5983</v>
      </c>
      <c r="H5785">
        <v>0.3</v>
      </c>
    </row>
    <row r="5786" spans="1:8" x14ac:dyDescent="0.25">
      <c r="A5786" t="s">
        <v>5792</v>
      </c>
      <c r="B5786">
        <v>7043</v>
      </c>
      <c r="C5786">
        <v>7890704810738</v>
      </c>
      <c r="D5786">
        <v>15.9</v>
      </c>
      <c r="E5786">
        <v>10.59</v>
      </c>
      <c r="F5786" s="3">
        <v>0.30280000000000001</v>
      </c>
      <c r="G5786">
        <v>9.6151999999999997</v>
      </c>
      <c r="H5786">
        <v>1.2669999999999999</v>
      </c>
    </row>
    <row r="5787" spans="1:8" x14ac:dyDescent="0.25">
      <c r="A5787" t="s">
        <v>5793</v>
      </c>
      <c r="B5787">
        <v>57635</v>
      </c>
      <c r="C5787">
        <v>4005900734082</v>
      </c>
      <c r="D5787">
        <v>9.9</v>
      </c>
      <c r="E5787">
        <v>6.75</v>
      </c>
      <c r="F5787" s="3">
        <v>0.2883</v>
      </c>
      <c r="G5787">
        <v>6.1299000000000001</v>
      </c>
      <c r="H5787">
        <v>11.766999999999999</v>
      </c>
    </row>
    <row r="5788" spans="1:8" x14ac:dyDescent="0.25">
      <c r="A5788" t="s">
        <v>5794</v>
      </c>
      <c r="B5788">
        <v>57636</v>
      </c>
      <c r="C5788">
        <v>4005900734068</v>
      </c>
      <c r="D5788">
        <v>9.9</v>
      </c>
      <c r="E5788">
        <v>6.68</v>
      </c>
      <c r="F5788" s="3">
        <v>0.28910000000000002</v>
      </c>
      <c r="G5788">
        <v>6.1216999999999997</v>
      </c>
      <c r="H5788">
        <v>7.2670000000000003</v>
      </c>
    </row>
    <row r="5789" spans="1:8" x14ac:dyDescent="0.25">
      <c r="A5789" t="s">
        <v>5795</v>
      </c>
      <c r="B5789">
        <v>57637</v>
      </c>
      <c r="C5789">
        <v>4005900734075</v>
      </c>
      <c r="D5789">
        <v>9.9</v>
      </c>
      <c r="E5789">
        <v>6.75</v>
      </c>
      <c r="F5789" s="3">
        <v>0.2883</v>
      </c>
      <c r="G5789">
        <v>6.1303000000000001</v>
      </c>
      <c r="H5789">
        <v>13.2</v>
      </c>
    </row>
    <row r="5790" spans="1:8" x14ac:dyDescent="0.25">
      <c r="A5790" t="s">
        <v>5796</v>
      </c>
      <c r="B5790">
        <v>35790</v>
      </c>
      <c r="C5790">
        <v>7891024032886</v>
      </c>
      <c r="D5790">
        <v>5.5</v>
      </c>
      <c r="E5790">
        <v>6.11</v>
      </c>
      <c r="F5790" s="3">
        <v>-8.8599999999999998E-2</v>
      </c>
      <c r="G5790">
        <v>5.4785000000000004</v>
      </c>
      <c r="H5790">
        <v>3.3</v>
      </c>
    </row>
    <row r="5791" spans="1:8" x14ac:dyDescent="0.25">
      <c r="A5791" t="s">
        <v>5797</v>
      </c>
      <c r="B5791">
        <v>44408</v>
      </c>
      <c r="C5791">
        <v>7891024035696</v>
      </c>
      <c r="D5791">
        <v>5.5</v>
      </c>
      <c r="E5791">
        <v>6.11</v>
      </c>
      <c r="F5791" s="3">
        <v>-2.63E-2</v>
      </c>
      <c r="G5791">
        <v>5.1356000000000002</v>
      </c>
      <c r="H5791">
        <v>2.0329999999999999</v>
      </c>
    </row>
    <row r="5792" spans="1:8" x14ac:dyDescent="0.25">
      <c r="A5792" t="s">
        <v>5798</v>
      </c>
      <c r="B5792">
        <v>55239</v>
      </c>
      <c r="C5792">
        <v>7891024142240</v>
      </c>
      <c r="D5792">
        <v>12.9</v>
      </c>
      <c r="E5792">
        <v>9.49</v>
      </c>
      <c r="F5792" s="3">
        <v>0.22149999999999997</v>
      </c>
      <c r="G5792">
        <v>8.8498000000000001</v>
      </c>
      <c r="H5792">
        <v>0.36699999999999999</v>
      </c>
    </row>
    <row r="5793" spans="1:8" x14ac:dyDescent="0.25">
      <c r="A5793" t="s">
        <v>5799</v>
      </c>
      <c r="B5793">
        <v>59091</v>
      </c>
      <c r="C5793">
        <v>7509546665818</v>
      </c>
      <c r="D5793">
        <v>14.35</v>
      </c>
      <c r="E5793">
        <v>11.16</v>
      </c>
      <c r="F5793" s="3">
        <v>0.20149999999999998</v>
      </c>
      <c r="G5793">
        <v>10.1312</v>
      </c>
      <c r="H5793">
        <v>0.66700000000000004</v>
      </c>
    </row>
    <row r="5794" spans="1:8" x14ac:dyDescent="0.25">
      <c r="A5794" t="s">
        <v>5800</v>
      </c>
      <c r="B5794">
        <v>59092</v>
      </c>
      <c r="C5794">
        <v>7509546665801</v>
      </c>
      <c r="D5794">
        <v>14.35</v>
      </c>
      <c r="E5794">
        <v>11.37</v>
      </c>
      <c r="F5794" s="3">
        <v>0.18780000000000002</v>
      </c>
      <c r="G5794">
        <v>10.327</v>
      </c>
      <c r="H5794">
        <v>1.9</v>
      </c>
    </row>
    <row r="5795" spans="1:8" x14ac:dyDescent="0.25">
      <c r="A5795" t="s">
        <v>5801</v>
      </c>
      <c r="B5795">
        <v>35785</v>
      </c>
      <c r="C5795">
        <v>7891024029831</v>
      </c>
      <c r="D5795">
        <v>8.99</v>
      </c>
      <c r="E5795">
        <v>7.46</v>
      </c>
      <c r="F5795" s="3">
        <v>0.15229999999999999</v>
      </c>
      <c r="G5795">
        <v>6.7896999999999998</v>
      </c>
      <c r="H5795">
        <v>2.4329999999999998</v>
      </c>
    </row>
    <row r="5796" spans="1:8" x14ac:dyDescent="0.25">
      <c r="A5796" t="s">
        <v>5802</v>
      </c>
      <c r="B5796">
        <v>20061</v>
      </c>
      <c r="C5796">
        <v>7891024026472</v>
      </c>
      <c r="D5796">
        <v>8.99</v>
      </c>
      <c r="E5796">
        <v>7.53</v>
      </c>
      <c r="F5796" s="3">
        <v>0.14360000000000001</v>
      </c>
      <c r="G5796">
        <v>6.8676000000000004</v>
      </c>
      <c r="H5796">
        <v>4.4329999999999998</v>
      </c>
    </row>
    <row r="5797" spans="1:8" x14ac:dyDescent="0.25">
      <c r="A5797" t="s">
        <v>5803</v>
      </c>
      <c r="B5797">
        <v>57425</v>
      </c>
      <c r="C5797">
        <v>7509546659329</v>
      </c>
      <c r="D5797">
        <v>21.9</v>
      </c>
      <c r="E5797">
        <v>14.54</v>
      </c>
      <c r="F5797" s="3">
        <v>0.30329999999999996</v>
      </c>
      <c r="G5797">
        <v>13.231199999999999</v>
      </c>
      <c r="H5797">
        <v>0.13300000000000001</v>
      </c>
    </row>
    <row r="5798" spans="1:8" x14ac:dyDescent="0.25">
      <c r="A5798" t="s">
        <v>5804</v>
      </c>
      <c r="B5798">
        <v>52969</v>
      </c>
      <c r="C5798">
        <v>7891024039618</v>
      </c>
      <c r="D5798">
        <v>17.899999999999999</v>
      </c>
      <c r="E5798">
        <v>11.96</v>
      </c>
      <c r="F5798" s="3">
        <v>0.3004</v>
      </c>
      <c r="G5798">
        <v>10.8665</v>
      </c>
      <c r="H5798">
        <v>0.2</v>
      </c>
    </row>
    <row r="5799" spans="1:8" x14ac:dyDescent="0.25">
      <c r="A5799" t="s">
        <v>5805</v>
      </c>
      <c r="B5799">
        <v>61646</v>
      </c>
      <c r="C5799">
        <v>7509546678481</v>
      </c>
      <c r="D5799">
        <v>29.9</v>
      </c>
      <c r="E5799">
        <v>22.3</v>
      </c>
      <c r="F5799" s="3">
        <v>0.23019999999999999</v>
      </c>
      <c r="G5799">
        <v>20.2515</v>
      </c>
      <c r="H5799">
        <v>0.3</v>
      </c>
    </row>
    <row r="5800" spans="1:8" x14ac:dyDescent="0.25">
      <c r="A5800" t="s">
        <v>5806</v>
      </c>
      <c r="B5800">
        <v>61647</v>
      </c>
      <c r="C5800">
        <v>7509546678474</v>
      </c>
      <c r="D5800">
        <v>16.989999999999998</v>
      </c>
      <c r="E5800">
        <v>14.88</v>
      </c>
      <c r="F5800" s="3">
        <v>0.1125</v>
      </c>
      <c r="G5800">
        <v>13.506500000000001</v>
      </c>
      <c r="H5800">
        <v>1.1000000000000001</v>
      </c>
    </row>
    <row r="5801" spans="1:8" x14ac:dyDescent="0.25">
      <c r="A5801" t="s">
        <v>5807</v>
      </c>
      <c r="B5801">
        <v>61648</v>
      </c>
      <c r="C5801">
        <v>7509546676425</v>
      </c>
      <c r="D5801">
        <v>21.9</v>
      </c>
      <c r="E5801">
        <v>15.2</v>
      </c>
      <c r="F5801" s="3">
        <v>0.27760000000000001</v>
      </c>
      <c r="G5801">
        <v>13.7942</v>
      </c>
      <c r="H5801">
        <v>6.7000000000000004E-2</v>
      </c>
    </row>
    <row r="5802" spans="1:8" x14ac:dyDescent="0.25">
      <c r="A5802" t="s">
        <v>5808</v>
      </c>
      <c r="B5802">
        <v>20066</v>
      </c>
      <c r="C5802">
        <v>7891024112861</v>
      </c>
      <c r="D5802">
        <v>13.57</v>
      </c>
      <c r="E5802">
        <v>10.76</v>
      </c>
      <c r="F5802" s="3">
        <v>0.18859999999999999</v>
      </c>
      <c r="G5802">
        <v>9.7581000000000007</v>
      </c>
      <c r="H5802">
        <v>0.66700000000000004</v>
      </c>
    </row>
    <row r="5803" spans="1:8" x14ac:dyDescent="0.25">
      <c r="A5803" t="s">
        <v>5809</v>
      </c>
      <c r="B5803">
        <v>62020</v>
      </c>
      <c r="C5803">
        <v>7509546678757</v>
      </c>
      <c r="D5803">
        <v>14.9</v>
      </c>
      <c r="E5803">
        <v>10.62</v>
      </c>
      <c r="F5803" s="3">
        <v>0.25829999999999997</v>
      </c>
      <c r="G5803">
        <v>9.6731999999999996</v>
      </c>
      <c r="H5803">
        <v>0.1</v>
      </c>
    </row>
    <row r="5804" spans="1:8" x14ac:dyDescent="0.25">
      <c r="A5804" t="s">
        <v>5810</v>
      </c>
      <c r="B5804">
        <v>62022</v>
      </c>
      <c r="C5804">
        <v>7509546678382</v>
      </c>
      <c r="D5804">
        <v>29.9</v>
      </c>
      <c r="E5804">
        <v>19.899999999999999</v>
      </c>
      <c r="F5804" s="3">
        <v>0.30280000000000001</v>
      </c>
      <c r="G5804">
        <v>18.079599999999999</v>
      </c>
      <c r="H5804">
        <v>1.5669999999999999</v>
      </c>
    </row>
    <row r="5805" spans="1:8" x14ac:dyDescent="0.25">
      <c r="A5805" t="s">
        <v>5811</v>
      </c>
      <c r="B5805">
        <v>29940</v>
      </c>
      <c r="C5805">
        <v>7891024028995</v>
      </c>
      <c r="D5805">
        <v>10.9</v>
      </c>
      <c r="E5805">
        <v>6.87</v>
      </c>
      <c r="F5805" s="3">
        <v>0.33829999999999999</v>
      </c>
      <c r="G5805">
        <v>6.2039</v>
      </c>
      <c r="H5805">
        <v>0.36699999999999999</v>
      </c>
    </row>
    <row r="5806" spans="1:8" x14ac:dyDescent="0.25">
      <c r="A5806" t="s">
        <v>5812</v>
      </c>
      <c r="B5806">
        <v>68409</v>
      </c>
      <c r="C5806">
        <v>7891033519286</v>
      </c>
      <c r="D5806">
        <v>23.9</v>
      </c>
      <c r="E5806">
        <v>16.68</v>
      </c>
      <c r="F5806" s="3">
        <v>0.30149999999999999</v>
      </c>
      <c r="G5806">
        <v>16.693000000000001</v>
      </c>
      <c r="H5806">
        <v>0.16700000000000001</v>
      </c>
    </row>
    <row r="5807" spans="1:8" x14ac:dyDescent="0.25">
      <c r="A5807" t="s">
        <v>5813</v>
      </c>
      <c r="B5807">
        <v>68410</v>
      </c>
      <c r="C5807">
        <v>7891033519262</v>
      </c>
      <c r="D5807">
        <v>27.9</v>
      </c>
      <c r="E5807">
        <v>19.989999999999998</v>
      </c>
      <c r="F5807" s="3">
        <v>0.28350000000000003</v>
      </c>
      <c r="G5807">
        <v>19.989999999999998</v>
      </c>
      <c r="H5807">
        <v>3.3000000000000002E-2</v>
      </c>
    </row>
    <row r="5808" spans="1:8" x14ac:dyDescent="0.25">
      <c r="A5808" t="s">
        <v>5814</v>
      </c>
      <c r="B5808">
        <v>68408</v>
      </c>
      <c r="C5808">
        <v>7891033519279</v>
      </c>
      <c r="D5808">
        <v>33.9</v>
      </c>
      <c r="E5808">
        <v>23.34</v>
      </c>
      <c r="F5808" s="3">
        <v>0.3115</v>
      </c>
      <c r="G5808">
        <v>23.34</v>
      </c>
      <c r="H5808">
        <v>0.1</v>
      </c>
    </row>
    <row r="5809" spans="1:8" x14ac:dyDescent="0.25">
      <c r="A5809" t="s">
        <v>5815</v>
      </c>
      <c r="B5809">
        <v>8197</v>
      </c>
      <c r="C5809">
        <v>7896512937957</v>
      </c>
      <c r="D5809">
        <v>26.9</v>
      </c>
      <c r="E5809">
        <v>18.07</v>
      </c>
      <c r="F5809" s="3">
        <v>0.29670000000000002</v>
      </c>
      <c r="G5809">
        <v>16.431799999999999</v>
      </c>
      <c r="H5809">
        <v>0.7</v>
      </c>
    </row>
    <row r="5810" spans="1:8" x14ac:dyDescent="0.25">
      <c r="A5810" t="s">
        <v>5816</v>
      </c>
      <c r="B5810">
        <v>8198</v>
      </c>
      <c r="C5810">
        <v>7896512937919</v>
      </c>
      <c r="D5810">
        <v>26.9</v>
      </c>
      <c r="E5810">
        <v>18.39</v>
      </c>
      <c r="F5810" s="3">
        <v>0.28660000000000002</v>
      </c>
      <c r="G5810">
        <v>16.702200000000001</v>
      </c>
      <c r="H5810">
        <v>0.53300000000000003</v>
      </c>
    </row>
    <row r="5811" spans="1:8" x14ac:dyDescent="0.25">
      <c r="A5811" t="s">
        <v>5817</v>
      </c>
      <c r="B5811">
        <v>67341</v>
      </c>
      <c r="C5811">
        <v>7896512950314</v>
      </c>
      <c r="D5811">
        <v>26.9</v>
      </c>
      <c r="E5811">
        <v>17.46</v>
      </c>
      <c r="F5811" s="3">
        <v>0.32439999999999997</v>
      </c>
      <c r="G5811">
        <v>15.686199999999999</v>
      </c>
      <c r="H5811">
        <v>0.63300000000000001</v>
      </c>
    </row>
    <row r="5812" spans="1:8" x14ac:dyDescent="0.25">
      <c r="A5812" t="s">
        <v>5818</v>
      </c>
      <c r="B5812">
        <v>20047</v>
      </c>
      <c r="C5812">
        <v>7891024114216</v>
      </c>
      <c r="D5812">
        <v>12.4</v>
      </c>
      <c r="E5812">
        <v>12.36</v>
      </c>
      <c r="F5812" s="3">
        <v>2.29E-2</v>
      </c>
      <c r="G5812">
        <v>10.9696</v>
      </c>
      <c r="H5812">
        <v>0.2</v>
      </c>
    </row>
    <row r="5813" spans="1:8" x14ac:dyDescent="0.25">
      <c r="A5813" t="s">
        <v>5819</v>
      </c>
      <c r="B5813">
        <v>61734</v>
      </c>
      <c r="C5813">
        <v>7509546679075</v>
      </c>
      <c r="D5813">
        <v>12.4</v>
      </c>
      <c r="E5813">
        <v>12.74</v>
      </c>
      <c r="F5813" s="3">
        <v>-2.53E-2</v>
      </c>
      <c r="G5813">
        <v>11.5672</v>
      </c>
      <c r="H5813">
        <v>0.16700000000000001</v>
      </c>
    </row>
    <row r="5814" spans="1:8" x14ac:dyDescent="0.25">
      <c r="A5814" t="s">
        <v>5820</v>
      </c>
      <c r="B5814">
        <v>20028</v>
      </c>
      <c r="C5814">
        <v>7891024115107</v>
      </c>
      <c r="D5814">
        <v>12.4</v>
      </c>
      <c r="E5814">
        <v>12.47</v>
      </c>
      <c r="F5814" s="3">
        <v>1.5600000000000001E-2</v>
      </c>
      <c r="G5814">
        <v>11.0594</v>
      </c>
      <c r="H5814">
        <v>0.33300000000000002</v>
      </c>
    </row>
    <row r="5815" spans="1:8" x14ac:dyDescent="0.25">
      <c r="A5815" t="s">
        <v>5821</v>
      </c>
      <c r="B5815">
        <v>20050</v>
      </c>
      <c r="C5815">
        <v>7891024115848</v>
      </c>
      <c r="D5815">
        <v>12.4</v>
      </c>
      <c r="E5815">
        <v>12.39</v>
      </c>
      <c r="F5815" s="3">
        <v>-2.5999999999999999E-3</v>
      </c>
      <c r="G5815">
        <v>11.2858</v>
      </c>
      <c r="H5815">
        <v>0.63300000000000001</v>
      </c>
    </row>
    <row r="5816" spans="1:8" x14ac:dyDescent="0.25">
      <c r="A5816" t="s">
        <v>5822</v>
      </c>
      <c r="B5816">
        <v>20051</v>
      </c>
      <c r="C5816">
        <v>7891024114674</v>
      </c>
      <c r="D5816">
        <v>12.4</v>
      </c>
      <c r="E5816">
        <v>12.57</v>
      </c>
      <c r="F5816" s="3">
        <v>-4.0999999999999995E-3</v>
      </c>
      <c r="G5816">
        <v>11.3033</v>
      </c>
      <c r="H5816">
        <v>0.4</v>
      </c>
    </row>
    <row r="5817" spans="1:8" x14ac:dyDescent="0.25">
      <c r="A5817" t="s">
        <v>5823</v>
      </c>
      <c r="B5817">
        <v>20055</v>
      </c>
      <c r="C5817">
        <v>7891024115862</v>
      </c>
      <c r="D5817">
        <v>12.4</v>
      </c>
      <c r="E5817">
        <v>12.64</v>
      </c>
      <c r="F5817" s="3">
        <v>-1.55E-2</v>
      </c>
      <c r="G5817">
        <v>11.4452</v>
      </c>
      <c r="H5817">
        <v>0.9</v>
      </c>
    </row>
    <row r="5818" spans="1:8" x14ac:dyDescent="0.25">
      <c r="A5818" t="s">
        <v>5824</v>
      </c>
      <c r="B5818">
        <v>20048</v>
      </c>
      <c r="C5818">
        <v>7891024114865</v>
      </c>
      <c r="D5818">
        <v>12.4</v>
      </c>
      <c r="E5818">
        <v>12.6</v>
      </c>
      <c r="F5818" s="3">
        <v>1.38E-2</v>
      </c>
      <c r="G5818">
        <v>11.081899999999999</v>
      </c>
      <c r="H5818">
        <v>0.56699999999999995</v>
      </c>
    </row>
    <row r="5819" spans="1:8" x14ac:dyDescent="0.25">
      <c r="A5819" t="s">
        <v>5825</v>
      </c>
      <c r="B5819">
        <v>58135</v>
      </c>
      <c r="C5819">
        <v>7509546665108</v>
      </c>
      <c r="D5819">
        <v>27.9</v>
      </c>
      <c r="E5819">
        <v>19.32</v>
      </c>
      <c r="F5819" s="3">
        <v>0.28089999999999998</v>
      </c>
      <c r="G5819">
        <v>17.481999999999999</v>
      </c>
      <c r="H5819">
        <v>0.26700000000000002</v>
      </c>
    </row>
    <row r="5820" spans="1:8" x14ac:dyDescent="0.25">
      <c r="A5820" t="s">
        <v>5826</v>
      </c>
      <c r="B5820">
        <v>58136</v>
      </c>
      <c r="C5820">
        <v>7509546665986</v>
      </c>
      <c r="D5820">
        <v>25.9</v>
      </c>
      <c r="E5820">
        <v>18.84</v>
      </c>
      <c r="F5820" s="3">
        <v>0.2475</v>
      </c>
      <c r="G5820">
        <v>17.094999999999999</v>
      </c>
      <c r="H5820">
        <v>0.16700000000000001</v>
      </c>
    </row>
    <row r="5821" spans="1:8" x14ac:dyDescent="0.25">
      <c r="A5821" t="s">
        <v>5827</v>
      </c>
      <c r="B5821">
        <v>52968</v>
      </c>
      <c r="C5821">
        <v>7891024039571</v>
      </c>
      <c r="D5821">
        <v>25.9</v>
      </c>
      <c r="E5821">
        <v>16.489999999999998</v>
      </c>
      <c r="F5821" s="3">
        <v>0.33020000000000005</v>
      </c>
      <c r="G5821">
        <v>14.951000000000001</v>
      </c>
      <c r="H5821">
        <v>0.16700000000000001</v>
      </c>
    </row>
    <row r="5822" spans="1:8" x14ac:dyDescent="0.25">
      <c r="A5822" t="s">
        <v>5828</v>
      </c>
      <c r="B5822">
        <v>61645</v>
      </c>
      <c r="C5822">
        <v>7509546677958</v>
      </c>
      <c r="D5822">
        <v>26.99</v>
      </c>
      <c r="E5822">
        <v>23.68</v>
      </c>
      <c r="F5822" s="3">
        <v>0.11689999999999999</v>
      </c>
      <c r="G5822">
        <v>21.338100000000001</v>
      </c>
      <c r="H5822">
        <v>0.66700000000000004</v>
      </c>
    </row>
    <row r="5823" spans="1:8" x14ac:dyDescent="0.25">
      <c r="A5823" t="s">
        <v>5829</v>
      </c>
      <c r="B5823">
        <v>61644</v>
      </c>
      <c r="C5823">
        <v>7509546677941</v>
      </c>
      <c r="D5823">
        <v>26.99</v>
      </c>
      <c r="E5823">
        <v>23.77</v>
      </c>
      <c r="F5823" s="3">
        <v>9.1799999999999993E-2</v>
      </c>
      <c r="G5823">
        <v>22.015000000000001</v>
      </c>
      <c r="H5823">
        <v>0.433</v>
      </c>
    </row>
    <row r="5824" spans="1:8" x14ac:dyDescent="0.25">
      <c r="A5824" t="s">
        <v>5830</v>
      </c>
      <c r="B5824">
        <v>62023</v>
      </c>
      <c r="C5824">
        <v>7509546673202</v>
      </c>
      <c r="D5824">
        <v>14.5</v>
      </c>
      <c r="E5824">
        <v>10.029999999999999</v>
      </c>
      <c r="F5824" s="3">
        <v>0.27660000000000001</v>
      </c>
      <c r="G5824">
        <v>9.1473999999999993</v>
      </c>
      <c r="H5824">
        <v>0.23300000000000001</v>
      </c>
    </row>
    <row r="5825" spans="1:8" x14ac:dyDescent="0.25">
      <c r="A5825" t="s">
        <v>5831</v>
      </c>
      <c r="B5825">
        <v>64609</v>
      </c>
      <c r="C5825">
        <v>7509546687865</v>
      </c>
      <c r="D5825">
        <v>14.5</v>
      </c>
      <c r="E5825">
        <v>9.67</v>
      </c>
      <c r="F5825" s="3">
        <v>0.30249999999999999</v>
      </c>
      <c r="G5825">
        <v>8.7719000000000005</v>
      </c>
      <c r="H5825">
        <v>0.3</v>
      </c>
    </row>
    <row r="5826" spans="1:8" x14ac:dyDescent="0.25">
      <c r="A5826" t="s">
        <v>5832</v>
      </c>
      <c r="B5826">
        <v>58450</v>
      </c>
      <c r="C5826">
        <v>7509546653587</v>
      </c>
      <c r="D5826">
        <v>14.5</v>
      </c>
      <c r="E5826">
        <v>9.8000000000000007</v>
      </c>
      <c r="F5826" s="3">
        <v>0.2944</v>
      </c>
      <c r="G5826">
        <v>8.8895999999999997</v>
      </c>
      <c r="H5826">
        <v>3.3000000000000002E-2</v>
      </c>
    </row>
    <row r="5827" spans="1:8" x14ac:dyDescent="0.25">
      <c r="A5827" t="s">
        <v>5833</v>
      </c>
      <c r="B5827">
        <v>62018</v>
      </c>
      <c r="C5827">
        <v>7509546673189</v>
      </c>
      <c r="D5827">
        <v>21.9</v>
      </c>
      <c r="E5827">
        <v>15.14</v>
      </c>
      <c r="F5827" s="3">
        <v>0.26369999999999999</v>
      </c>
      <c r="G5827">
        <v>14.099299999999999</v>
      </c>
      <c r="H5827">
        <v>0.23300000000000001</v>
      </c>
    </row>
    <row r="5828" spans="1:8" x14ac:dyDescent="0.25">
      <c r="A5828" t="s">
        <v>5834</v>
      </c>
      <c r="B5828">
        <v>64611</v>
      </c>
      <c r="C5828">
        <v>7509546687902</v>
      </c>
      <c r="D5828">
        <v>21.9</v>
      </c>
      <c r="E5828">
        <v>15.01</v>
      </c>
      <c r="F5828" s="3">
        <v>0.2767</v>
      </c>
      <c r="G5828">
        <v>13.8156</v>
      </c>
      <c r="H5828">
        <v>0.13300000000000001</v>
      </c>
    </row>
    <row r="5829" spans="1:8" x14ac:dyDescent="0.25">
      <c r="A5829" t="s">
        <v>5835</v>
      </c>
      <c r="B5829">
        <v>58365</v>
      </c>
      <c r="C5829">
        <v>7509546656670</v>
      </c>
      <c r="D5829">
        <v>21.9</v>
      </c>
      <c r="E5829">
        <v>15.21</v>
      </c>
      <c r="F5829" s="3">
        <v>0.2757</v>
      </c>
      <c r="G5829">
        <v>13.8354</v>
      </c>
      <c r="H5829">
        <v>0</v>
      </c>
    </row>
    <row r="5830" spans="1:8" x14ac:dyDescent="0.25">
      <c r="A5830" t="s">
        <v>5836</v>
      </c>
      <c r="B5830">
        <v>62019</v>
      </c>
      <c r="C5830">
        <v>7509546673219</v>
      </c>
      <c r="D5830">
        <v>20.49</v>
      </c>
      <c r="E5830">
        <v>17.39</v>
      </c>
      <c r="F5830" s="3">
        <v>0.1318</v>
      </c>
      <c r="G5830">
        <v>15.894600000000001</v>
      </c>
      <c r="H5830">
        <v>0.53300000000000003</v>
      </c>
    </row>
    <row r="5831" spans="1:8" x14ac:dyDescent="0.25">
      <c r="A5831" t="s">
        <v>5837</v>
      </c>
      <c r="B5831">
        <v>64608</v>
      </c>
      <c r="C5831">
        <v>7509546687841</v>
      </c>
      <c r="D5831">
        <v>20.49</v>
      </c>
      <c r="E5831">
        <v>17.05</v>
      </c>
      <c r="F5831" s="3">
        <v>0.15229999999999999</v>
      </c>
      <c r="G5831">
        <v>15.474500000000001</v>
      </c>
      <c r="H5831">
        <v>6.7000000000000004E-2</v>
      </c>
    </row>
    <row r="5832" spans="1:8" x14ac:dyDescent="0.25">
      <c r="A5832" t="s">
        <v>5838</v>
      </c>
      <c r="B5832">
        <v>58451</v>
      </c>
      <c r="C5832">
        <v>7509546662022</v>
      </c>
      <c r="D5832">
        <v>20.49</v>
      </c>
      <c r="E5832">
        <v>16.989999999999998</v>
      </c>
      <c r="F5832" s="3">
        <v>0.1535</v>
      </c>
      <c r="G5832">
        <v>15.448700000000001</v>
      </c>
      <c r="H5832">
        <v>0.2</v>
      </c>
    </row>
    <row r="5833" spans="1:8" x14ac:dyDescent="0.25">
      <c r="A5833" t="s">
        <v>5839</v>
      </c>
      <c r="B5833">
        <v>62021</v>
      </c>
      <c r="C5833">
        <v>7509546673196</v>
      </c>
      <c r="D5833">
        <v>25</v>
      </c>
      <c r="E5833">
        <v>22.36</v>
      </c>
      <c r="F5833" s="3">
        <v>0.1069</v>
      </c>
      <c r="G5833">
        <v>20.0152</v>
      </c>
      <c r="H5833">
        <v>0.4</v>
      </c>
    </row>
    <row r="5834" spans="1:8" x14ac:dyDescent="0.25">
      <c r="A5834" t="s">
        <v>5840</v>
      </c>
      <c r="B5834">
        <v>64610</v>
      </c>
      <c r="C5834">
        <v>7509546687896</v>
      </c>
      <c r="D5834">
        <v>25</v>
      </c>
      <c r="E5834">
        <v>23.61</v>
      </c>
      <c r="F5834" s="3">
        <v>5.4800000000000001E-2</v>
      </c>
      <c r="G5834">
        <v>21.318200000000001</v>
      </c>
      <c r="H5834">
        <v>0.26700000000000002</v>
      </c>
    </row>
    <row r="5835" spans="1:8" x14ac:dyDescent="0.25">
      <c r="A5835" t="s">
        <v>5841</v>
      </c>
      <c r="B5835">
        <v>58449</v>
      </c>
      <c r="C5835">
        <v>7509546656465</v>
      </c>
      <c r="D5835">
        <v>25</v>
      </c>
      <c r="E5835">
        <v>23.05</v>
      </c>
      <c r="F5835" s="3">
        <v>7.2800000000000004E-2</v>
      </c>
      <c r="G5835">
        <v>20.866599999999998</v>
      </c>
      <c r="H5835">
        <v>0.16700000000000001</v>
      </c>
    </row>
    <row r="5836" spans="1:8" x14ac:dyDescent="0.25">
      <c r="A5836" t="s">
        <v>5842</v>
      </c>
      <c r="B5836">
        <v>67044</v>
      </c>
      <c r="C5836">
        <v>7509546690223</v>
      </c>
      <c r="D5836">
        <v>49.9</v>
      </c>
      <c r="E5836">
        <v>29.77</v>
      </c>
      <c r="F5836" s="3">
        <v>0.36619999999999997</v>
      </c>
      <c r="G5836">
        <v>27.012699999999999</v>
      </c>
      <c r="H5836">
        <v>0.16700000000000001</v>
      </c>
    </row>
    <row r="5837" spans="1:8" x14ac:dyDescent="0.25">
      <c r="A5837" t="s">
        <v>5843</v>
      </c>
      <c r="B5837">
        <v>51104</v>
      </c>
      <c r="C5837">
        <v>7891024037706</v>
      </c>
      <c r="D5837">
        <v>12.9</v>
      </c>
      <c r="E5837">
        <v>7.25</v>
      </c>
      <c r="F5837" s="3">
        <v>0.3967</v>
      </c>
      <c r="G5837">
        <v>6.5888999999999998</v>
      </c>
      <c r="H5837">
        <v>1.2330000000000001</v>
      </c>
    </row>
    <row r="5838" spans="1:8" x14ac:dyDescent="0.25">
      <c r="A5838" t="s">
        <v>5844</v>
      </c>
      <c r="B5838">
        <v>27663</v>
      </c>
      <c r="C5838">
        <v>7891024024003</v>
      </c>
      <c r="D5838">
        <v>22.4</v>
      </c>
      <c r="E5838">
        <v>14.14</v>
      </c>
      <c r="F5838" s="3">
        <v>0.33450000000000002</v>
      </c>
      <c r="G5838">
        <v>12.834199999999999</v>
      </c>
      <c r="H5838">
        <v>1.633</v>
      </c>
    </row>
    <row r="5839" spans="1:8" x14ac:dyDescent="0.25">
      <c r="A5839" t="s">
        <v>5845</v>
      </c>
      <c r="B5839">
        <v>64089</v>
      </c>
      <c r="C5839">
        <v>7891024037881</v>
      </c>
      <c r="D5839">
        <v>22.4</v>
      </c>
      <c r="E5839">
        <v>14.01</v>
      </c>
      <c r="F5839" s="3">
        <v>0.33990000000000004</v>
      </c>
      <c r="G5839">
        <v>12.7142</v>
      </c>
      <c r="H5839">
        <v>0.433</v>
      </c>
    </row>
    <row r="5840" spans="1:8" x14ac:dyDescent="0.25">
      <c r="A5840" t="s">
        <v>5846</v>
      </c>
      <c r="B5840">
        <v>30105</v>
      </c>
      <c r="C5840">
        <v>7891024027325</v>
      </c>
      <c r="D5840">
        <v>8.8000000000000007</v>
      </c>
      <c r="E5840">
        <v>8.3699999999999992</v>
      </c>
      <c r="F5840" s="3">
        <v>5.9800000000000006E-2</v>
      </c>
      <c r="G5840">
        <v>7.4593999999999996</v>
      </c>
      <c r="H5840">
        <v>3.2</v>
      </c>
    </row>
    <row r="5841" spans="1:8" x14ac:dyDescent="0.25">
      <c r="A5841" t="s">
        <v>5847</v>
      </c>
      <c r="B5841">
        <v>30104</v>
      </c>
      <c r="C5841">
        <v>7891024027257</v>
      </c>
      <c r="D5841">
        <v>8.8000000000000007</v>
      </c>
      <c r="E5841">
        <v>8.2799999999999994</v>
      </c>
      <c r="F5841" s="3">
        <v>4.53E-2</v>
      </c>
      <c r="G5841">
        <v>7.5871000000000004</v>
      </c>
      <c r="H5841">
        <v>4.3330000000000002</v>
      </c>
    </row>
    <row r="5842" spans="1:8" x14ac:dyDescent="0.25">
      <c r="A5842" t="s">
        <v>5848</v>
      </c>
      <c r="B5842">
        <v>62162</v>
      </c>
      <c r="C5842">
        <v>7891150085671</v>
      </c>
      <c r="D5842">
        <v>28.9</v>
      </c>
      <c r="E5842">
        <v>19.53</v>
      </c>
      <c r="F5842" s="3">
        <v>0.2923</v>
      </c>
      <c r="G5842">
        <v>17.779299999999999</v>
      </c>
      <c r="H5842">
        <v>0.93300000000000005</v>
      </c>
    </row>
    <row r="5843" spans="1:8" x14ac:dyDescent="0.25">
      <c r="A5843" t="s">
        <v>5849</v>
      </c>
      <c r="B5843">
        <v>60995</v>
      </c>
      <c r="C5843">
        <v>7891150084209</v>
      </c>
      <c r="D5843">
        <v>28.9</v>
      </c>
      <c r="E5843">
        <v>19.239999999999998</v>
      </c>
      <c r="F5843" s="3">
        <v>0.30269999999999997</v>
      </c>
      <c r="G5843">
        <v>17.4785</v>
      </c>
      <c r="H5843">
        <v>0.36699999999999999</v>
      </c>
    </row>
    <row r="5844" spans="1:8" x14ac:dyDescent="0.25">
      <c r="A5844" t="s">
        <v>5850</v>
      </c>
      <c r="B5844">
        <v>62158</v>
      </c>
      <c r="C5844">
        <v>7891150083134</v>
      </c>
      <c r="D5844">
        <v>6.9</v>
      </c>
      <c r="E5844">
        <v>6.41</v>
      </c>
      <c r="F5844" s="3">
        <v>3.8300000000000001E-2</v>
      </c>
      <c r="G5844">
        <v>5.9976000000000003</v>
      </c>
      <c r="H5844">
        <v>0.63300000000000001</v>
      </c>
    </row>
    <row r="5845" spans="1:8" x14ac:dyDescent="0.25">
      <c r="A5845" t="s">
        <v>5851</v>
      </c>
      <c r="B5845">
        <v>43623</v>
      </c>
      <c r="C5845">
        <v>7891150053717</v>
      </c>
      <c r="D5845">
        <v>6.9</v>
      </c>
      <c r="E5845">
        <v>6.28</v>
      </c>
      <c r="F5845" s="3">
        <v>8.1799999999999998E-2</v>
      </c>
      <c r="G5845">
        <v>5.6974</v>
      </c>
      <c r="H5845">
        <v>0.4</v>
      </c>
    </row>
    <row r="5846" spans="1:8" x14ac:dyDescent="0.25">
      <c r="A5846" t="s">
        <v>5852</v>
      </c>
      <c r="B5846">
        <v>62157</v>
      </c>
      <c r="C5846">
        <v>7891150083127</v>
      </c>
      <c r="D5846">
        <v>6.9</v>
      </c>
      <c r="E5846">
        <v>6.53</v>
      </c>
      <c r="F5846" s="3">
        <v>3.9900000000000005E-2</v>
      </c>
      <c r="G5846">
        <v>5.9865000000000004</v>
      </c>
      <c r="H5846">
        <v>0.73299999999999998</v>
      </c>
    </row>
    <row r="5847" spans="1:8" x14ac:dyDescent="0.25">
      <c r="A5847" t="s">
        <v>5853</v>
      </c>
      <c r="B5847">
        <v>62159</v>
      </c>
      <c r="C5847">
        <v>7891150083141</v>
      </c>
      <c r="D5847">
        <v>6.9</v>
      </c>
      <c r="E5847">
        <v>6.27</v>
      </c>
      <c r="F5847" s="3">
        <v>8.5199999999999998E-2</v>
      </c>
      <c r="G5847">
        <v>5.6740000000000004</v>
      </c>
      <c r="H5847">
        <v>0.33300000000000002</v>
      </c>
    </row>
    <row r="5848" spans="1:8" x14ac:dyDescent="0.25">
      <c r="A5848" t="s">
        <v>5854</v>
      </c>
      <c r="B5848">
        <v>62155</v>
      </c>
      <c r="C5848">
        <v>7891150083073</v>
      </c>
      <c r="D5848">
        <v>13.9</v>
      </c>
      <c r="E5848">
        <v>9.2100000000000009</v>
      </c>
      <c r="F5848" s="3">
        <v>0.30570000000000003</v>
      </c>
      <c r="G5848">
        <v>8.3651</v>
      </c>
      <c r="H5848">
        <v>3.3000000000000002E-2</v>
      </c>
    </row>
    <row r="5849" spans="1:8" x14ac:dyDescent="0.25">
      <c r="A5849" t="s">
        <v>5855</v>
      </c>
      <c r="B5849">
        <v>62142</v>
      </c>
      <c r="C5849">
        <v>7891150083042</v>
      </c>
      <c r="D5849">
        <v>13.9</v>
      </c>
      <c r="E5849">
        <v>9.2200000000000006</v>
      </c>
      <c r="F5849" s="3">
        <v>0.3039</v>
      </c>
      <c r="G5849">
        <v>8.3901000000000003</v>
      </c>
      <c r="H5849">
        <v>6.7000000000000004E-2</v>
      </c>
    </row>
    <row r="5850" spans="1:8" x14ac:dyDescent="0.25">
      <c r="A5850" t="s">
        <v>5856</v>
      </c>
      <c r="B5850">
        <v>62156</v>
      </c>
      <c r="C5850">
        <v>7891150083097</v>
      </c>
      <c r="D5850">
        <v>13.9</v>
      </c>
      <c r="E5850">
        <v>9.1999999999999993</v>
      </c>
      <c r="F5850" s="3">
        <v>0.30719999999999997</v>
      </c>
      <c r="G5850">
        <v>8.3439999999999994</v>
      </c>
      <c r="H5850">
        <v>0.33300000000000002</v>
      </c>
    </row>
    <row r="5851" spans="1:8" x14ac:dyDescent="0.25">
      <c r="A5851" t="s">
        <v>5857</v>
      </c>
      <c r="B5851">
        <v>62152</v>
      </c>
      <c r="C5851">
        <v>7891150083080</v>
      </c>
      <c r="D5851">
        <v>13.9</v>
      </c>
      <c r="E5851">
        <v>9.2100000000000009</v>
      </c>
      <c r="F5851" s="3">
        <v>0.30469999999999997</v>
      </c>
      <c r="G5851">
        <v>8.3785000000000007</v>
      </c>
      <c r="H5851">
        <v>0.66700000000000004</v>
      </c>
    </row>
    <row r="5852" spans="1:8" x14ac:dyDescent="0.25">
      <c r="A5852" t="s">
        <v>5858</v>
      </c>
      <c r="B5852">
        <v>62153</v>
      </c>
      <c r="C5852">
        <v>7891150083066</v>
      </c>
      <c r="D5852">
        <v>13.9</v>
      </c>
      <c r="E5852">
        <v>9.2200000000000006</v>
      </c>
      <c r="F5852" s="3">
        <v>0.30680000000000002</v>
      </c>
      <c r="G5852">
        <v>8.3497000000000003</v>
      </c>
      <c r="H5852">
        <v>0.2</v>
      </c>
    </row>
    <row r="5853" spans="1:8" x14ac:dyDescent="0.25">
      <c r="A5853" t="s">
        <v>5859</v>
      </c>
      <c r="B5853">
        <v>58918</v>
      </c>
      <c r="C5853">
        <v>7896512944221</v>
      </c>
      <c r="D5853">
        <v>21.9</v>
      </c>
      <c r="E5853">
        <v>14.3</v>
      </c>
      <c r="F5853" s="3">
        <v>0.31579999999999997</v>
      </c>
      <c r="G5853">
        <v>12.957700000000001</v>
      </c>
      <c r="H5853">
        <v>0.8</v>
      </c>
    </row>
    <row r="5854" spans="1:8" x14ac:dyDescent="0.25">
      <c r="A5854" t="s">
        <v>5860</v>
      </c>
      <c r="B5854">
        <v>67342</v>
      </c>
      <c r="C5854">
        <v>7896512947345</v>
      </c>
      <c r="D5854">
        <v>20.9</v>
      </c>
      <c r="E5854">
        <v>13.66</v>
      </c>
      <c r="F5854" s="3">
        <v>0.3145</v>
      </c>
      <c r="G5854">
        <v>12.3933</v>
      </c>
      <c r="H5854">
        <v>0.26700000000000002</v>
      </c>
    </row>
    <row r="5855" spans="1:8" x14ac:dyDescent="0.25">
      <c r="A5855" t="s">
        <v>5861</v>
      </c>
      <c r="B5855">
        <v>58923</v>
      </c>
      <c r="C5855">
        <v>7896512943750</v>
      </c>
      <c r="D5855">
        <v>20.9</v>
      </c>
      <c r="E5855">
        <v>14.08</v>
      </c>
      <c r="F5855" s="3">
        <v>0.29520000000000002</v>
      </c>
      <c r="G5855">
        <v>12.7972</v>
      </c>
      <c r="H5855">
        <v>0.53300000000000003</v>
      </c>
    </row>
    <row r="5856" spans="1:8" x14ac:dyDescent="0.25">
      <c r="A5856" t="s">
        <v>5862</v>
      </c>
      <c r="B5856">
        <v>65212</v>
      </c>
      <c r="C5856">
        <v>7891150090989</v>
      </c>
      <c r="D5856">
        <v>4.95</v>
      </c>
      <c r="E5856">
        <v>3.66</v>
      </c>
      <c r="F5856" s="3">
        <v>0.23379999999999998</v>
      </c>
      <c r="G5856">
        <v>3.7927</v>
      </c>
      <c r="H5856">
        <v>4.8330000000000002</v>
      </c>
    </row>
    <row r="5857" spans="1:8" x14ac:dyDescent="0.25">
      <c r="A5857" t="s">
        <v>5863</v>
      </c>
      <c r="B5857">
        <v>65214</v>
      </c>
      <c r="C5857">
        <v>7891150091009</v>
      </c>
      <c r="D5857">
        <v>4.95</v>
      </c>
      <c r="E5857">
        <v>3.65</v>
      </c>
      <c r="F5857" s="3">
        <v>0.22270000000000001</v>
      </c>
      <c r="G5857">
        <v>3.8475000000000001</v>
      </c>
      <c r="H5857">
        <v>3.9</v>
      </c>
    </row>
    <row r="5858" spans="1:8" x14ac:dyDescent="0.25">
      <c r="A5858" t="s">
        <v>5864</v>
      </c>
      <c r="B5858">
        <v>65201</v>
      </c>
      <c r="C5858">
        <v>7891150090996</v>
      </c>
      <c r="D5858">
        <v>4.95</v>
      </c>
      <c r="E5858">
        <v>3.74</v>
      </c>
      <c r="F5858" s="3">
        <v>0.20120000000000002</v>
      </c>
      <c r="G5858">
        <v>3.9539</v>
      </c>
      <c r="H5858">
        <v>4.4000000000000004</v>
      </c>
    </row>
    <row r="5859" spans="1:8" x14ac:dyDescent="0.25">
      <c r="A5859" t="s">
        <v>5865</v>
      </c>
      <c r="B5859">
        <v>65213</v>
      </c>
      <c r="C5859">
        <v>7891150090972</v>
      </c>
      <c r="D5859">
        <v>4.95</v>
      </c>
      <c r="E5859">
        <v>3.3</v>
      </c>
      <c r="F5859" s="3">
        <v>0.32719999999999999</v>
      </c>
      <c r="G5859">
        <v>3.3302999999999998</v>
      </c>
      <c r="H5859">
        <v>2.7669999999999999</v>
      </c>
    </row>
    <row r="5860" spans="1:8" x14ac:dyDescent="0.25">
      <c r="A5860" t="s">
        <v>5866</v>
      </c>
      <c r="B5860">
        <v>7055</v>
      </c>
      <c r="C5860">
        <v>7891150059849</v>
      </c>
      <c r="D5860">
        <v>3.3</v>
      </c>
      <c r="E5860">
        <v>2.15</v>
      </c>
      <c r="F5860" s="3">
        <v>0.34259999999999996</v>
      </c>
      <c r="G5860">
        <v>2.1695000000000002</v>
      </c>
      <c r="H5860">
        <v>25.132999999999999</v>
      </c>
    </row>
    <row r="5861" spans="1:8" x14ac:dyDescent="0.25">
      <c r="A5861" t="s">
        <v>5867</v>
      </c>
      <c r="B5861">
        <v>67692</v>
      </c>
      <c r="C5861">
        <v>7891150097681</v>
      </c>
      <c r="D5861">
        <v>11.94</v>
      </c>
      <c r="E5861">
        <v>10.44</v>
      </c>
      <c r="F5861" s="3">
        <v>0.12470000000000001</v>
      </c>
      <c r="G5861">
        <v>10.4512</v>
      </c>
      <c r="H5861">
        <v>1.7330000000000001</v>
      </c>
    </row>
    <row r="5862" spans="1:8" x14ac:dyDescent="0.25">
      <c r="A5862" t="s">
        <v>5868</v>
      </c>
      <c r="B5862">
        <v>67693</v>
      </c>
      <c r="C5862">
        <v>7891150097674</v>
      </c>
      <c r="D5862">
        <v>11.94</v>
      </c>
      <c r="E5862">
        <v>10.39</v>
      </c>
      <c r="F5862" s="3">
        <v>0.12960000000000002</v>
      </c>
      <c r="G5862">
        <v>10.393000000000001</v>
      </c>
      <c r="H5862">
        <v>2.0670000000000002</v>
      </c>
    </row>
    <row r="5863" spans="1:8" x14ac:dyDescent="0.25">
      <c r="A5863" t="s">
        <v>5869</v>
      </c>
      <c r="B5863">
        <v>57127</v>
      </c>
      <c r="C5863">
        <v>7891150069602</v>
      </c>
      <c r="D5863">
        <v>3.3</v>
      </c>
      <c r="E5863">
        <v>2.04</v>
      </c>
      <c r="F5863" s="3">
        <v>0.38109999999999999</v>
      </c>
      <c r="G5863">
        <v>2.0425</v>
      </c>
      <c r="H5863">
        <v>0</v>
      </c>
    </row>
    <row r="5864" spans="1:8" x14ac:dyDescent="0.25">
      <c r="A5864" t="s">
        <v>5870</v>
      </c>
      <c r="B5864">
        <v>17543</v>
      </c>
      <c r="C5864">
        <v>7891150059924</v>
      </c>
      <c r="D5864">
        <v>3.3</v>
      </c>
      <c r="E5864">
        <v>2.13</v>
      </c>
      <c r="F5864" s="3">
        <v>0.35539999999999999</v>
      </c>
      <c r="G5864">
        <v>2.1272000000000002</v>
      </c>
      <c r="H5864">
        <v>21.933</v>
      </c>
    </row>
    <row r="5865" spans="1:8" x14ac:dyDescent="0.25">
      <c r="A5865" t="s">
        <v>5871</v>
      </c>
      <c r="B5865">
        <v>17603</v>
      </c>
      <c r="C5865">
        <v>7891150059856</v>
      </c>
      <c r="D5865">
        <v>3.3</v>
      </c>
      <c r="E5865">
        <v>2.21</v>
      </c>
      <c r="F5865" s="3">
        <v>0.3296</v>
      </c>
      <c r="G5865">
        <v>2.2122000000000002</v>
      </c>
      <c r="H5865">
        <v>29.667000000000002</v>
      </c>
    </row>
    <row r="5866" spans="1:8" x14ac:dyDescent="0.25">
      <c r="A5866" t="s">
        <v>5872</v>
      </c>
      <c r="B5866">
        <v>67450</v>
      </c>
      <c r="C5866">
        <v>7891150095304</v>
      </c>
      <c r="D5866">
        <v>3.3</v>
      </c>
      <c r="E5866">
        <v>2.29</v>
      </c>
      <c r="F5866" s="3">
        <v>0.30559999999999998</v>
      </c>
      <c r="G5866">
        <v>2.2913999999999999</v>
      </c>
      <c r="H5866">
        <v>4.0330000000000004</v>
      </c>
    </row>
    <row r="5867" spans="1:8" x14ac:dyDescent="0.25">
      <c r="A5867" t="s">
        <v>5873</v>
      </c>
      <c r="B5867">
        <v>7045</v>
      </c>
      <c r="C5867">
        <v>7891150059887</v>
      </c>
      <c r="D5867">
        <v>3.3</v>
      </c>
      <c r="E5867">
        <v>2.21</v>
      </c>
      <c r="F5867" s="3">
        <v>0.32840000000000003</v>
      </c>
      <c r="G5867">
        <v>2.2164000000000001</v>
      </c>
      <c r="H5867">
        <v>28.8</v>
      </c>
    </row>
    <row r="5868" spans="1:8" x14ac:dyDescent="0.25">
      <c r="A5868" t="s">
        <v>5874</v>
      </c>
      <c r="B5868">
        <v>7051</v>
      </c>
      <c r="C5868">
        <v>7891150059917</v>
      </c>
      <c r="D5868">
        <v>3.3</v>
      </c>
      <c r="E5868">
        <v>2.21</v>
      </c>
      <c r="F5868" s="3">
        <v>0.33110000000000001</v>
      </c>
      <c r="G5868">
        <v>2.2075</v>
      </c>
      <c r="H5868">
        <v>19.933</v>
      </c>
    </row>
    <row r="5869" spans="1:8" x14ac:dyDescent="0.25">
      <c r="A5869" t="s">
        <v>5875</v>
      </c>
      <c r="B5869">
        <v>7047</v>
      </c>
      <c r="C5869">
        <v>7891150059900</v>
      </c>
      <c r="D5869">
        <v>3.3</v>
      </c>
      <c r="E5869">
        <v>2.13</v>
      </c>
      <c r="F5869" s="3">
        <v>0.34950000000000003</v>
      </c>
      <c r="G5869">
        <v>2.1465999999999998</v>
      </c>
      <c r="H5869">
        <v>32.332999999999998</v>
      </c>
    </row>
    <row r="5870" spans="1:8" x14ac:dyDescent="0.25">
      <c r="A5870" t="s">
        <v>5876</v>
      </c>
      <c r="B5870">
        <v>7058</v>
      </c>
      <c r="C5870">
        <v>7891150059870</v>
      </c>
      <c r="D5870">
        <v>3.1</v>
      </c>
      <c r="E5870">
        <v>2.2799999999999998</v>
      </c>
      <c r="F5870" s="3">
        <v>0.26600000000000001</v>
      </c>
      <c r="G5870">
        <v>2.2753000000000001</v>
      </c>
      <c r="H5870">
        <v>1.2330000000000001</v>
      </c>
    </row>
    <row r="5871" spans="1:8" x14ac:dyDescent="0.25">
      <c r="A5871" t="s">
        <v>5877</v>
      </c>
      <c r="B5871">
        <v>7057</v>
      </c>
      <c r="C5871">
        <v>7891150060296</v>
      </c>
      <c r="D5871">
        <v>4.5</v>
      </c>
      <c r="E5871">
        <v>1.53</v>
      </c>
      <c r="F5871" s="3">
        <v>0.6604000000000001</v>
      </c>
      <c r="G5871">
        <v>1.5281</v>
      </c>
      <c r="H5871">
        <v>0</v>
      </c>
    </row>
    <row r="5872" spans="1:8" x14ac:dyDescent="0.25">
      <c r="A5872" t="s">
        <v>5878</v>
      </c>
      <c r="B5872">
        <v>55474</v>
      </c>
      <c r="C5872">
        <v>4005900294722</v>
      </c>
      <c r="D5872">
        <v>5.9</v>
      </c>
      <c r="E5872">
        <v>3.69</v>
      </c>
      <c r="F5872" s="3">
        <v>0.374</v>
      </c>
      <c r="G5872">
        <v>3.6934</v>
      </c>
      <c r="H5872">
        <v>4.2</v>
      </c>
    </row>
    <row r="5873" spans="1:8" x14ac:dyDescent="0.25">
      <c r="A5873" t="s">
        <v>5879</v>
      </c>
      <c r="B5873">
        <v>61581</v>
      </c>
      <c r="C5873">
        <v>4005900916129</v>
      </c>
      <c r="D5873">
        <v>3.99</v>
      </c>
      <c r="E5873">
        <v>2.75</v>
      </c>
      <c r="F5873" s="3">
        <v>0.31090000000000001</v>
      </c>
      <c r="G5873">
        <v>2.7496999999999998</v>
      </c>
      <c r="H5873">
        <v>19.832999999999998</v>
      </c>
    </row>
    <row r="5874" spans="1:8" x14ac:dyDescent="0.25">
      <c r="A5874" t="s">
        <v>5880</v>
      </c>
      <c r="B5874">
        <v>7065</v>
      </c>
      <c r="C5874">
        <v>4005900521897</v>
      </c>
      <c r="D5874">
        <v>3.99</v>
      </c>
      <c r="E5874">
        <v>2.75</v>
      </c>
      <c r="F5874" s="3">
        <v>0.31090000000000001</v>
      </c>
      <c r="G5874">
        <v>2.7496999999999998</v>
      </c>
      <c r="H5874">
        <v>10.667</v>
      </c>
    </row>
    <row r="5875" spans="1:8" x14ac:dyDescent="0.25">
      <c r="A5875" t="s">
        <v>5881</v>
      </c>
      <c r="B5875">
        <v>7069</v>
      </c>
      <c r="C5875">
        <v>7890704806441</v>
      </c>
      <c r="D5875">
        <v>3.99</v>
      </c>
      <c r="E5875">
        <v>2.75</v>
      </c>
      <c r="F5875" s="3">
        <v>0.31079999999999997</v>
      </c>
      <c r="G5875">
        <v>2.7496999999999998</v>
      </c>
      <c r="H5875">
        <v>28.233000000000001</v>
      </c>
    </row>
    <row r="5876" spans="1:8" x14ac:dyDescent="0.25">
      <c r="A5876" t="s">
        <v>5882</v>
      </c>
      <c r="B5876">
        <v>55470</v>
      </c>
      <c r="C5876">
        <v>4005900521972</v>
      </c>
      <c r="D5876">
        <v>3.99</v>
      </c>
      <c r="E5876">
        <v>2.75</v>
      </c>
      <c r="F5876" s="3">
        <v>0.31079999999999997</v>
      </c>
      <c r="G5876">
        <v>2.7496999999999998</v>
      </c>
      <c r="H5876">
        <v>25.7</v>
      </c>
    </row>
    <row r="5877" spans="1:8" x14ac:dyDescent="0.25">
      <c r="A5877" t="s">
        <v>5883</v>
      </c>
      <c r="B5877">
        <v>55476</v>
      </c>
      <c r="C5877">
        <v>4005900522016</v>
      </c>
      <c r="D5877">
        <v>3.99</v>
      </c>
      <c r="E5877">
        <v>2.75</v>
      </c>
      <c r="F5877" s="3">
        <v>0.31090000000000001</v>
      </c>
      <c r="G5877">
        <v>2.7496999999999998</v>
      </c>
      <c r="H5877">
        <v>21.1</v>
      </c>
    </row>
    <row r="5878" spans="1:8" x14ac:dyDescent="0.25">
      <c r="A5878" t="s">
        <v>5884</v>
      </c>
      <c r="B5878">
        <v>7071</v>
      </c>
      <c r="C5878">
        <v>4005900521910</v>
      </c>
      <c r="D5878">
        <v>3.99</v>
      </c>
      <c r="E5878">
        <v>2.75</v>
      </c>
      <c r="F5878" s="3">
        <v>0.31079999999999997</v>
      </c>
      <c r="G5878">
        <v>2.7496999999999998</v>
      </c>
      <c r="H5878">
        <v>27.567</v>
      </c>
    </row>
    <row r="5879" spans="1:8" x14ac:dyDescent="0.25">
      <c r="A5879" t="s">
        <v>5885</v>
      </c>
      <c r="B5879">
        <v>55478</v>
      </c>
      <c r="C5879">
        <v>4005900527073</v>
      </c>
      <c r="D5879">
        <v>3.99</v>
      </c>
      <c r="E5879">
        <v>2.75</v>
      </c>
      <c r="F5879" s="3">
        <v>0.31090000000000001</v>
      </c>
      <c r="G5879">
        <v>2.7496999999999998</v>
      </c>
      <c r="H5879">
        <v>23.867000000000001</v>
      </c>
    </row>
    <row r="5880" spans="1:8" x14ac:dyDescent="0.25">
      <c r="A5880" t="s">
        <v>5886</v>
      </c>
      <c r="B5880">
        <v>20001</v>
      </c>
      <c r="C5880">
        <v>7891024110201</v>
      </c>
      <c r="D5880">
        <v>3.99</v>
      </c>
      <c r="E5880">
        <v>3.47</v>
      </c>
      <c r="F5880" s="3">
        <v>0.13070000000000001</v>
      </c>
      <c r="G5880">
        <v>3.4683000000000002</v>
      </c>
      <c r="H5880">
        <v>0.67600000000000005</v>
      </c>
    </row>
    <row r="5881" spans="1:8" x14ac:dyDescent="0.25">
      <c r="A5881" t="s">
        <v>5887</v>
      </c>
      <c r="B5881">
        <v>44410</v>
      </c>
      <c r="C5881">
        <v>7891024035580</v>
      </c>
      <c r="D5881">
        <v>3.99</v>
      </c>
      <c r="E5881">
        <v>3.23</v>
      </c>
      <c r="F5881" s="3">
        <v>0.18109999999999998</v>
      </c>
      <c r="G5881">
        <v>3.2675000000000001</v>
      </c>
      <c r="H5881">
        <v>3.3330000000000002</v>
      </c>
    </row>
    <row r="5882" spans="1:8" x14ac:dyDescent="0.25">
      <c r="A5882" t="s">
        <v>5888</v>
      </c>
      <c r="B5882">
        <v>64607</v>
      </c>
      <c r="C5882">
        <v>7509546689326</v>
      </c>
      <c r="D5882">
        <v>3.99</v>
      </c>
      <c r="E5882">
        <v>3.16</v>
      </c>
      <c r="F5882" s="3">
        <v>0.2084</v>
      </c>
      <c r="G5882">
        <v>3.1585999999999999</v>
      </c>
      <c r="H5882">
        <v>2.4670000000000001</v>
      </c>
    </row>
    <row r="5883" spans="1:8" x14ac:dyDescent="0.25">
      <c r="A5883" t="s">
        <v>5889</v>
      </c>
      <c r="B5883">
        <v>64606</v>
      </c>
      <c r="C5883">
        <v>7509546669687</v>
      </c>
      <c r="D5883">
        <v>3.99</v>
      </c>
      <c r="E5883">
        <v>3.16</v>
      </c>
      <c r="F5883" s="3">
        <v>0.20879999999999999</v>
      </c>
      <c r="G5883">
        <v>3.157</v>
      </c>
      <c r="H5883">
        <v>2.2000000000000002</v>
      </c>
    </row>
    <row r="5884" spans="1:8" x14ac:dyDescent="0.25">
      <c r="A5884" t="s">
        <v>5890</v>
      </c>
      <c r="B5884">
        <v>20003</v>
      </c>
      <c r="C5884">
        <v>7891024110300</v>
      </c>
      <c r="D5884">
        <v>3.99</v>
      </c>
      <c r="E5884">
        <v>3.22</v>
      </c>
      <c r="F5884" s="3">
        <v>0.19949999999999998</v>
      </c>
      <c r="G5884">
        <v>3.194</v>
      </c>
      <c r="H5884">
        <v>4.0330000000000004</v>
      </c>
    </row>
    <row r="5885" spans="1:8" x14ac:dyDescent="0.25">
      <c r="A5885" t="s">
        <v>5891</v>
      </c>
      <c r="B5885">
        <v>20005</v>
      </c>
      <c r="C5885">
        <v>7891024110508</v>
      </c>
      <c r="D5885">
        <v>3.99</v>
      </c>
      <c r="E5885">
        <v>3.47</v>
      </c>
      <c r="F5885" s="3">
        <v>0.13070000000000001</v>
      </c>
      <c r="G5885">
        <v>3.4683000000000002</v>
      </c>
      <c r="H5885">
        <v>2.7530000000000001</v>
      </c>
    </row>
    <row r="5886" spans="1:8" x14ac:dyDescent="0.25">
      <c r="A5886" t="s">
        <v>5892</v>
      </c>
      <c r="B5886">
        <v>35784</v>
      </c>
      <c r="C5886">
        <v>7891024029824</v>
      </c>
      <c r="D5886">
        <v>3.99</v>
      </c>
      <c r="E5886">
        <v>3.26</v>
      </c>
      <c r="F5886" s="3">
        <v>0.16969999999999999</v>
      </c>
      <c r="G5886">
        <v>3.3130000000000002</v>
      </c>
      <c r="H5886">
        <v>3.3330000000000002</v>
      </c>
    </row>
    <row r="5887" spans="1:8" x14ac:dyDescent="0.25">
      <c r="A5887" t="s">
        <v>5893</v>
      </c>
      <c r="B5887">
        <v>63650</v>
      </c>
      <c r="C5887">
        <v>7509546659091</v>
      </c>
      <c r="D5887">
        <v>3.99</v>
      </c>
      <c r="E5887">
        <v>3.36</v>
      </c>
      <c r="F5887" s="3">
        <v>0.15479999999999999</v>
      </c>
      <c r="G5887">
        <v>3.3721999999999999</v>
      </c>
      <c r="H5887">
        <v>4.4329999999999998</v>
      </c>
    </row>
    <row r="5888" spans="1:8" x14ac:dyDescent="0.25">
      <c r="A5888" t="s">
        <v>5894</v>
      </c>
      <c r="B5888">
        <v>68499</v>
      </c>
      <c r="C5888">
        <v>7509546695396</v>
      </c>
      <c r="D5888">
        <v>3.99</v>
      </c>
      <c r="E5888">
        <v>3.4</v>
      </c>
      <c r="F5888" s="3">
        <v>0.1497</v>
      </c>
      <c r="G5888">
        <v>3.3925999999999998</v>
      </c>
      <c r="H5888">
        <v>3.9</v>
      </c>
    </row>
    <row r="5889" spans="1:8" x14ac:dyDescent="0.25">
      <c r="A5889" t="s">
        <v>5895</v>
      </c>
      <c r="B5889">
        <v>20007</v>
      </c>
      <c r="C5889">
        <v>7891024110355</v>
      </c>
      <c r="D5889">
        <v>3.99</v>
      </c>
      <c r="E5889">
        <v>3.24</v>
      </c>
      <c r="F5889" s="3">
        <v>0.18690000000000001</v>
      </c>
      <c r="G5889">
        <v>3.2441</v>
      </c>
      <c r="H5889">
        <v>4.0670000000000002</v>
      </c>
    </row>
    <row r="5890" spans="1:8" x14ac:dyDescent="0.25">
      <c r="A5890" t="s">
        <v>5896</v>
      </c>
      <c r="B5890">
        <v>20002</v>
      </c>
      <c r="C5890">
        <v>7891024026458</v>
      </c>
      <c r="D5890">
        <v>3.99</v>
      </c>
      <c r="E5890">
        <v>3.47</v>
      </c>
      <c r="F5890" s="3">
        <v>0.13070000000000001</v>
      </c>
      <c r="G5890">
        <v>3.4683000000000002</v>
      </c>
      <c r="H5890">
        <v>3.4550000000000001</v>
      </c>
    </row>
    <row r="5891" spans="1:8" x14ac:dyDescent="0.25">
      <c r="A5891" t="s">
        <v>5897</v>
      </c>
      <c r="B5891">
        <v>19990</v>
      </c>
      <c r="C5891">
        <v>7891024034767</v>
      </c>
      <c r="D5891">
        <v>2.99</v>
      </c>
      <c r="E5891">
        <v>2.0099999999999998</v>
      </c>
      <c r="F5891" s="3">
        <v>0.32780000000000004</v>
      </c>
      <c r="G5891">
        <v>2.0097999999999998</v>
      </c>
      <c r="H5891">
        <v>4.1669999999999998</v>
      </c>
    </row>
    <row r="5892" spans="1:8" x14ac:dyDescent="0.25">
      <c r="A5892" t="s">
        <v>5898</v>
      </c>
      <c r="B5892">
        <v>67322</v>
      </c>
      <c r="C5892">
        <v>7509546693873</v>
      </c>
      <c r="D5892">
        <v>14.99</v>
      </c>
      <c r="E5892">
        <v>10.43</v>
      </c>
      <c r="F5892" s="3">
        <v>0.29089999999999999</v>
      </c>
      <c r="G5892">
        <v>10.63</v>
      </c>
      <c r="H5892">
        <v>1.5329999999999999</v>
      </c>
    </row>
    <row r="5893" spans="1:8" x14ac:dyDescent="0.25">
      <c r="A5893" t="s">
        <v>5899</v>
      </c>
      <c r="B5893">
        <v>68500</v>
      </c>
      <c r="C5893">
        <v>7509546696126</v>
      </c>
      <c r="D5893">
        <v>14.99</v>
      </c>
      <c r="E5893">
        <v>10.64</v>
      </c>
      <c r="F5893" s="3">
        <v>0.28289999999999998</v>
      </c>
      <c r="G5893">
        <v>10.7491</v>
      </c>
      <c r="H5893">
        <v>0.5</v>
      </c>
    </row>
    <row r="5894" spans="1:8" x14ac:dyDescent="0.25">
      <c r="A5894" t="s">
        <v>5900</v>
      </c>
      <c r="B5894">
        <v>67321</v>
      </c>
      <c r="C5894">
        <v>7509546694191</v>
      </c>
      <c r="D5894">
        <v>14.99</v>
      </c>
      <c r="E5894">
        <v>10.68</v>
      </c>
      <c r="F5894" s="3">
        <v>0.28320000000000001</v>
      </c>
      <c r="G5894">
        <v>10.744300000000001</v>
      </c>
      <c r="H5894">
        <v>1.167</v>
      </c>
    </row>
    <row r="5895" spans="1:8" x14ac:dyDescent="0.25">
      <c r="A5895" t="s">
        <v>5901</v>
      </c>
      <c r="B5895">
        <v>44409</v>
      </c>
      <c r="C5895">
        <v>7891024034880</v>
      </c>
      <c r="D5895">
        <v>3.09</v>
      </c>
      <c r="E5895">
        <v>2.02</v>
      </c>
      <c r="F5895" s="3">
        <v>0.34210000000000002</v>
      </c>
      <c r="G5895">
        <v>2.0329999999999999</v>
      </c>
      <c r="H5895">
        <v>2.0329999999999999</v>
      </c>
    </row>
    <row r="5896" spans="1:8" x14ac:dyDescent="0.25">
      <c r="A5896" t="s">
        <v>5902</v>
      </c>
      <c r="B5896">
        <v>64605</v>
      </c>
      <c r="C5896">
        <v>7509546689333</v>
      </c>
      <c r="D5896">
        <v>2.99</v>
      </c>
      <c r="E5896">
        <v>1.98</v>
      </c>
      <c r="F5896" s="3">
        <v>0.33679999999999999</v>
      </c>
      <c r="G5896">
        <v>1.9831000000000001</v>
      </c>
      <c r="H5896">
        <v>1.9330000000000001</v>
      </c>
    </row>
    <row r="5897" spans="1:8" x14ac:dyDescent="0.25">
      <c r="A5897" t="s">
        <v>5903</v>
      </c>
      <c r="B5897">
        <v>27664</v>
      </c>
      <c r="C5897">
        <v>7891024034750</v>
      </c>
      <c r="D5897">
        <v>2.99</v>
      </c>
      <c r="E5897">
        <v>1.87</v>
      </c>
      <c r="F5897" s="3">
        <v>0.37359999999999999</v>
      </c>
      <c r="G5897">
        <v>1.8729</v>
      </c>
      <c r="H5897">
        <v>1</v>
      </c>
    </row>
    <row r="5898" spans="1:8" x14ac:dyDescent="0.25">
      <c r="A5898" t="s">
        <v>5904</v>
      </c>
      <c r="B5898">
        <v>64604</v>
      </c>
      <c r="C5898">
        <v>7509546669670</v>
      </c>
      <c r="D5898">
        <v>2.99</v>
      </c>
      <c r="E5898">
        <v>1.99</v>
      </c>
      <c r="F5898" s="3">
        <v>0.33579999999999999</v>
      </c>
      <c r="G5898">
        <v>1.9859</v>
      </c>
      <c r="H5898">
        <v>1.9</v>
      </c>
    </row>
    <row r="5899" spans="1:8" x14ac:dyDescent="0.25">
      <c r="A5899" t="s">
        <v>5905</v>
      </c>
      <c r="B5899">
        <v>19991</v>
      </c>
      <c r="C5899">
        <v>7891024034781</v>
      </c>
      <c r="D5899">
        <v>3.09</v>
      </c>
      <c r="E5899">
        <v>1.98</v>
      </c>
      <c r="F5899" s="3">
        <v>0.35920000000000002</v>
      </c>
      <c r="G5899">
        <v>1.9801</v>
      </c>
      <c r="H5899">
        <v>6.5</v>
      </c>
    </row>
    <row r="5900" spans="1:8" x14ac:dyDescent="0.25">
      <c r="A5900" t="s">
        <v>5906</v>
      </c>
      <c r="B5900">
        <v>53502</v>
      </c>
      <c r="C5900">
        <v>7891024042267</v>
      </c>
      <c r="D5900">
        <v>14.99</v>
      </c>
      <c r="E5900">
        <v>10.19</v>
      </c>
      <c r="F5900" s="3">
        <v>0.3201</v>
      </c>
      <c r="G5900">
        <v>10.191599999999999</v>
      </c>
      <c r="H5900">
        <v>0.93300000000000005</v>
      </c>
    </row>
    <row r="5901" spans="1:8" x14ac:dyDescent="0.25">
      <c r="A5901" t="s">
        <v>5907</v>
      </c>
      <c r="B5901">
        <v>53503</v>
      </c>
      <c r="C5901">
        <v>7891024042274</v>
      </c>
      <c r="D5901">
        <v>14.99</v>
      </c>
      <c r="E5901">
        <v>10.19</v>
      </c>
      <c r="F5901" s="3">
        <v>0.32</v>
      </c>
      <c r="G5901">
        <v>10.192500000000001</v>
      </c>
      <c r="H5901">
        <v>1.167</v>
      </c>
    </row>
    <row r="5902" spans="1:8" x14ac:dyDescent="0.25">
      <c r="A5902" t="s">
        <v>5908</v>
      </c>
      <c r="B5902">
        <v>19993</v>
      </c>
      <c r="C5902">
        <v>7891024111802</v>
      </c>
      <c r="D5902">
        <v>3.09</v>
      </c>
      <c r="E5902">
        <v>1.97</v>
      </c>
      <c r="F5902" s="3">
        <v>0.36090000000000005</v>
      </c>
      <c r="G5902">
        <v>1.9750000000000001</v>
      </c>
      <c r="H5902">
        <v>5.0330000000000004</v>
      </c>
    </row>
    <row r="5903" spans="1:8" x14ac:dyDescent="0.25">
      <c r="A5903" t="s">
        <v>5909</v>
      </c>
      <c r="B5903">
        <v>55237</v>
      </c>
      <c r="C5903">
        <v>7891024042229</v>
      </c>
      <c r="D5903">
        <v>4.5</v>
      </c>
      <c r="E5903">
        <v>3.18</v>
      </c>
      <c r="F5903" s="3">
        <v>0.27789999999999998</v>
      </c>
      <c r="G5903">
        <v>3.2494000000000001</v>
      </c>
      <c r="H5903">
        <v>1.2330000000000001</v>
      </c>
    </row>
    <row r="5904" spans="1:8" x14ac:dyDescent="0.25">
      <c r="A5904" t="s">
        <v>5910</v>
      </c>
      <c r="B5904">
        <v>20000</v>
      </c>
      <c r="C5904">
        <v>7891024034743</v>
      </c>
      <c r="D5904">
        <v>2.99</v>
      </c>
      <c r="E5904">
        <v>1.98</v>
      </c>
      <c r="F5904" s="3">
        <v>0.31859999999999999</v>
      </c>
      <c r="G5904">
        <v>2.0375000000000001</v>
      </c>
      <c r="H5904">
        <v>3.5</v>
      </c>
    </row>
    <row r="5905" spans="1:8" x14ac:dyDescent="0.25">
      <c r="A5905" t="s">
        <v>5911</v>
      </c>
      <c r="B5905">
        <v>35783</v>
      </c>
      <c r="C5905">
        <v>7891024034712</v>
      </c>
      <c r="D5905">
        <v>3.09</v>
      </c>
      <c r="E5905">
        <v>1.94</v>
      </c>
      <c r="F5905" s="3">
        <v>0.3644</v>
      </c>
      <c r="G5905">
        <v>1.9639</v>
      </c>
      <c r="H5905">
        <v>2.9670000000000001</v>
      </c>
    </row>
    <row r="5906" spans="1:8" x14ac:dyDescent="0.25">
      <c r="A5906" t="s">
        <v>5912</v>
      </c>
      <c r="B5906">
        <v>19998</v>
      </c>
      <c r="C5906">
        <v>7891024034828</v>
      </c>
      <c r="D5906">
        <v>2.99</v>
      </c>
      <c r="E5906">
        <v>1.97</v>
      </c>
      <c r="F5906" s="3">
        <v>0.3427</v>
      </c>
      <c r="G5906">
        <v>1.9653</v>
      </c>
      <c r="H5906">
        <v>4.1669999999999998</v>
      </c>
    </row>
    <row r="5907" spans="1:8" x14ac:dyDescent="0.25">
      <c r="A5907" t="s">
        <v>5913</v>
      </c>
      <c r="B5907">
        <v>68498</v>
      </c>
      <c r="C5907">
        <v>7509546695389</v>
      </c>
      <c r="D5907">
        <v>2.99</v>
      </c>
      <c r="E5907">
        <v>2.04</v>
      </c>
      <c r="F5907" s="3">
        <v>0.3135</v>
      </c>
      <c r="G5907">
        <v>2.0525000000000002</v>
      </c>
      <c r="H5907">
        <v>1.4670000000000001</v>
      </c>
    </row>
    <row r="5908" spans="1:8" x14ac:dyDescent="0.25">
      <c r="A5908" t="s">
        <v>5914</v>
      </c>
      <c r="B5908">
        <v>57424</v>
      </c>
      <c r="C5908">
        <v>7509546659107</v>
      </c>
      <c r="D5908">
        <v>2.99</v>
      </c>
      <c r="E5908">
        <v>1.95</v>
      </c>
      <c r="F5908" s="3">
        <v>0.35489999999999999</v>
      </c>
      <c r="G5908">
        <v>1.9289000000000001</v>
      </c>
      <c r="H5908">
        <v>1.4670000000000001</v>
      </c>
    </row>
    <row r="5909" spans="1:8" x14ac:dyDescent="0.25">
      <c r="A5909" t="s">
        <v>5915</v>
      </c>
      <c r="B5909">
        <v>63866</v>
      </c>
      <c r="C5909">
        <v>7509546687810</v>
      </c>
      <c r="D5909">
        <v>16.8</v>
      </c>
      <c r="E5909">
        <v>10.53</v>
      </c>
      <c r="F5909" s="3">
        <v>0.37109999999999999</v>
      </c>
      <c r="G5909">
        <v>10.5656</v>
      </c>
      <c r="H5909">
        <v>0.63300000000000001</v>
      </c>
    </row>
    <row r="5910" spans="1:8" x14ac:dyDescent="0.25">
      <c r="A5910" t="s">
        <v>5916</v>
      </c>
      <c r="B5910">
        <v>17216</v>
      </c>
      <c r="C5910">
        <v>7896512911537</v>
      </c>
      <c r="D5910">
        <v>6.9</v>
      </c>
      <c r="E5910">
        <v>4.1900000000000004</v>
      </c>
      <c r="F5910" s="3">
        <v>0.39409999999999995</v>
      </c>
      <c r="G5910">
        <v>4.1807999999999996</v>
      </c>
      <c r="H5910">
        <v>4.4000000000000004</v>
      </c>
    </row>
    <row r="5911" spans="1:8" x14ac:dyDescent="0.25">
      <c r="A5911" t="s">
        <v>5917</v>
      </c>
      <c r="B5911">
        <v>67340</v>
      </c>
      <c r="C5911">
        <v>7896512945136</v>
      </c>
      <c r="D5911">
        <v>6.9</v>
      </c>
      <c r="E5911">
        <v>4.24</v>
      </c>
      <c r="F5911" s="3">
        <v>0.38200000000000001</v>
      </c>
      <c r="G5911">
        <v>4.2643000000000004</v>
      </c>
      <c r="H5911">
        <v>1.667</v>
      </c>
    </row>
    <row r="5912" spans="1:8" x14ac:dyDescent="0.25">
      <c r="A5912" t="s">
        <v>5918</v>
      </c>
      <c r="B5912">
        <v>17217</v>
      </c>
      <c r="C5912">
        <v>7896512921789</v>
      </c>
      <c r="D5912">
        <v>6.9</v>
      </c>
      <c r="E5912">
        <v>4.34</v>
      </c>
      <c r="F5912" s="3">
        <v>0.37109999999999999</v>
      </c>
      <c r="G5912">
        <v>4.3392999999999997</v>
      </c>
      <c r="H5912">
        <v>10.1</v>
      </c>
    </row>
    <row r="5913" spans="1:8" x14ac:dyDescent="0.25">
      <c r="A5913" t="s">
        <v>5919</v>
      </c>
      <c r="B5913">
        <v>58872</v>
      </c>
      <c r="C5913">
        <v>7896512937834</v>
      </c>
      <c r="D5913">
        <v>6.9</v>
      </c>
      <c r="E5913">
        <v>4.3</v>
      </c>
      <c r="F5913" s="3">
        <v>0.37259999999999999</v>
      </c>
      <c r="G5913">
        <v>4.3291000000000004</v>
      </c>
      <c r="H5913">
        <v>10.067</v>
      </c>
    </row>
    <row r="5914" spans="1:8" x14ac:dyDescent="0.25">
      <c r="A5914" t="s">
        <v>5920</v>
      </c>
      <c r="B5914">
        <v>8199</v>
      </c>
      <c r="C5914">
        <v>7896512909732</v>
      </c>
      <c r="D5914">
        <v>5.9</v>
      </c>
      <c r="E5914">
        <v>3.91</v>
      </c>
      <c r="F5914" s="3">
        <v>0.34130000000000005</v>
      </c>
      <c r="G5914">
        <v>3.8862999999999999</v>
      </c>
      <c r="H5914">
        <v>14.233000000000001</v>
      </c>
    </row>
    <row r="5915" spans="1:8" x14ac:dyDescent="0.25">
      <c r="A5915" t="s">
        <v>5921</v>
      </c>
      <c r="B5915">
        <v>8201</v>
      </c>
      <c r="C5915">
        <v>7896512909770</v>
      </c>
      <c r="D5915">
        <v>5.9</v>
      </c>
      <c r="E5915">
        <v>3.85</v>
      </c>
      <c r="F5915" s="3">
        <v>0.34450000000000003</v>
      </c>
      <c r="G5915">
        <v>3.8675000000000002</v>
      </c>
      <c r="H5915">
        <v>11.632999999999999</v>
      </c>
    </row>
    <row r="5916" spans="1:8" x14ac:dyDescent="0.25">
      <c r="A5916" t="s">
        <v>5922</v>
      </c>
      <c r="B5916">
        <v>8203</v>
      </c>
      <c r="C5916">
        <v>7896512909787</v>
      </c>
      <c r="D5916">
        <v>5.9</v>
      </c>
      <c r="E5916">
        <v>3.94</v>
      </c>
      <c r="F5916" s="3">
        <v>0.33289999999999997</v>
      </c>
      <c r="G5916">
        <v>3.9359000000000002</v>
      </c>
      <c r="H5916">
        <v>19.399999999999999</v>
      </c>
    </row>
    <row r="5917" spans="1:8" x14ac:dyDescent="0.25">
      <c r="A5917" t="s">
        <v>5923</v>
      </c>
      <c r="B5917">
        <v>17221</v>
      </c>
      <c r="C5917">
        <v>7896512909794</v>
      </c>
      <c r="D5917">
        <v>5.9</v>
      </c>
      <c r="E5917">
        <v>3.91</v>
      </c>
      <c r="F5917" s="3">
        <v>0.33700000000000002</v>
      </c>
      <c r="G5917">
        <v>3.9115000000000002</v>
      </c>
      <c r="H5917">
        <v>10.632999999999999</v>
      </c>
    </row>
    <row r="5918" spans="1:8" x14ac:dyDescent="0.25">
      <c r="A5918" t="s">
        <v>5924</v>
      </c>
      <c r="B5918">
        <v>20016</v>
      </c>
      <c r="C5918">
        <v>7891024034910</v>
      </c>
      <c r="D5918">
        <v>4.25</v>
      </c>
      <c r="E5918">
        <v>3.03</v>
      </c>
      <c r="F5918" s="3">
        <v>0.2772</v>
      </c>
      <c r="G5918">
        <v>3.0718999999999999</v>
      </c>
      <c r="H5918">
        <v>3.9</v>
      </c>
    </row>
    <row r="5919" spans="1:8" x14ac:dyDescent="0.25">
      <c r="A5919" t="s">
        <v>5925</v>
      </c>
      <c r="B5919">
        <v>20010</v>
      </c>
      <c r="C5919">
        <v>7891024034996</v>
      </c>
      <c r="D5919">
        <v>4.25</v>
      </c>
      <c r="E5919">
        <v>3.03</v>
      </c>
      <c r="F5919" s="3">
        <v>0.27399999999999997</v>
      </c>
      <c r="G5919">
        <v>3.0855000000000001</v>
      </c>
      <c r="H5919">
        <v>4.4329999999999998</v>
      </c>
    </row>
    <row r="5920" spans="1:8" x14ac:dyDescent="0.25">
      <c r="A5920" t="s">
        <v>5926</v>
      </c>
      <c r="B5920">
        <v>61732</v>
      </c>
      <c r="C5920">
        <v>7509546678832</v>
      </c>
      <c r="D5920">
        <v>4.25</v>
      </c>
      <c r="E5920">
        <v>2.99</v>
      </c>
      <c r="F5920" s="3">
        <v>0.2838</v>
      </c>
      <c r="G5920">
        <v>3.044</v>
      </c>
      <c r="H5920">
        <v>4.133</v>
      </c>
    </row>
    <row r="5921" spans="1:8" x14ac:dyDescent="0.25">
      <c r="A5921" t="s">
        <v>5927</v>
      </c>
      <c r="B5921">
        <v>29934</v>
      </c>
      <c r="C5921">
        <v>7891024035191</v>
      </c>
      <c r="D5921">
        <v>4.25</v>
      </c>
      <c r="E5921">
        <v>3.02</v>
      </c>
      <c r="F5921" s="3">
        <v>0.29309999999999997</v>
      </c>
      <c r="G5921">
        <v>3.0042</v>
      </c>
      <c r="H5921">
        <v>5.4669999999999996</v>
      </c>
    </row>
    <row r="5922" spans="1:8" x14ac:dyDescent="0.25">
      <c r="A5922" t="s">
        <v>5928</v>
      </c>
      <c r="B5922">
        <v>20014</v>
      </c>
      <c r="C5922">
        <v>7891024035078</v>
      </c>
      <c r="D5922">
        <v>4.25</v>
      </c>
      <c r="E5922">
        <v>3</v>
      </c>
      <c r="F5922" s="3">
        <v>0.28589999999999999</v>
      </c>
      <c r="G5922">
        <v>3.0350999999999999</v>
      </c>
      <c r="H5922">
        <v>5.7</v>
      </c>
    </row>
    <row r="5923" spans="1:8" x14ac:dyDescent="0.25">
      <c r="A5923" t="s">
        <v>5929</v>
      </c>
      <c r="B5923">
        <v>58132</v>
      </c>
      <c r="C5923">
        <v>7509546665061</v>
      </c>
      <c r="D5923">
        <v>4.5999999999999996</v>
      </c>
      <c r="E5923">
        <v>3.2</v>
      </c>
      <c r="F5923" s="3">
        <v>0.3049</v>
      </c>
      <c r="G5923">
        <v>3.1974999999999998</v>
      </c>
      <c r="H5923">
        <v>0</v>
      </c>
    </row>
    <row r="5924" spans="1:8" x14ac:dyDescent="0.25">
      <c r="A5924" t="s">
        <v>5930</v>
      </c>
      <c r="B5924">
        <v>20018</v>
      </c>
      <c r="C5924">
        <v>7891024038819</v>
      </c>
      <c r="D5924">
        <v>4.25</v>
      </c>
      <c r="E5924">
        <v>3.01</v>
      </c>
      <c r="F5924" s="3">
        <v>0.28820000000000001</v>
      </c>
      <c r="G5924">
        <v>3.0253000000000001</v>
      </c>
      <c r="H5924">
        <v>3.0670000000000002</v>
      </c>
    </row>
    <row r="5925" spans="1:8" x14ac:dyDescent="0.25">
      <c r="A5925" t="s">
        <v>5931</v>
      </c>
      <c r="B5925">
        <v>20012</v>
      </c>
      <c r="C5925">
        <v>7509546695785</v>
      </c>
      <c r="D5925">
        <v>4.25</v>
      </c>
      <c r="E5925">
        <v>2.99</v>
      </c>
      <c r="F5925" s="3">
        <v>0.28139999999999998</v>
      </c>
      <c r="G5925">
        <v>3.0539999999999998</v>
      </c>
      <c r="H5925">
        <v>5.633</v>
      </c>
    </row>
    <row r="5926" spans="1:8" x14ac:dyDescent="0.25">
      <c r="A5926" t="s">
        <v>5932</v>
      </c>
      <c r="B5926">
        <v>61782</v>
      </c>
      <c r="C5926">
        <v>7509546678849</v>
      </c>
      <c r="D5926">
        <v>17.600000000000001</v>
      </c>
      <c r="E5926">
        <v>13.79</v>
      </c>
      <c r="F5926" s="3">
        <v>0.21640000000000001</v>
      </c>
      <c r="G5926">
        <v>13.7919</v>
      </c>
      <c r="H5926">
        <v>0</v>
      </c>
    </row>
    <row r="5927" spans="1:8" x14ac:dyDescent="0.25">
      <c r="A5927" t="s">
        <v>5933</v>
      </c>
      <c r="B5927">
        <v>57955</v>
      </c>
      <c r="C5927">
        <v>7891024035504</v>
      </c>
      <c r="D5927">
        <v>17.600000000000001</v>
      </c>
      <c r="E5927">
        <v>13.67</v>
      </c>
      <c r="F5927" s="3">
        <v>0.22320000000000001</v>
      </c>
      <c r="G5927">
        <v>13.672599999999999</v>
      </c>
      <c r="H5927">
        <v>2.2000000000000002</v>
      </c>
    </row>
    <row r="5928" spans="1:8" x14ac:dyDescent="0.25">
      <c r="A5928" t="s">
        <v>5934</v>
      </c>
      <c r="B5928">
        <v>57947</v>
      </c>
      <c r="C5928">
        <v>7891024035559</v>
      </c>
      <c r="D5928">
        <v>17.600000000000001</v>
      </c>
      <c r="E5928">
        <v>13.68</v>
      </c>
      <c r="F5928" s="3">
        <v>0.223</v>
      </c>
      <c r="G5928">
        <v>13.6759</v>
      </c>
      <c r="H5928">
        <v>2.6</v>
      </c>
    </row>
    <row r="5929" spans="1:8" x14ac:dyDescent="0.25">
      <c r="A5929" t="s">
        <v>5935</v>
      </c>
      <c r="B5929">
        <v>61733</v>
      </c>
      <c r="C5929">
        <v>7509546678870</v>
      </c>
      <c r="D5929">
        <v>17.600000000000001</v>
      </c>
      <c r="E5929">
        <v>13.68</v>
      </c>
      <c r="F5929" s="3">
        <v>0.22270000000000001</v>
      </c>
      <c r="G5929">
        <v>13.680099999999999</v>
      </c>
      <c r="H5929">
        <v>1.5329999999999999</v>
      </c>
    </row>
    <row r="5930" spans="1:8" x14ac:dyDescent="0.25">
      <c r="A5930" t="s">
        <v>5936</v>
      </c>
      <c r="B5930">
        <v>68497</v>
      </c>
      <c r="C5930">
        <v>7509546695792</v>
      </c>
      <c r="D5930">
        <v>17.600000000000001</v>
      </c>
      <c r="E5930">
        <v>13.67</v>
      </c>
      <c r="F5930" s="3">
        <v>0.22320000000000001</v>
      </c>
      <c r="G5930">
        <v>13.6724</v>
      </c>
      <c r="H5930">
        <v>2.9329999999999998</v>
      </c>
    </row>
    <row r="5931" spans="1:8" x14ac:dyDescent="0.25">
      <c r="A5931" t="s">
        <v>5937</v>
      </c>
      <c r="B5931">
        <v>57948</v>
      </c>
      <c r="C5931">
        <v>7891024035511</v>
      </c>
      <c r="D5931">
        <v>17.600000000000001</v>
      </c>
      <c r="E5931">
        <v>13.67</v>
      </c>
      <c r="F5931" s="3">
        <v>0.22309999999999999</v>
      </c>
      <c r="G5931">
        <v>13.673999999999999</v>
      </c>
      <c r="H5931">
        <v>3.0329999999999999</v>
      </c>
    </row>
    <row r="5932" spans="1:8" x14ac:dyDescent="0.25">
      <c r="A5932" t="s">
        <v>5938</v>
      </c>
      <c r="B5932">
        <v>57953</v>
      </c>
      <c r="C5932">
        <v>7891024035535</v>
      </c>
      <c r="D5932">
        <v>17.600000000000001</v>
      </c>
      <c r="E5932">
        <v>13.76</v>
      </c>
      <c r="F5932" s="3">
        <v>0.215</v>
      </c>
      <c r="G5932">
        <v>13.815899999999999</v>
      </c>
      <c r="H5932">
        <v>3.7669999999999999</v>
      </c>
    </row>
    <row r="5933" spans="1:8" x14ac:dyDescent="0.25">
      <c r="A5933" t="s">
        <v>5939</v>
      </c>
      <c r="B5933">
        <v>57956</v>
      </c>
      <c r="C5933">
        <v>7891024035528</v>
      </c>
      <c r="D5933">
        <v>17.600000000000001</v>
      </c>
      <c r="E5933">
        <v>13.67</v>
      </c>
      <c r="F5933" s="3">
        <v>0.22309999999999999</v>
      </c>
      <c r="G5933">
        <v>13.6729</v>
      </c>
      <c r="H5933">
        <v>3.367</v>
      </c>
    </row>
    <row r="5934" spans="1:8" x14ac:dyDescent="0.25">
      <c r="A5934" t="s">
        <v>5940</v>
      </c>
      <c r="B5934">
        <v>20020</v>
      </c>
      <c r="C5934">
        <v>7891024113950</v>
      </c>
      <c r="D5934">
        <v>4.25</v>
      </c>
      <c r="E5934">
        <v>2.94</v>
      </c>
      <c r="F5934" s="3">
        <v>0.2833</v>
      </c>
      <c r="G5934">
        <v>3.0457999999999998</v>
      </c>
      <c r="H5934">
        <v>5.633</v>
      </c>
    </row>
    <row r="5935" spans="1:8" x14ac:dyDescent="0.25">
      <c r="A5935" t="s">
        <v>5941</v>
      </c>
      <c r="B5935">
        <v>36027</v>
      </c>
      <c r="C5935">
        <v>7891024035214</v>
      </c>
      <c r="D5935">
        <v>4.25</v>
      </c>
      <c r="E5935">
        <v>2.9</v>
      </c>
      <c r="F5935" s="3">
        <v>0.31969999999999998</v>
      </c>
      <c r="G5935">
        <v>2.8912</v>
      </c>
      <c r="H5935">
        <v>4.7329999999999997</v>
      </c>
    </row>
    <row r="5936" spans="1:8" x14ac:dyDescent="0.25">
      <c r="A5936" t="s">
        <v>5942</v>
      </c>
      <c r="B5936">
        <v>20022</v>
      </c>
      <c r="C5936">
        <v>7891024035313</v>
      </c>
      <c r="D5936">
        <v>4.25</v>
      </c>
      <c r="E5936">
        <v>2.98</v>
      </c>
      <c r="F5936" s="3">
        <v>0.2964</v>
      </c>
      <c r="G5936">
        <v>2.9902000000000002</v>
      </c>
      <c r="H5936">
        <v>7.0670000000000002</v>
      </c>
    </row>
    <row r="5937" spans="1:8" x14ac:dyDescent="0.25">
      <c r="A5937" t="s">
        <v>5943</v>
      </c>
      <c r="B5937">
        <v>20021</v>
      </c>
      <c r="C5937">
        <v>7891024035207</v>
      </c>
      <c r="D5937">
        <v>4.25</v>
      </c>
      <c r="E5937">
        <v>2.96</v>
      </c>
      <c r="F5937" s="3">
        <v>0.30120000000000002</v>
      </c>
      <c r="G5937">
        <v>2.9698000000000002</v>
      </c>
      <c r="H5937">
        <v>3</v>
      </c>
    </row>
    <row r="5938" spans="1:8" x14ac:dyDescent="0.25">
      <c r="A5938" t="s">
        <v>5944</v>
      </c>
      <c r="B5938">
        <v>20013</v>
      </c>
      <c r="C5938">
        <v>7891024034941</v>
      </c>
      <c r="D5938">
        <v>4.25</v>
      </c>
      <c r="E5938">
        <v>2.98</v>
      </c>
      <c r="F5938" s="3">
        <v>0.3039</v>
      </c>
      <c r="G5938">
        <v>2.9584999999999999</v>
      </c>
      <c r="H5938">
        <v>7.9329999999999998</v>
      </c>
    </row>
    <row r="5939" spans="1:8" x14ac:dyDescent="0.25">
      <c r="A5939" t="s">
        <v>5945</v>
      </c>
      <c r="B5939">
        <v>20019</v>
      </c>
      <c r="C5939">
        <v>7891024035139</v>
      </c>
      <c r="D5939">
        <v>4.25</v>
      </c>
      <c r="E5939">
        <v>2.9</v>
      </c>
      <c r="F5939" s="3">
        <v>0.30630000000000002</v>
      </c>
      <c r="G5939">
        <v>2.9481999999999999</v>
      </c>
      <c r="H5939">
        <v>4.2329999999999997</v>
      </c>
    </row>
    <row r="5940" spans="1:8" x14ac:dyDescent="0.25">
      <c r="A5940" t="s">
        <v>5946</v>
      </c>
      <c r="B5940">
        <v>62017</v>
      </c>
      <c r="C5940">
        <v>7509546673226</v>
      </c>
      <c r="D5940">
        <v>3.9</v>
      </c>
      <c r="E5940">
        <v>2.92</v>
      </c>
      <c r="F5940" s="3">
        <v>0.24719999999999998</v>
      </c>
      <c r="G5940">
        <v>2.9361000000000002</v>
      </c>
      <c r="H5940">
        <v>4.4329999999999998</v>
      </c>
    </row>
    <row r="5941" spans="1:8" x14ac:dyDescent="0.25">
      <c r="A5941" t="s">
        <v>5947</v>
      </c>
      <c r="B5941">
        <v>58448</v>
      </c>
      <c r="C5941">
        <v>7509546655017</v>
      </c>
      <c r="D5941">
        <v>3.9</v>
      </c>
      <c r="E5941">
        <v>3.03</v>
      </c>
      <c r="F5941" s="3">
        <v>0.2011</v>
      </c>
      <c r="G5941">
        <v>3.1156000000000001</v>
      </c>
      <c r="H5941">
        <v>3.7669999999999999</v>
      </c>
    </row>
    <row r="5942" spans="1:8" x14ac:dyDescent="0.25">
      <c r="A5942" t="s">
        <v>5948</v>
      </c>
      <c r="B5942">
        <v>14907</v>
      </c>
      <c r="C5942">
        <v>7891150024793</v>
      </c>
      <c r="D5942">
        <v>2.19</v>
      </c>
      <c r="E5942">
        <v>2.1800000000000002</v>
      </c>
      <c r="F5942" s="3">
        <v>1.2999999999999999E-3</v>
      </c>
      <c r="G5942">
        <v>2.1871</v>
      </c>
      <c r="H5942">
        <v>11.4</v>
      </c>
    </row>
    <row r="5943" spans="1:8" x14ac:dyDescent="0.25">
      <c r="A5943" t="s">
        <v>5949</v>
      </c>
      <c r="B5943">
        <v>62151</v>
      </c>
      <c r="C5943">
        <v>7891150083264</v>
      </c>
      <c r="D5943">
        <v>2.19</v>
      </c>
      <c r="E5943">
        <v>1.97</v>
      </c>
      <c r="F5943" s="3">
        <v>0.10289999999999999</v>
      </c>
      <c r="G5943">
        <v>1.9648000000000001</v>
      </c>
      <c r="H5943">
        <v>13.766999999999999</v>
      </c>
    </row>
    <row r="5944" spans="1:8" x14ac:dyDescent="0.25">
      <c r="A5944" t="s">
        <v>5950</v>
      </c>
      <c r="B5944">
        <v>20745</v>
      </c>
      <c r="C5944">
        <v>7891150034952</v>
      </c>
      <c r="D5944">
        <v>2.19</v>
      </c>
      <c r="E5944">
        <v>2.19</v>
      </c>
      <c r="F5944" s="3">
        <v>2.7400000000000001E-2</v>
      </c>
      <c r="G5944">
        <v>2.1301000000000001</v>
      </c>
      <c r="H5944">
        <v>10.367000000000001</v>
      </c>
    </row>
    <row r="5945" spans="1:8" x14ac:dyDescent="0.25">
      <c r="A5945" t="s">
        <v>5951</v>
      </c>
      <c r="B5945">
        <v>62160</v>
      </c>
      <c r="C5945">
        <v>7891150083271</v>
      </c>
      <c r="D5945">
        <v>2.19</v>
      </c>
      <c r="E5945">
        <v>1.99</v>
      </c>
      <c r="F5945" s="3">
        <v>8.9600000000000013E-2</v>
      </c>
      <c r="G5945">
        <v>1.9937</v>
      </c>
      <c r="H5945">
        <v>15.132999999999999</v>
      </c>
    </row>
    <row r="5946" spans="1:8" x14ac:dyDescent="0.25">
      <c r="A5946" t="s">
        <v>5952</v>
      </c>
      <c r="B5946">
        <v>62161</v>
      </c>
      <c r="C5946">
        <v>7891150083288</v>
      </c>
      <c r="D5946">
        <v>2.19</v>
      </c>
      <c r="E5946">
        <v>1.95</v>
      </c>
      <c r="F5946" s="3">
        <v>0.10929999999999999</v>
      </c>
      <c r="G5946">
        <v>1.9505999999999999</v>
      </c>
      <c r="H5946">
        <v>21.6</v>
      </c>
    </row>
    <row r="5947" spans="1:8" x14ac:dyDescent="0.25">
      <c r="A5947" t="s">
        <v>5953</v>
      </c>
      <c r="B5947">
        <v>43624</v>
      </c>
      <c r="C5947">
        <v>7891150024816</v>
      </c>
      <c r="D5947">
        <v>2.19</v>
      </c>
      <c r="E5947">
        <v>1.97</v>
      </c>
      <c r="F5947" s="3">
        <v>0.10539999999999999</v>
      </c>
      <c r="G5947">
        <v>1.9591000000000001</v>
      </c>
      <c r="H5947">
        <v>16.132999999999999</v>
      </c>
    </row>
    <row r="5948" spans="1:8" x14ac:dyDescent="0.25">
      <c r="A5948" t="s">
        <v>5954</v>
      </c>
      <c r="B5948">
        <v>67054</v>
      </c>
      <c r="C5948">
        <v>7891150068551</v>
      </c>
      <c r="D5948">
        <v>19.8</v>
      </c>
      <c r="E5948">
        <v>4.79</v>
      </c>
      <c r="F5948" s="3">
        <v>0.80400000000000005</v>
      </c>
      <c r="G5948">
        <v>3.8805000000000001</v>
      </c>
      <c r="H5948">
        <v>0.1</v>
      </c>
    </row>
    <row r="5949" spans="1:8" x14ac:dyDescent="0.25">
      <c r="A5949" t="s">
        <v>5955</v>
      </c>
      <c r="B5949">
        <v>62163</v>
      </c>
      <c r="C5949">
        <v>7891150083240</v>
      </c>
      <c r="D5949">
        <v>21</v>
      </c>
      <c r="E5949">
        <v>13.92</v>
      </c>
      <c r="F5949" s="3">
        <v>0.32770000000000005</v>
      </c>
      <c r="G5949">
        <v>14.118600000000001</v>
      </c>
      <c r="H5949">
        <v>0.1</v>
      </c>
    </row>
    <row r="5950" spans="1:8" x14ac:dyDescent="0.25">
      <c r="A5950" t="s">
        <v>5956</v>
      </c>
      <c r="B5950">
        <v>55509</v>
      </c>
      <c r="C5950">
        <v>7891150066908</v>
      </c>
      <c r="D5950">
        <v>2.19</v>
      </c>
      <c r="E5950">
        <v>2.0099999999999998</v>
      </c>
      <c r="F5950" s="3">
        <v>8.4399999999999989E-2</v>
      </c>
      <c r="G5950">
        <v>2.0051000000000001</v>
      </c>
      <c r="H5950">
        <v>12.8</v>
      </c>
    </row>
    <row r="5951" spans="1:8" x14ac:dyDescent="0.25">
      <c r="A5951" t="s">
        <v>5957</v>
      </c>
      <c r="B5951">
        <v>60644</v>
      </c>
      <c r="C5951">
        <v>7891150068902</v>
      </c>
      <c r="D5951">
        <v>2.19</v>
      </c>
      <c r="E5951">
        <v>2.66</v>
      </c>
      <c r="F5951" s="3">
        <v>-0.215</v>
      </c>
      <c r="G5951">
        <v>2.6608000000000001</v>
      </c>
      <c r="H5951">
        <v>0</v>
      </c>
    </row>
    <row r="5952" spans="1:8" x14ac:dyDescent="0.25">
      <c r="A5952" t="s">
        <v>5958</v>
      </c>
      <c r="B5952">
        <v>64546</v>
      </c>
      <c r="C5952">
        <v>7896098907887</v>
      </c>
      <c r="D5952">
        <v>4.9000000000000004</v>
      </c>
      <c r="E5952">
        <v>2.04</v>
      </c>
      <c r="F5952" s="3">
        <v>0.58420000000000005</v>
      </c>
      <c r="G5952">
        <v>2.0371999999999999</v>
      </c>
      <c r="H5952">
        <v>0.5</v>
      </c>
    </row>
    <row r="5953" spans="1:8" x14ac:dyDescent="0.25">
      <c r="A5953" t="s">
        <v>5959</v>
      </c>
      <c r="B5953">
        <v>58903</v>
      </c>
      <c r="C5953">
        <v>7908324402841</v>
      </c>
      <c r="D5953">
        <v>4.95</v>
      </c>
      <c r="E5953">
        <v>2.67</v>
      </c>
      <c r="F5953" s="3">
        <v>0.33689999999999998</v>
      </c>
      <c r="G5953">
        <v>1.9333</v>
      </c>
      <c r="H5953">
        <v>7.867</v>
      </c>
    </row>
    <row r="5954" spans="1:8" x14ac:dyDescent="0.25">
      <c r="A5954" t="s">
        <v>5960</v>
      </c>
      <c r="B5954">
        <v>58905</v>
      </c>
      <c r="C5954">
        <v>7908324402919</v>
      </c>
      <c r="D5954">
        <v>4.95</v>
      </c>
      <c r="E5954">
        <v>2.73</v>
      </c>
      <c r="F5954" s="3">
        <v>0.33039999999999997</v>
      </c>
      <c r="G5954">
        <v>1.9657</v>
      </c>
      <c r="H5954">
        <v>6.9</v>
      </c>
    </row>
    <row r="5955" spans="1:8" x14ac:dyDescent="0.25">
      <c r="A5955" t="s">
        <v>5961</v>
      </c>
      <c r="B5955">
        <v>58904</v>
      </c>
      <c r="C5955">
        <v>7908324402926</v>
      </c>
      <c r="D5955">
        <v>4.95</v>
      </c>
      <c r="E5955">
        <v>2.71</v>
      </c>
      <c r="F5955" s="3">
        <v>0.33240000000000003</v>
      </c>
      <c r="G5955">
        <v>1.9556</v>
      </c>
      <c r="H5955">
        <v>1.2</v>
      </c>
    </row>
    <row r="5956" spans="1:8" x14ac:dyDescent="0.25">
      <c r="A5956" t="s">
        <v>5962</v>
      </c>
      <c r="B5956">
        <v>58897</v>
      </c>
      <c r="C5956">
        <v>7897664120013</v>
      </c>
      <c r="D5956">
        <v>24.9</v>
      </c>
      <c r="E5956">
        <v>17.489999999999998</v>
      </c>
      <c r="F5956" s="3">
        <v>0.21870000000000001</v>
      </c>
      <c r="G5956">
        <v>12.6699</v>
      </c>
      <c r="H5956">
        <v>1.3</v>
      </c>
    </row>
    <row r="5957" spans="1:8" x14ac:dyDescent="0.25">
      <c r="A5957" t="s">
        <v>5963</v>
      </c>
      <c r="B5957">
        <v>58900</v>
      </c>
      <c r="C5957">
        <v>7908324402889</v>
      </c>
      <c r="D5957">
        <v>18.899999999999999</v>
      </c>
      <c r="E5957">
        <v>10.5</v>
      </c>
      <c r="F5957" s="3">
        <v>0.32119999999999999</v>
      </c>
      <c r="G5957">
        <v>7.6798999999999999</v>
      </c>
      <c r="H5957">
        <v>0.53300000000000003</v>
      </c>
    </row>
    <row r="5958" spans="1:8" x14ac:dyDescent="0.25">
      <c r="A5958" t="s">
        <v>5964</v>
      </c>
      <c r="B5958">
        <v>58901</v>
      </c>
      <c r="C5958">
        <v>7908324402872</v>
      </c>
      <c r="D5958">
        <v>18.899999999999999</v>
      </c>
      <c r="E5958">
        <v>10.88</v>
      </c>
      <c r="F5958" s="3">
        <v>0.31780000000000003</v>
      </c>
      <c r="G5958">
        <v>7.7439999999999998</v>
      </c>
      <c r="H5958">
        <v>0.13300000000000001</v>
      </c>
    </row>
    <row r="5959" spans="1:8" x14ac:dyDescent="0.25">
      <c r="A5959" t="s">
        <v>5965</v>
      </c>
      <c r="B5959">
        <v>58902</v>
      </c>
      <c r="C5959">
        <v>7908324402865</v>
      </c>
      <c r="D5959">
        <v>16.899999999999999</v>
      </c>
      <c r="E5959">
        <v>8.82</v>
      </c>
      <c r="F5959" s="3">
        <v>0.3488</v>
      </c>
      <c r="G5959">
        <v>6.4004000000000003</v>
      </c>
      <c r="H5959">
        <v>3.5670000000000002</v>
      </c>
    </row>
    <row r="5960" spans="1:8" x14ac:dyDescent="0.25">
      <c r="A5960" t="s">
        <v>5966</v>
      </c>
      <c r="B5960">
        <v>58899</v>
      </c>
      <c r="C5960">
        <v>7908324402896</v>
      </c>
      <c r="D5960">
        <v>18.899999999999999</v>
      </c>
      <c r="E5960">
        <v>11.03</v>
      </c>
      <c r="F5960" s="3">
        <v>0.30380000000000001</v>
      </c>
      <c r="G5960">
        <v>8.0078999999999994</v>
      </c>
      <c r="H5960">
        <v>1.2330000000000001</v>
      </c>
    </row>
    <row r="5961" spans="1:8" x14ac:dyDescent="0.25">
      <c r="A5961" t="s">
        <v>5967</v>
      </c>
      <c r="B5961">
        <v>44822</v>
      </c>
      <c r="C5961">
        <v>7896060401320</v>
      </c>
      <c r="D5961">
        <v>6.9</v>
      </c>
      <c r="E5961">
        <v>4</v>
      </c>
      <c r="F5961" s="3">
        <v>0.30359999999999998</v>
      </c>
      <c r="G5961">
        <v>2.9251999999999998</v>
      </c>
      <c r="H5961">
        <v>2.5</v>
      </c>
    </row>
    <row r="5962" spans="1:8" x14ac:dyDescent="0.25">
      <c r="A5962" t="s">
        <v>5968</v>
      </c>
      <c r="B5962">
        <v>44823</v>
      </c>
      <c r="C5962">
        <v>7896060400095</v>
      </c>
      <c r="D5962">
        <v>16.899999999999999</v>
      </c>
      <c r="E5962">
        <v>10.34</v>
      </c>
      <c r="F5962" s="3">
        <v>0.28260000000000002</v>
      </c>
      <c r="G5962">
        <v>7.5190999999999999</v>
      </c>
      <c r="H5962">
        <v>2.1</v>
      </c>
    </row>
    <row r="5963" spans="1:8" x14ac:dyDescent="0.25">
      <c r="A5963" t="s">
        <v>5969</v>
      </c>
      <c r="B5963">
        <v>5131</v>
      </c>
      <c r="C5963">
        <v>7896060400101</v>
      </c>
      <c r="D5963">
        <v>28.9</v>
      </c>
      <c r="E5963">
        <v>16.91</v>
      </c>
      <c r="F5963" s="3">
        <v>0.31519999999999998</v>
      </c>
      <c r="G5963">
        <v>11.9153</v>
      </c>
      <c r="H5963">
        <v>0.93300000000000005</v>
      </c>
    </row>
    <row r="5964" spans="1:8" x14ac:dyDescent="0.25">
      <c r="A5964" t="s">
        <v>5970</v>
      </c>
      <c r="B5964">
        <v>5113</v>
      </c>
      <c r="C5964">
        <v>7896056407114</v>
      </c>
      <c r="D5964">
        <v>21.9</v>
      </c>
      <c r="E5964">
        <v>11.06</v>
      </c>
      <c r="F5964" s="3">
        <v>0.36</v>
      </c>
      <c r="G5964">
        <v>8.0478000000000005</v>
      </c>
      <c r="H5964">
        <v>0.16700000000000001</v>
      </c>
    </row>
    <row r="5965" spans="1:8" x14ac:dyDescent="0.25">
      <c r="A5965" t="s">
        <v>5971</v>
      </c>
      <c r="B5965">
        <v>5108</v>
      </c>
      <c r="C5965">
        <v>7896056407121</v>
      </c>
      <c r="D5965">
        <v>5.9</v>
      </c>
      <c r="E5965">
        <v>2.2200000000000002</v>
      </c>
      <c r="F5965" s="3">
        <v>0.45280000000000004</v>
      </c>
      <c r="G5965">
        <v>1.6208</v>
      </c>
      <c r="H5965">
        <v>2.9</v>
      </c>
    </row>
    <row r="5966" spans="1:8" x14ac:dyDescent="0.25">
      <c r="A5966" t="s">
        <v>5972</v>
      </c>
      <c r="B5966">
        <v>19830</v>
      </c>
      <c r="C5966">
        <v>7896098906156</v>
      </c>
      <c r="D5966">
        <v>4.99</v>
      </c>
      <c r="E5966">
        <v>1.94</v>
      </c>
      <c r="F5966" s="3">
        <v>0.44469999999999998</v>
      </c>
      <c r="G5966">
        <v>1.4113</v>
      </c>
      <c r="H5966">
        <v>6.1669999999999998</v>
      </c>
    </row>
    <row r="5967" spans="1:8" x14ac:dyDescent="0.25">
      <c r="A5967" t="s">
        <v>5973</v>
      </c>
      <c r="B5967">
        <v>5126</v>
      </c>
      <c r="C5967">
        <v>7896098905999</v>
      </c>
      <c r="D5967">
        <v>5.9</v>
      </c>
      <c r="E5967">
        <v>2.25</v>
      </c>
      <c r="F5967" s="3">
        <v>0.4506</v>
      </c>
      <c r="G5967">
        <v>1.6335</v>
      </c>
      <c r="H5967">
        <v>8.1669999999999998</v>
      </c>
    </row>
    <row r="5968" spans="1:8" x14ac:dyDescent="0.25">
      <c r="A5968" t="s">
        <v>5974</v>
      </c>
      <c r="B5968">
        <v>5128</v>
      </c>
      <c r="C5968">
        <v>7896098906132</v>
      </c>
      <c r="D5968">
        <v>4.99</v>
      </c>
      <c r="E5968">
        <v>1.95</v>
      </c>
      <c r="F5968" s="3">
        <v>0.44420000000000004</v>
      </c>
      <c r="G5968">
        <v>1.4136</v>
      </c>
      <c r="H5968">
        <v>2.633</v>
      </c>
    </row>
    <row r="5969" spans="1:8" x14ac:dyDescent="0.25">
      <c r="A5969" t="s">
        <v>5975</v>
      </c>
      <c r="B5969">
        <v>58924</v>
      </c>
      <c r="C5969">
        <v>7896098906194</v>
      </c>
      <c r="D5969">
        <v>5.9</v>
      </c>
      <c r="E5969">
        <v>3.8</v>
      </c>
      <c r="F5969" s="3">
        <v>0.25869999999999999</v>
      </c>
      <c r="G5969">
        <v>2.7660999999999998</v>
      </c>
      <c r="H5969">
        <v>0.9</v>
      </c>
    </row>
    <row r="5970" spans="1:8" x14ac:dyDescent="0.25">
      <c r="A5970" t="s">
        <v>5976</v>
      </c>
      <c r="B5970">
        <v>5130</v>
      </c>
      <c r="C5970">
        <v>7896098906118</v>
      </c>
      <c r="D5970">
        <v>4.99</v>
      </c>
      <c r="E5970">
        <v>1.92</v>
      </c>
      <c r="F5970" s="3">
        <v>0.44630000000000003</v>
      </c>
      <c r="G5970">
        <v>1.4031</v>
      </c>
      <c r="H5970">
        <v>4.3330000000000002</v>
      </c>
    </row>
    <row r="5971" spans="1:8" x14ac:dyDescent="0.25">
      <c r="A5971" t="s">
        <v>5977</v>
      </c>
      <c r="B5971">
        <v>5129</v>
      </c>
      <c r="C5971">
        <v>7896098906125</v>
      </c>
      <c r="D5971">
        <v>4.99</v>
      </c>
      <c r="E5971">
        <v>1.94</v>
      </c>
      <c r="F5971" s="3">
        <v>0.4446</v>
      </c>
      <c r="G5971">
        <v>1.4116</v>
      </c>
      <c r="H5971">
        <v>4.5999999999999996</v>
      </c>
    </row>
    <row r="5972" spans="1:8" x14ac:dyDescent="0.25">
      <c r="A5972" t="s">
        <v>5978</v>
      </c>
      <c r="B5972">
        <v>5115</v>
      </c>
      <c r="C5972">
        <v>7896098905968</v>
      </c>
      <c r="D5972">
        <v>19.899999999999999</v>
      </c>
      <c r="E5972">
        <v>9.2899999999999991</v>
      </c>
      <c r="F5972" s="3">
        <v>0.3881</v>
      </c>
      <c r="G5972">
        <v>6.7549999999999999</v>
      </c>
      <c r="H5972">
        <v>0.3</v>
      </c>
    </row>
    <row r="5973" spans="1:8" x14ac:dyDescent="0.25">
      <c r="A5973" t="s">
        <v>5979</v>
      </c>
      <c r="B5973">
        <v>5120</v>
      </c>
      <c r="C5973">
        <v>7896098905982</v>
      </c>
      <c r="D5973">
        <v>23.9</v>
      </c>
      <c r="E5973">
        <v>9.56</v>
      </c>
      <c r="F5973" s="3">
        <v>0.43630000000000002</v>
      </c>
      <c r="G5973">
        <v>6.9603999999999999</v>
      </c>
      <c r="H5973">
        <v>1.3</v>
      </c>
    </row>
    <row r="5974" spans="1:8" x14ac:dyDescent="0.25">
      <c r="A5974" t="s">
        <v>5980</v>
      </c>
      <c r="B5974">
        <v>5123</v>
      </c>
      <c r="C5974">
        <v>7896098905975</v>
      </c>
      <c r="D5974">
        <v>19.899999999999999</v>
      </c>
      <c r="E5974">
        <v>13.05</v>
      </c>
      <c r="F5974" s="3">
        <v>0.25059999999999999</v>
      </c>
      <c r="G5974">
        <v>9.4902999999999995</v>
      </c>
      <c r="H5974">
        <v>0.26700000000000002</v>
      </c>
    </row>
    <row r="5975" spans="1:8" x14ac:dyDescent="0.25">
      <c r="A5975" t="s">
        <v>5981</v>
      </c>
      <c r="B5975">
        <v>5125</v>
      </c>
      <c r="C5975">
        <v>7896098905951</v>
      </c>
      <c r="D5975">
        <v>19.899999999999999</v>
      </c>
      <c r="E5975">
        <v>8.64</v>
      </c>
      <c r="F5975" s="3">
        <v>0.4168</v>
      </c>
      <c r="G5975">
        <v>6.1837</v>
      </c>
      <c r="H5975">
        <v>0.66700000000000004</v>
      </c>
    </row>
    <row r="5976" spans="1:8" x14ac:dyDescent="0.25">
      <c r="A5976" t="s">
        <v>5982</v>
      </c>
      <c r="B5976">
        <v>61779</v>
      </c>
      <c r="C5976">
        <v>7896098905937</v>
      </c>
      <c r="D5976">
        <v>19.899999999999999</v>
      </c>
      <c r="E5976">
        <v>11.02</v>
      </c>
      <c r="F5976" s="3">
        <v>0.3155</v>
      </c>
      <c r="G5976">
        <v>8.1991999999999994</v>
      </c>
      <c r="H5976">
        <v>0.2</v>
      </c>
    </row>
    <row r="5977" spans="1:8" x14ac:dyDescent="0.25">
      <c r="A5977" t="s">
        <v>5983</v>
      </c>
      <c r="B5977">
        <v>9149</v>
      </c>
      <c r="C5977">
        <v>7896098905906</v>
      </c>
      <c r="D5977">
        <v>19.899999999999999</v>
      </c>
      <c r="E5977">
        <v>8.1999999999999993</v>
      </c>
      <c r="F5977" s="3">
        <v>0.42670000000000002</v>
      </c>
      <c r="G5977">
        <v>5.9863999999999997</v>
      </c>
      <c r="H5977">
        <v>4.8</v>
      </c>
    </row>
    <row r="5978" spans="1:8" x14ac:dyDescent="0.25">
      <c r="A5978" t="s">
        <v>5984</v>
      </c>
      <c r="B5978">
        <v>5133</v>
      </c>
      <c r="C5978">
        <v>7896055501103</v>
      </c>
      <c r="D5978">
        <v>9.9</v>
      </c>
      <c r="E5978">
        <v>5.96</v>
      </c>
      <c r="F5978" s="3">
        <v>0.29170000000000001</v>
      </c>
      <c r="G5978">
        <v>4.3144</v>
      </c>
      <c r="H5978">
        <v>8.9</v>
      </c>
    </row>
    <row r="5979" spans="1:8" x14ac:dyDescent="0.25">
      <c r="A5979" t="s">
        <v>5985</v>
      </c>
      <c r="B5979">
        <v>44779</v>
      </c>
      <c r="C5979">
        <v>7896060401467</v>
      </c>
      <c r="D5979">
        <v>14.9</v>
      </c>
      <c r="E5979">
        <v>8.3699999999999992</v>
      </c>
      <c r="F5979" s="3">
        <v>0.317</v>
      </c>
      <c r="G5979">
        <v>6.1166999999999998</v>
      </c>
      <c r="H5979">
        <v>1.5</v>
      </c>
    </row>
    <row r="5980" spans="1:8" x14ac:dyDescent="0.25">
      <c r="A5980" t="s">
        <v>5986</v>
      </c>
      <c r="B5980">
        <v>44765</v>
      </c>
      <c r="C5980">
        <v>7896056402027</v>
      </c>
      <c r="D5980">
        <v>4.9000000000000004</v>
      </c>
      <c r="E5980">
        <v>2.39</v>
      </c>
      <c r="F5980" s="3">
        <v>0.37229999999999996</v>
      </c>
      <c r="G5980">
        <v>1.7405999999999999</v>
      </c>
      <c r="H5980">
        <v>4.633</v>
      </c>
    </row>
    <row r="5981" spans="1:8" x14ac:dyDescent="0.25">
      <c r="A5981" t="s">
        <v>5987</v>
      </c>
      <c r="B5981">
        <v>44775</v>
      </c>
      <c r="C5981">
        <v>7896056400047</v>
      </c>
      <c r="D5981">
        <v>9.9</v>
      </c>
      <c r="E5981">
        <v>4.4000000000000004</v>
      </c>
      <c r="F5981" s="3">
        <v>0.40399999999999997</v>
      </c>
      <c r="G5981">
        <v>3.2023000000000001</v>
      </c>
      <c r="H5981">
        <v>5.8330000000000002</v>
      </c>
    </row>
    <row r="5982" spans="1:8" x14ac:dyDescent="0.25">
      <c r="A5982" t="s">
        <v>5988</v>
      </c>
      <c r="B5982">
        <v>44801</v>
      </c>
      <c r="C5982">
        <v>7896056405622</v>
      </c>
      <c r="D5982">
        <v>9.9</v>
      </c>
      <c r="E5982">
        <v>4.9400000000000004</v>
      </c>
      <c r="F5982" s="3">
        <v>0.35359999999999997</v>
      </c>
      <c r="G5982">
        <v>3.7014</v>
      </c>
      <c r="H5982">
        <v>1.6</v>
      </c>
    </row>
    <row r="5983" spans="1:8" x14ac:dyDescent="0.25">
      <c r="A5983" t="s">
        <v>5989</v>
      </c>
      <c r="B5983">
        <v>63132</v>
      </c>
      <c r="C5983">
        <v>7896183303884</v>
      </c>
      <c r="D5983">
        <v>17.899999999999999</v>
      </c>
      <c r="E5983">
        <v>11.82</v>
      </c>
      <c r="F5983" s="3">
        <v>0.27399999999999997</v>
      </c>
      <c r="G5983">
        <v>9.7730999999999995</v>
      </c>
      <c r="H5983">
        <v>0.53300000000000003</v>
      </c>
    </row>
    <row r="5984" spans="1:8" x14ac:dyDescent="0.25">
      <c r="A5984" t="s">
        <v>5990</v>
      </c>
      <c r="B5984">
        <v>68668</v>
      </c>
      <c r="C5984">
        <v>7896183310752</v>
      </c>
      <c r="D5984">
        <v>17.899999999999999</v>
      </c>
      <c r="E5984">
        <v>12.68</v>
      </c>
      <c r="F5984" s="3">
        <v>0.23960000000000001</v>
      </c>
      <c r="G5984">
        <v>10.388500000000001</v>
      </c>
      <c r="H5984">
        <v>0.56699999999999995</v>
      </c>
    </row>
    <row r="5985" spans="1:8" x14ac:dyDescent="0.25">
      <c r="A5985" t="s">
        <v>5991</v>
      </c>
      <c r="B5985">
        <v>63131</v>
      </c>
      <c r="C5985">
        <v>7896183313791</v>
      </c>
      <c r="D5985">
        <v>17.899999999999999</v>
      </c>
      <c r="E5985">
        <v>12.12</v>
      </c>
      <c r="F5985" s="3">
        <v>0.26300000000000001</v>
      </c>
      <c r="G5985">
        <v>9.9695999999999998</v>
      </c>
      <c r="H5985">
        <v>0.16700000000000001</v>
      </c>
    </row>
    <row r="5986" spans="1:8" x14ac:dyDescent="0.25">
      <c r="A5986" t="s">
        <v>5992</v>
      </c>
      <c r="B5986">
        <v>68667</v>
      </c>
      <c r="C5986">
        <v>7896183303846</v>
      </c>
      <c r="D5986">
        <v>17.899999999999999</v>
      </c>
      <c r="E5986">
        <v>12.84</v>
      </c>
      <c r="F5986" s="3">
        <v>0.2316</v>
      </c>
      <c r="G5986">
        <v>10.5329</v>
      </c>
      <c r="H5986">
        <v>1</v>
      </c>
    </row>
    <row r="5987" spans="1:8" x14ac:dyDescent="0.25">
      <c r="A5987" t="s">
        <v>5993</v>
      </c>
      <c r="B5987">
        <v>63130</v>
      </c>
      <c r="C5987">
        <v>7896183310691</v>
      </c>
      <c r="D5987">
        <v>17.899999999999999</v>
      </c>
      <c r="E5987">
        <v>12.66</v>
      </c>
      <c r="F5987" s="3">
        <v>0.2359</v>
      </c>
      <c r="G5987">
        <v>10.455</v>
      </c>
      <c r="H5987">
        <v>0.93300000000000005</v>
      </c>
    </row>
    <row r="5988" spans="1:8" x14ac:dyDescent="0.25">
      <c r="A5988" t="s">
        <v>5994</v>
      </c>
      <c r="B5988">
        <v>32421</v>
      </c>
      <c r="C5988">
        <v>32421</v>
      </c>
      <c r="D5988">
        <v>8.9</v>
      </c>
      <c r="E5988">
        <v>7.05</v>
      </c>
      <c r="F5988" s="3">
        <v>0.1487</v>
      </c>
      <c r="G5988">
        <v>5.1512000000000002</v>
      </c>
      <c r="H5988">
        <v>5.633</v>
      </c>
    </row>
    <row r="5989" spans="1:8" x14ac:dyDescent="0.25">
      <c r="A5989" t="s">
        <v>5995</v>
      </c>
      <c r="B5989">
        <v>60466</v>
      </c>
      <c r="C5989">
        <v>7898226513540</v>
      </c>
      <c r="D5989">
        <v>7.9</v>
      </c>
      <c r="E5989">
        <v>3.37</v>
      </c>
      <c r="F5989" s="3">
        <v>0.41749999999999998</v>
      </c>
      <c r="G5989">
        <v>2.4493</v>
      </c>
      <c r="H5989">
        <v>4.5999999999999996</v>
      </c>
    </row>
    <row r="5990" spans="1:8" x14ac:dyDescent="0.25">
      <c r="A5990" t="s">
        <v>5996</v>
      </c>
      <c r="B5990">
        <v>60465</v>
      </c>
      <c r="C5990">
        <v>7898226513533</v>
      </c>
      <c r="D5990">
        <v>6.9</v>
      </c>
      <c r="E5990">
        <v>2.66</v>
      </c>
      <c r="F5990" s="3">
        <v>0.44700000000000001</v>
      </c>
      <c r="G5990">
        <v>1.9358</v>
      </c>
      <c r="H5990">
        <v>3.7</v>
      </c>
    </row>
    <row r="5991" spans="1:8" x14ac:dyDescent="0.25">
      <c r="A5991" t="s">
        <v>5997</v>
      </c>
      <c r="B5991">
        <v>5141</v>
      </c>
      <c r="C5991">
        <v>7896480500122</v>
      </c>
      <c r="D5991">
        <v>9.9</v>
      </c>
      <c r="E5991">
        <v>4.68</v>
      </c>
      <c r="F5991" s="3">
        <v>0.47899999999999998</v>
      </c>
      <c r="G5991">
        <v>4.2426000000000004</v>
      </c>
      <c r="H5991">
        <v>2.6</v>
      </c>
    </row>
    <row r="5992" spans="1:8" x14ac:dyDescent="0.25">
      <c r="A5992" t="s">
        <v>5998</v>
      </c>
      <c r="B5992">
        <v>60459</v>
      </c>
      <c r="C5992">
        <v>7898226513939</v>
      </c>
      <c r="D5992">
        <v>12.9</v>
      </c>
      <c r="E5992">
        <v>5.77</v>
      </c>
      <c r="F5992" s="3">
        <v>0.50130000000000008</v>
      </c>
      <c r="G5992">
        <v>5.2401999999999997</v>
      </c>
      <c r="H5992">
        <v>2.2330000000000001</v>
      </c>
    </row>
    <row r="5993" spans="1:8" x14ac:dyDescent="0.25">
      <c r="A5993" t="s">
        <v>5999</v>
      </c>
      <c r="B5993">
        <v>60460</v>
      </c>
      <c r="C5993">
        <v>7898226511768</v>
      </c>
      <c r="D5993">
        <v>39.9</v>
      </c>
      <c r="E5993">
        <v>21.36</v>
      </c>
      <c r="F5993" s="3">
        <v>0.33779999999999999</v>
      </c>
      <c r="G5993">
        <v>15.5501</v>
      </c>
      <c r="H5993">
        <v>2.6669999999999998</v>
      </c>
    </row>
    <row r="5994" spans="1:8" x14ac:dyDescent="0.25">
      <c r="A5994" t="s">
        <v>6000</v>
      </c>
      <c r="B5994">
        <v>60453</v>
      </c>
      <c r="C5994">
        <v>7898226513908</v>
      </c>
      <c r="D5994">
        <v>10.9</v>
      </c>
      <c r="E5994">
        <v>5.13</v>
      </c>
      <c r="F5994" s="3">
        <v>0.48020000000000002</v>
      </c>
      <c r="G5994">
        <v>4.6581000000000001</v>
      </c>
      <c r="H5994">
        <v>1.8</v>
      </c>
    </row>
    <row r="5995" spans="1:8" x14ac:dyDescent="0.25">
      <c r="A5995" t="s">
        <v>6001</v>
      </c>
      <c r="B5995">
        <v>60448</v>
      </c>
      <c r="C5995">
        <v>7898226515162</v>
      </c>
      <c r="D5995">
        <v>14.9</v>
      </c>
      <c r="E5995">
        <v>6.79</v>
      </c>
      <c r="F5995" s="3">
        <v>0.49399999999999999</v>
      </c>
      <c r="G5995">
        <v>6.1604999999999999</v>
      </c>
      <c r="H5995">
        <v>2.2999999999999998</v>
      </c>
    </row>
    <row r="5996" spans="1:8" x14ac:dyDescent="0.25">
      <c r="A5996" t="s">
        <v>6002</v>
      </c>
      <c r="B5996">
        <v>60445</v>
      </c>
      <c r="C5996">
        <v>7898226515216</v>
      </c>
      <c r="D5996">
        <v>45.9</v>
      </c>
      <c r="E5996">
        <v>22.86</v>
      </c>
      <c r="F5996" s="3">
        <v>0.45549999999999996</v>
      </c>
      <c r="G5996">
        <v>20.746099999999998</v>
      </c>
      <c r="H5996">
        <v>0.6</v>
      </c>
    </row>
    <row r="5997" spans="1:8" x14ac:dyDescent="0.25">
      <c r="A5997" t="s">
        <v>6003</v>
      </c>
      <c r="B5997">
        <v>60454</v>
      </c>
      <c r="C5997">
        <v>7898226513915</v>
      </c>
      <c r="D5997">
        <v>10.9</v>
      </c>
      <c r="E5997">
        <v>5.13</v>
      </c>
      <c r="F5997" s="3">
        <v>0.48020000000000002</v>
      </c>
      <c r="G5997">
        <v>4.6580000000000004</v>
      </c>
      <c r="H5997">
        <v>3.2669999999999999</v>
      </c>
    </row>
    <row r="5998" spans="1:8" x14ac:dyDescent="0.25">
      <c r="A5998" t="s">
        <v>6004</v>
      </c>
      <c r="B5998">
        <v>60443</v>
      </c>
      <c r="C5998">
        <v>7898226514615</v>
      </c>
      <c r="D5998">
        <v>30.9</v>
      </c>
      <c r="E5998">
        <v>14.99</v>
      </c>
      <c r="F5998" s="3">
        <v>0.46729999999999999</v>
      </c>
      <c r="G5998">
        <v>13.6014</v>
      </c>
      <c r="H5998">
        <v>1.8</v>
      </c>
    </row>
    <row r="5999" spans="1:8" x14ac:dyDescent="0.25">
      <c r="A5999" t="s">
        <v>6005</v>
      </c>
      <c r="B5999">
        <v>60457</v>
      </c>
      <c r="C5999">
        <v>7898226513922</v>
      </c>
      <c r="D5999">
        <v>12.9</v>
      </c>
      <c r="E5999">
        <v>5.77</v>
      </c>
      <c r="F5999" s="3">
        <v>0.50130000000000008</v>
      </c>
      <c r="G5999">
        <v>5.2403000000000004</v>
      </c>
      <c r="H5999">
        <v>3.8</v>
      </c>
    </row>
    <row r="6000" spans="1:8" x14ac:dyDescent="0.25">
      <c r="A6000" t="s">
        <v>6006</v>
      </c>
      <c r="B6000">
        <v>60450</v>
      </c>
      <c r="C6000">
        <v>7898226515179</v>
      </c>
      <c r="D6000">
        <v>14.9</v>
      </c>
      <c r="E6000">
        <v>7.75</v>
      </c>
      <c r="F6000" s="3">
        <v>0.43540000000000001</v>
      </c>
      <c r="G6000">
        <v>7.0339999999999998</v>
      </c>
      <c r="H6000">
        <v>1.0329999999999999</v>
      </c>
    </row>
    <row r="6001" spans="1:8" x14ac:dyDescent="0.25">
      <c r="A6001" t="s">
        <v>6007</v>
      </c>
      <c r="B6001">
        <v>60451</v>
      </c>
      <c r="C6001">
        <v>7898226515186</v>
      </c>
      <c r="D6001">
        <v>14.9</v>
      </c>
      <c r="E6001">
        <v>7.74</v>
      </c>
      <c r="F6001" s="3">
        <v>0.43490000000000001</v>
      </c>
      <c r="G6001">
        <v>7.0416999999999996</v>
      </c>
      <c r="H6001">
        <v>2.9670000000000001</v>
      </c>
    </row>
    <row r="6002" spans="1:8" x14ac:dyDescent="0.25">
      <c r="A6002" t="s">
        <v>6008</v>
      </c>
      <c r="B6002">
        <v>60461</v>
      </c>
      <c r="C6002">
        <v>7898226511980</v>
      </c>
      <c r="D6002">
        <v>5.9</v>
      </c>
      <c r="E6002">
        <v>1.77</v>
      </c>
      <c r="F6002" s="3">
        <v>0.6351</v>
      </c>
      <c r="G6002">
        <v>1.607</v>
      </c>
      <c r="H6002">
        <v>3.2</v>
      </c>
    </row>
    <row r="6003" spans="1:8" x14ac:dyDescent="0.25">
      <c r="A6003" t="s">
        <v>6009</v>
      </c>
      <c r="B6003">
        <v>60447</v>
      </c>
      <c r="C6003">
        <v>7898226514141</v>
      </c>
      <c r="D6003">
        <v>21.9</v>
      </c>
      <c r="E6003">
        <v>12.43</v>
      </c>
      <c r="F6003" s="3">
        <v>0.39219999999999999</v>
      </c>
      <c r="G6003">
        <v>11.284000000000001</v>
      </c>
      <c r="H6003">
        <v>4.633</v>
      </c>
    </row>
    <row r="6004" spans="1:8" x14ac:dyDescent="0.25">
      <c r="A6004" t="s">
        <v>6010</v>
      </c>
      <c r="B6004">
        <v>60444</v>
      </c>
      <c r="C6004">
        <v>7898226514592</v>
      </c>
      <c r="D6004">
        <v>21.9</v>
      </c>
      <c r="E6004">
        <v>12.43</v>
      </c>
      <c r="F6004" s="3">
        <v>0.39219999999999999</v>
      </c>
      <c r="G6004">
        <v>11.284000000000001</v>
      </c>
      <c r="H6004">
        <v>3.3</v>
      </c>
    </row>
    <row r="6005" spans="1:8" x14ac:dyDescent="0.25">
      <c r="A6005" t="s">
        <v>6011</v>
      </c>
      <c r="B6005">
        <v>60452</v>
      </c>
      <c r="C6005">
        <v>7898226515193</v>
      </c>
      <c r="D6005">
        <v>14.9</v>
      </c>
      <c r="E6005">
        <v>8.19</v>
      </c>
      <c r="F6005" s="3">
        <v>0.40889999999999999</v>
      </c>
      <c r="G6005">
        <v>7.4295</v>
      </c>
      <c r="H6005">
        <v>1.367</v>
      </c>
    </row>
    <row r="6006" spans="1:8" x14ac:dyDescent="0.25">
      <c r="A6006" t="s">
        <v>6012</v>
      </c>
      <c r="B6006">
        <v>60464</v>
      </c>
      <c r="C6006">
        <v>7898226514417</v>
      </c>
      <c r="D6006">
        <v>11.9</v>
      </c>
      <c r="E6006">
        <v>7.52</v>
      </c>
      <c r="F6006" s="3">
        <v>0.33409999999999995</v>
      </c>
      <c r="G6006">
        <v>6.8239999999999998</v>
      </c>
      <c r="H6006">
        <v>1.2</v>
      </c>
    </row>
    <row r="6007" spans="1:8" x14ac:dyDescent="0.25">
      <c r="A6007" t="s">
        <v>6013</v>
      </c>
      <c r="B6007">
        <v>60462</v>
      </c>
      <c r="C6007">
        <v>7898226515551</v>
      </c>
      <c r="D6007">
        <v>5.9</v>
      </c>
      <c r="E6007">
        <v>1.71</v>
      </c>
      <c r="F6007" s="3">
        <v>0.64500000000000002</v>
      </c>
      <c r="G6007">
        <v>1.5487</v>
      </c>
      <c r="H6007">
        <v>0.56699999999999995</v>
      </c>
    </row>
    <row r="6008" spans="1:8" x14ac:dyDescent="0.25">
      <c r="A6008" t="s">
        <v>6014</v>
      </c>
      <c r="B6008">
        <v>3792</v>
      </c>
      <c r="C6008">
        <v>7896480501006</v>
      </c>
      <c r="D6008">
        <v>10.9</v>
      </c>
      <c r="E6008">
        <v>5.0999999999999996</v>
      </c>
      <c r="F6008" s="3">
        <v>0.4829</v>
      </c>
      <c r="G6008">
        <v>4.6283000000000003</v>
      </c>
      <c r="H6008">
        <v>3.4</v>
      </c>
    </row>
    <row r="6009" spans="1:8" x14ac:dyDescent="0.25">
      <c r="A6009" t="s">
        <v>6015</v>
      </c>
      <c r="B6009">
        <v>3786</v>
      </c>
      <c r="C6009">
        <v>7896480501020</v>
      </c>
      <c r="D6009">
        <v>31.9</v>
      </c>
      <c r="E6009">
        <v>12.48</v>
      </c>
      <c r="F6009" s="3">
        <v>0.63439999999999996</v>
      </c>
      <c r="G6009">
        <v>8.7126999999999999</v>
      </c>
      <c r="H6009">
        <v>2.2669999999999999</v>
      </c>
    </row>
    <row r="6010" spans="1:8" x14ac:dyDescent="0.25">
      <c r="A6010" t="s">
        <v>6016</v>
      </c>
      <c r="B6010">
        <v>3793</v>
      </c>
      <c r="C6010">
        <v>7896480500153</v>
      </c>
      <c r="D6010">
        <v>9.9</v>
      </c>
      <c r="E6010">
        <v>4.7</v>
      </c>
      <c r="F6010" s="3">
        <v>0.47670000000000001</v>
      </c>
      <c r="G6010">
        <v>4.2652000000000001</v>
      </c>
      <c r="H6010">
        <v>0.433</v>
      </c>
    </row>
    <row r="6011" spans="1:8" x14ac:dyDescent="0.25">
      <c r="A6011" t="s">
        <v>6017</v>
      </c>
      <c r="B6011">
        <v>9032</v>
      </c>
      <c r="C6011">
        <v>7896480500306</v>
      </c>
      <c r="D6011">
        <v>10.9</v>
      </c>
      <c r="E6011">
        <v>4.78</v>
      </c>
      <c r="F6011" s="3">
        <v>0.51290000000000002</v>
      </c>
      <c r="G6011">
        <v>4.3014000000000001</v>
      </c>
      <c r="H6011">
        <v>3.2669999999999999</v>
      </c>
    </row>
    <row r="6012" spans="1:8" x14ac:dyDescent="0.25">
      <c r="A6012" t="s">
        <v>6018</v>
      </c>
      <c r="B6012">
        <v>3795</v>
      </c>
      <c r="C6012">
        <v>7896480500504</v>
      </c>
      <c r="D6012">
        <v>10.9</v>
      </c>
      <c r="E6012">
        <v>5.17</v>
      </c>
      <c r="F6012" s="3">
        <v>0.47960000000000003</v>
      </c>
      <c r="G6012">
        <v>4.6638000000000002</v>
      </c>
      <c r="H6012">
        <v>5.7</v>
      </c>
    </row>
    <row r="6013" spans="1:8" x14ac:dyDescent="0.25">
      <c r="A6013" t="s">
        <v>6019</v>
      </c>
      <c r="B6013">
        <v>3788</v>
      </c>
      <c r="C6013">
        <v>7896480500528</v>
      </c>
      <c r="D6013">
        <v>28.9</v>
      </c>
      <c r="E6013">
        <v>11.85</v>
      </c>
      <c r="F6013" s="3">
        <v>0.57540000000000002</v>
      </c>
      <c r="G6013">
        <v>9.5978999999999992</v>
      </c>
      <c r="H6013">
        <v>1.867</v>
      </c>
    </row>
    <row r="6014" spans="1:8" x14ac:dyDescent="0.25">
      <c r="A6014" t="s">
        <v>6020</v>
      </c>
      <c r="B6014">
        <v>3790</v>
      </c>
      <c r="C6014">
        <v>7896480500108</v>
      </c>
      <c r="D6014">
        <v>7.9</v>
      </c>
      <c r="E6014">
        <v>2.95</v>
      </c>
      <c r="F6014" s="3">
        <v>0.56779999999999997</v>
      </c>
      <c r="G6014">
        <v>2.6840000000000002</v>
      </c>
      <c r="H6014">
        <v>0.53300000000000003</v>
      </c>
    </row>
    <row r="6015" spans="1:8" x14ac:dyDescent="0.25">
      <c r="A6015" t="s">
        <v>6021</v>
      </c>
      <c r="B6015">
        <v>69353</v>
      </c>
      <c r="C6015">
        <v>7896480530013</v>
      </c>
      <c r="D6015">
        <v>16.899999999999999</v>
      </c>
      <c r="E6015">
        <v>10.54</v>
      </c>
      <c r="F6015" s="3">
        <v>0.34130000000000005</v>
      </c>
      <c r="G6015">
        <v>9.5693999999999999</v>
      </c>
      <c r="H6015">
        <v>3.5329999999999999</v>
      </c>
    </row>
    <row r="6016" spans="1:8" x14ac:dyDescent="0.25">
      <c r="A6016" t="s">
        <v>6022</v>
      </c>
      <c r="B6016">
        <v>38552</v>
      </c>
      <c r="C6016">
        <v>7896480500177</v>
      </c>
      <c r="D6016">
        <v>18.899999999999999</v>
      </c>
      <c r="E6016">
        <v>10.02</v>
      </c>
      <c r="F6016" s="3">
        <v>0.42649999999999999</v>
      </c>
      <c r="G6016">
        <v>9.0917999999999992</v>
      </c>
      <c r="H6016">
        <v>2.9670000000000001</v>
      </c>
    </row>
    <row r="6017" spans="1:8" x14ac:dyDescent="0.25">
      <c r="A6017" t="s">
        <v>6023</v>
      </c>
      <c r="B6017">
        <v>42013</v>
      </c>
      <c r="C6017">
        <v>7896480501013</v>
      </c>
      <c r="D6017">
        <v>29.9</v>
      </c>
      <c r="E6017">
        <v>16.829999999999998</v>
      </c>
      <c r="F6017" s="3">
        <v>0.39659999999999995</v>
      </c>
      <c r="G6017">
        <v>15.2745</v>
      </c>
      <c r="H6017">
        <v>1.6</v>
      </c>
    </row>
    <row r="6018" spans="1:8" x14ac:dyDescent="0.25">
      <c r="A6018" t="s">
        <v>6024</v>
      </c>
      <c r="B6018">
        <v>38556</v>
      </c>
      <c r="C6018">
        <v>7896480526139</v>
      </c>
      <c r="D6018">
        <v>27.9</v>
      </c>
      <c r="E6018">
        <v>15.25</v>
      </c>
      <c r="F6018" s="3">
        <v>0.4113</v>
      </c>
      <c r="G6018">
        <v>13.842700000000001</v>
      </c>
      <c r="H6018">
        <v>3.2</v>
      </c>
    </row>
    <row r="6019" spans="1:8" x14ac:dyDescent="0.25">
      <c r="A6019" t="s">
        <v>6025</v>
      </c>
      <c r="B6019">
        <v>69349</v>
      </c>
      <c r="C6019">
        <v>7896480520090</v>
      </c>
      <c r="D6019">
        <v>11.9</v>
      </c>
      <c r="E6019">
        <v>7.15</v>
      </c>
      <c r="F6019" s="3">
        <v>0.36229999999999996</v>
      </c>
      <c r="G6019">
        <v>6.4877000000000002</v>
      </c>
      <c r="H6019">
        <v>1.367</v>
      </c>
    </row>
    <row r="6020" spans="1:8" x14ac:dyDescent="0.25">
      <c r="A6020" t="s">
        <v>6026</v>
      </c>
      <c r="B6020">
        <v>69350</v>
      </c>
      <c r="C6020">
        <v>7896480520045</v>
      </c>
      <c r="D6020">
        <v>12.9</v>
      </c>
      <c r="E6020">
        <v>7.66</v>
      </c>
      <c r="F6020" s="3">
        <v>0.36890000000000001</v>
      </c>
      <c r="G6020">
        <v>6.9474999999999998</v>
      </c>
      <c r="H6020">
        <v>1.9330000000000001</v>
      </c>
    </row>
    <row r="6021" spans="1:8" x14ac:dyDescent="0.25">
      <c r="A6021" t="s">
        <v>6027</v>
      </c>
      <c r="B6021">
        <v>69348</v>
      </c>
      <c r="C6021">
        <v>7896480520083</v>
      </c>
      <c r="D6021">
        <v>11.9</v>
      </c>
      <c r="E6021">
        <v>7.15</v>
      </c>
      <c r="F6021" s="3">
        <v>0.36229999999999996</v>
      </c>
      <c r="G6021">
        <v>6.4877000000000002</v>
      </c>
      <c r="H6021">
        <v>2.0329999999999999</v>
      </c>
    </row>
    <row r="6022" spans="1:8" x14ac:dyDescent="0.25">
      <c r="A6022" t="s">
        <v>6028</v>
      </c>
      <c r="B6022">
        <v>58509</v>
      </c>
      <c r="C6022">
        <v>7896480525149</v>
      </c>
      <c r="D6022">
        <v>24.9</v>
      </c>
      <c r="E6022">
        <v>14.3</v>
      </c>
      <c r="F6022" s="3">
        <v>0.38640000000000002</v>
      </c>
      <c r="G6022">
        <v>12.9755</v>
      </c>
      <c r="H6022">
        <v>1.4</v>
      </c>
    </row>
    <row r="6023" spans="1:8" x14ac:dyDescent="0.25">
      <c r="A6023" t="s">
        <v>6029</v>
      </c>
      <c r="B6023">
        <v>38554</v>
      </c>
      <c r="C6023">
        <v>7896480501303</v>
      </c>
      <c r="D6023">
        <v>27.9</v>
      </c>
      <c r="E6023">
        <v>15.94</v>
      </c>
      <c r="F6023" s="3">
        <v>0.3876</v>
      </c>
      <c r="G6023">
        <v>14.504</v>
      </c>
      <c r="H6023">
        <v>2.867</v>
      </c>
    </row>
    <row r="6024" spans="1:8" x14ac:dyDescent="0.25">
      <c r="A6024" t="s">
        <v>6030</v>
      </c>
      <c r="B6024">
        <v>42201</v>
      </c>
      <c r="C6024">
        <v>7896480501501</v>
      </c>
      <c r="D6024">
        <v>29.9</v>
      </c>
      <c r="E6024">
        <v>16.829999999999998</v>
      </c>
      <c r="F6024" s="3">
        <v>0.3967</v>
      </c>
      <c r="G6024">
        <v>15.274100000000001</v>
      </c>
      <c r="H6024">
        <v>2.6</v>
      </c>
    </row>
    <row r="6025" spans="1:8" x14ac:dyDescent="0.25">
      <c r="A6025" t="s">
        <v>6031</v>
      </c>
      <c r="B6025">
        <v>38555</v>
      </c>
      <c r="C6025">
        <v>7896480526122</v>
      </c>
      <c r="D6025">
        <v>25.9</v>
      </c>
      <c r="E6025">
        <v>15.96</v>
      </c>
      <c r="F6025" s="3">
        <v>0.34450000000000003</v>
      </c>
      <c r="G6025">
        <v>14.582599999999999</v>
      </c>
      <c r="H6025">
        <v>4.5330000000000004</v>
      </c>
    </row>
    <row r="6026" spans="1:8" x14ac:dyDescent="0.25">
      <c r="A6026" t="s">
        <v>6032</v>
      </c>
      <c r="B6026">
        <v>69352</v>
      </c>
      <c r="C6026">
        <v>7896480510084</v>
      </c>
      <c r="D6026">
        <v>24.9</v>
      </c>
      <c r="E6026">
        <v>15.48</v>
      </c>
      <c r="F6026" s="3">
        <v>0.34329999999999999</v>
      </c>
      <c r="G6026">
        <v>14.048</v>
      </c>
      <c r="H6026">
        <v>1.0669999999999999</v>
      </c>
    </row>
    <row r="6027" spans="1:8" x14ac:dyDescent="0.25">
      <c r="A6027" t="s">
        <v>6033</v>
      </c>
      <c r="B6027">
        <v>58508</v>
      </c>
      <c r="C6027">
        <v>7896480525156</v>
      </c>
      <c r="D6027">
        <v>27.9</v>
      </c>
      <c r="E6027">
        <v>14.25</v>
      </c>
      <c r="F6027" s="3">
        <v>0.4461</v>
      </c>
      <c r="G6027">
        <v>12.873799999999999</v>
      </c>
      <c r="H6027">
        <v>0.46700000000000003</v>
      </c>
    </row>
    <row r="6028" spans="1:8" x14ac:dyDescent="0.25">
      <c r="A6028" t="s">
        <v>6034</v>
      </c>
      <c r="B6028">
        <v>38553</v>
      </c>
      <c r="C6028">
        <v>7896480501150</v>
      </c>
      <c r="D6028">
        <v>25.9</v>
      </c>
      <c r="E6028">
        <v>15.48</v>
      </c>
      <c r="F6028" s="3">
        <v>0.36520000000000002</v>
      </c>
      <c r="G6028">
        <v>14.044600000000001</v>
      </c>
      <c r="H6028">
        <v>0.96699999999999997</v>
      </c>
    </row>
    <row r="6029" spans="1:8" x14ac:dyDescent="0.25">
      <c r="A6029" t="s">
        <v>6035</v>
      </c>
      <c r="B6029">
        <v>69351</v>
      </c>
      <c r="C6029">
        <v>7896480510039</v>
      </c>
      <c r="D6029">
        <v>12.9</v>
      </c>
      <c r="E6029">
        <v>7.66</v>
      </c>
      <c r="F6029" s="3">
        <v>0.36890000000000001</v>
      </c>
      <c r="G6029">
        <v>6.9474999999999998</v>
      </c>
      <c r="H6029">
        <v>2.5</v>
      </c>
    </row>
    <row r="6030" spans="1:8" x14ac:dyDescent="0.25">
      <c r="A6030" t="s">
        <v>6036</v>
      </c>
      <c r="B6030">
        <v>38551</v>
      </c>
      <c r="C6030">
        <v>7896480500184</v>
      </c>
      <c r="D6030">
        <v>16.899999999999999</v>
      </c>
      <c r="E6030">
        <v>9.1199999999999992</v>
      </c>
      <c r="F6030" s="3">
        <v>0.40970000000000001</v>
      </c>
      <c r="G6030">
        <v>8.4131999999999998</v>
      </c>
      <c r="H6030">
        <v>2.5329999999999999</v>
      </c>
    </row>
    <row r="6031" spans="1:8" x14ac:dyDescent="0.25">
      <c r="A6031" t="s">
        <v>6037</v>
      </c>
      <c r="B6031">
        <v>15449</v>
      </c>
      <c r="C6031">
        <v>7898930672663</v>
      </c>
      <c r="D6031">
        <v>13.9</v>
      </c>
      <c r="E6031">
        <v>7.55</v>
      </c>
      <c r="F6031" s="3">
        <v>0.3301</v>
      </c>
      <c r="G6031">
        <v>5.5244</v>
      </c>
      <c r="H6031">
        <v>1.7669999999999999</v>
      </c>
    </row>
    <row r="6032" spans="1:8" x14ac:dyDescent="0.25">
      <c r="A6032" t="s">
        <v>6038</v>
      </c>
      <c r="B6032">
        <v>15448</v>
      </c>
      <c r="C6032">
        <v>7898930672670</v>
      </c>
      <c r="D6032">
        <v>15.9</v>
      </c>
      <c r="E6032">
        <v>7.43</v>
      </c>
      <c r="F6032" s="3">
        <v>0.38520000000000004</v>
      </c>
      <c r="G6032">
        <v>5.4428000000000001</v>
      </c>
      <c r="H6032">
        <v>2.6</v>
      </c>
    </row>
    <row r="6033" spans="1:8" x14ac:dyDescent="0.25">
      <c r="A6033" t="s">
        <v>6039</v>
      </c>
      <c r="B6033">
        <v>28942</v>
      </c>
      <c r="C6033">
        <v>7898964395019</v>
      </c>
      <c r="D6033">
        <v>7.95</v>
      </c>
      <c r="E6033">
        <v>4.6500000000000004</v>
      </c>
      <c r="F6033" s="3">
        <v>0.30559999999999998</v>
      </c>
      <c r="G6033">
        <v>3.3542999999999998</v>
      </c>
      <c r="H6033">
        <v>44.133000000000003</v>
      </c>
    </row>
    <row r="6034" spans="1:8" x14ac:dyDescent="0.25">
      <c r="A6034" t="s">
        <v>6040</v>
      </c>
      <c r="B6034">
        <v>60440</v>
      </c>
      <c r="C6034">
        <v>7891048064030</v>
      </c>
      <c r="D6034">
        <v>12.9</v>
      </c>
      <c r="E6034">
        <v>7.71</v>
      </c>
      <c r="F6034" s="3">
        <v>0.29270000000000002</v>
      </c>
      <c r="G6034">
        <v>5.6083999999999996</v>
      </c>
      <c r="H6034">
        <v>4.0330000000000004</v>
      </c>
    </row>
    <row r="6035" spans="1:8" x14ac:dyDescent="0.25">
      <c r="A6035" t="s">
        <v>6041</v>
      </c>
      <c r="B6035">
        <v>14263</v>
      </c>
      <c r="C6035">
        <v>7891095301058</v>
      </c>
      <c r="D6035">
        <v>22.9</v>
      </c>
      <c r="E6035">
        <v>13.82</v>
      </c>
      <c r="F6035" s="3">
        <v>0.28859999999999997</v>
      </c>
      <c r="G6035">
        <v>10.051600000000001</v>
      </c>
      <c r="H6035">
        <v>0.16700000000000001</v>
      </c>
    </row>
    <row r="6036" spans="1:8" x14ac:dyDescent="0.25">
      <c r="A6036" t="s">
        <v>6042</v>
      </c>
      <c r="B6036">
        <v>3542</v>
      </c>
      <c r="C6036">
        <v>7891095300495</v>
      </c>
      <c r="D6036">
        <v>18.899999999999999</v>
      </c>
      <c r="E6036">
        <v>11.66</v>
      </c>
      <c r="F6036" s="3">
        <v>0.27960000000000002</v>
      </c>
      <c r="G6036">
        <v>8.4648000000000003</v>
      </c>
      <c r="H6036">
        <v>2.2000000000000002</v>
      </c>
    </row>
    <row r="6037" spans="1:8" x14ac:dyDescent="0.25">
      <c r="A6037" t="s">
        <v>6043</v>
      </c>
      <c r="B6037">
        <v>7509</v>
      </c>
      <c r="C6037">
        <v>7896299109783</v>
      </c>
      <c r="D6037">
        <v>19.899999999999999</v>
      </c>
      <c r="E6037">
        <v>12.75</v>
      </c>
      <c r="F6037" s="3">
        <v>0.33</v>
      </c>
      <c r="G6037">
        <v>11.492699999999999</v>
      </c>
      <c r="H6037">
        <v>0.83299999999999996</v>
      </c>
    </row>
    <row r="6038" spans="1:8" x14ac:dyDescent="0.25">
      <c r="A6038" t="s">
        <v>6044</v>
      </c>
      <c r="B6038">
        <v>7515</v>
      </c>
      <c r="C6038">
        <v>7896299101107</v>
      </c>
      <c r="D6038">
        <v>19.899999999999999</v>
      </c>
      <c r="E6038">
        <v>12.64</v>
      </c>
      <c r="F6038" s="3">
        <v>0.33110000000000001</v>
      </c>
      <c r="G6038">
        <v>11.469799999999999</v>
      </c>
      <c r="H6038">
        <v>1.3</v>
      </c>
    </row>
    <row r="6039" spans="1:8" x14ac:dyDescent="0.25">
      <c r="A6039" t="s">
        <v>6045</v>
      </c>
      <c r="B6039">
        <v>31804</v>
      </c>
      <c r="C6039">
        <v>7896007831357</v>
      </c>
      <c r="D6039">
        <v>21.9</v>
      </c>
      <c r="E6039">
        <v>13.91</v>
      </c>
      <c r="F6039" s="3">
        <v>0.32880000000000004</v>
      </c>
      <c r="G6039">
        <v>12.6737</v>
      </c>
      <c r="H6039">
        <v>0.23300000000000001</v>
      </c>
    </row>
    <row r="6040" spans="1:8" x14ac:dyDescent="0.25">
      <c r="A6040" t="s">
        <v>6046</v>
      </c>
      <c r="B6040">
        <v>65071</v>
      </c>
      <c r="C6040">
        <v>7896007802623</v>
      </c>
      <c r="D6040">
        <v>19.899999999999999</v>
      </c>
      <c r="E6040">
        <v>12.77</v>
      </c>
      <c r="F6040" s="3">
        <v>0.32350000000000001</v>
      </c>
      <c r="G6040">
        <v>11.622</v>
      </c>
      <c r="H6040">
        <v>0.56699999999999995</v>
      </c>
    </row>
    <row r="6041" spans="1:8" x14ac:dyDescent="0.25">
      <c r="A6041" t="s">
        <v>6047</v>
      </c>
      <c r="B6041">
        <v>4666</v>
      </c>
      <c r="C6041">
        <v>7891132082018</v>
      </c>
      <c r="D6041">
        <v>8.99</v>
      </c>
      <c r="E6041">
        <v>5.97</v>
      </c>
      <c r="F6041" s="3">
        <v>0.30620000000000003</v>
      </c>
      <c r="G6041">
        <v>5.4058999999999999</v>
      </c>
      <c r="H6041">
        <v>0.83299999999999996</v>
      </c>
    </row>
    <row r="6042" spans="1:8" x14ac:dyDescent="0.25">
      <c r="A6042" t="s">
        <v>6048</v>
      </c>
      <c r="B6042">
        <v>44158</v>
      </c>
      <c r="C6042">
        <v>7891132080021</v>
      </c>
      <c r="D6042">
        <v>19.899999999999999</v>
      </c>
      <c r="E6042">
        <v>13.49</v>
      </c>
      <c r="F6042" s="3">
        <v>0.29239999999999999</v>
      </c>
      <c r="G6042">
        <v>12.241400000000001</v>
      </c>
      <c r="H6042">
        <v>0.3</v>
      </c>
    </row>
    <row r="6043" spans="1:8" x14ac:dyDescent="0.25">
      <c r="A6043" t="s">
        <v>6049</v>
      </c>
      <c r="B6043">
        <v>44157</v>
      </c>
      <c r="C6043">
        <v>7891132080014</v>
      </c>
      <c r="D6043">
        <v>19.899999999999999</v>
      </c>
      <c r="E6043">
        <v>14.16</v>
      </c>
      <c r="F6043" s="3">
        <v>0.26190000000000002</v>
      </c>
      <c r="G6043">
        <v>12.8483</v>
      </c>
      <c r="H6043">
        <v>0.4</v>
      </c>
    </row>
    <row r="6044" spans="1:8" x14ac:dyDescent="0.25">
      <c r="A6044" t="s">
        <v>6050</v>
      </c>
      <c r="B6044">
        <v>4661</v>
      </c>
      <c r="C6044">
        <v>7891132081011</v>
      </c>
      <c r="D6044">
        <v>6.49</v>
      </c>
      <c r="E6044">
        <v>4.49</v>
      </c>
      <c r="F6044" s="3">
        <v>0.27940000000000004</v>
      </c>
      <c r="G6044">
        <v>4.0765000000000002</v>
      </c>
      <c r="H6044">
        <v>1.3</v>
      </c>
    </row>
    <row r="6045" spans="1:8" x14ac:dyDescent="0.25">
      <c r="A6045" t="s">
        <v>6051</v>
      </c>
      <c r="B6045">
        <v>59355</v>
      </c>
      <c r="C6045">
        <v>7898635641377</v>
      </c>
      <c r="D6045">
        <v>15.99</v>
      </c>
      <c r="E6045">
        <v>9.2200000000000006</v>
      </c>
      <c r="F6045" s="3">
        <v>0.3543</v>
      </c>
      <c r="G6045">
        <v>7.7257999999999996</v>
      </c>
      <c r="H6045">
        <v>0.26700000000000002</v>
      </c>
    </row>
    <row r="6046" spans="1:8" x14ac:dyDescent="0.25">
      <c r="A6046" t="s">
        <v>6052</v>
      </c>
      <c r="B6046">
        <v>59334</v>
      </c>
      <c r="C6046">
        <v>7898635644279</v>
      </c>
      <c r="D6046">
        <v>26.9</v>
      </c>
      <c r="E6046">
        <v>14.84</v>
      </c>
      <c r="F6046" s="3">
        <v>0.32619999999999999</v>
      </c>
      <c r="G6046">
        <v>10.795</v>
      </c>
      <c r="H6046">
        <v>6.7000000000000004E-2</v>
      </c>
    </row>
    <row r="6047" spans="1:8" x14ac:dyDescent="0.25">
      <c r="A6047" t="s">
        <v>6053</v>
      </c>
      <c r="B6047">
        <v>62034</v>
      </c>
      <c r="C6047">
        <v>7898635640202</v>
      </c>
      <c r="D6047">
        <v>18.899999999999999</v>
      </c>
      <c r="E6047">
        <v>12.63</v>
      </c>
      <c r="F6047" s="3">
        <v>0.30159999999999998</v>
      </c>
      <c r="G6047">
        <v>11.452400000000001</v>
      </c>
      <c r="H6047">
        <v>2.7330000000000001</v>
      </c>
    </row>
    <row r="6048" spans="1:8" x14ac:dyDescent="0.25">
      <c r="A6048" t="s">
        <v>6054</v>
      </c>
      <c r="B6048">
        <v>23482</v>
      </c>
      <c r="C6048">
        <v>78903180</v>
      </c>
      <c r="D6048">
        <v>4.99</v>
      </c>
      <c r="E6048">
        <v>3.17</v>
      </c>
      <c r="F6048" s="3">
        <v>0.30579999999999996</v>
      </c>
      <c r="G6048">
        <v>2.653</v>
      </c>
      <c r="H6048">
        <v>6.9329999999999998</v>
      </c>
    </row>
    <row r="6049" spans="1:8" x14ac:dyDescent="0.25">
      <c r="A6049" t="s">
        <v>6055</v>
      </c>
      <c r="B6049">
        <v>4678</v>
      </c>
      <c r="C6049">
        <v>7896035210001</v>
      </c>
      <c r="D6049">
        <v>3.49</v>
      </c>
      <c r="E6049">
        <v>2.5</v>
      </c>
      <c r="F6049" s="3">
        <v>0.25030000000000002</v>
      </c>
      <c r="G6049">
        <v>2.0491999999999999</v>
      </c>
      <c r="H6049">
        <v>77.132999999999996</v>
      </c>
    </row>
    <row r="6050" spans="1:8" x14ac:dyDescent="0.25">
      <c r="A6050" t="s">
        <v>6056</v>
      </c>
      <c r="B6050">
        <v>23484</v>
      </c>
      <c r="C6050">
        <v>7896035271545</v>
      </c>
      <c r="D6050">
        <v>10.49</v>
      </c>
      <c r="E6050">
        <v>6.25</v>
      </c>
      <c r="F6050" s="3">
        <v>0.33799999999999997</v>
      </c>
      <c r="G6050">
        <v>5.2397</v>
      </c>
      <c r="H6050">
        <v>0.7</v>
      </c>
    </row>
    <row r="6051" spans="1:8" x14ac:dyDescent="0.25">
      <c r="A6051" t="s">
        <v>6057</v>
      </c>
      <c r="B6051">
        <v>23485</v>
      </c>
      <c r="C6051">
        <v>7896035271521</v>
      </c>
      <c r="D6051">
        <v>14.99</v>
      </c>
      <c r="E6051">
        <v>10.130000000000001</v>
      </c>
      <c r="F6051" s="3">
        <v>0.27129999999999999</v>
      </c>
      <c r="G6051">
        <v>8.4873999999999992</v>
      </c>
      <c r="H6051">
        <v>0.83299999999999996</v>
      </c>
    </row>
    <row r="6052" spans="1:8" x14ac:dyDescent="0.25">
      <c r="A6052" t="s">
        <v>6058</v>
      </c>
      <c r="B6052">
        <v>23481</v>
      </c>
      <c r="C6052">
        <v>7896035271538</v>
      </c>
      <c r="D6052">
        <v>9.99</v>
      </c>
      <c r="E6052">
        <v>6.26</v>
      </c>
      <c r="F6052" s="3">
        <v>0.30519999999999997</v>
      </c>
      <c r="G6052">
        <v>5.3179999999999996</v>
      </c>
      <c r="H6052">
        <v>2.0329999999999999</v>
      </c>
    </row>
    <row r="6053" spans="1:8" x14ac:dyDescent="0.25">
      <c r="A6053" t="s">
        <v>6059</v>
      </c>
      <c r="B6053">
        <v>23483</v>
      </c>
      <c r="C6053">
        <v>7896035210087</v>
      </c>
      <c r="D6053">
        <v>9.49</v>
      </c>
      <c r="E6053">
        <v>5.67</v>
      </c>
      <c r="F6053" s="3">
        <v>0.33700000000000002</v>
      </c>
      <c r="G6053">
        <v>4.7496999999999998</v>
      </c>
      <c r="H6053">
        <v>5.3330000000000002</v>
      </c>
    </row>
    <row r="6054" spans="1:8" x14ac:dyDescent="0.25">
      <c r="A6054" t="s">
        <v>6060</v>
      </c>
      <c r="B6054">
        <v>63763</v>
      </c>
      <c r="C6054">
        <v>7898635644194</v>
      </c>
      <c r="D6054">
        <v>16.989999999999998</v>
      </c>
      <c r="E6054">
        <v>10</v>
      </c>
      <c r="F6054" s="3">
        <v>0.33840000000000003</v>
      </c>
      <c r="G6054">
        <v>8.4788999999999994</v>
      </c>
      <c r="H6054">
        <v>0.23300000000000001</v>
      </c>
    </row>
    <row r="6055" spans="1:8" x14ac:dyDescent="0.25">
      <c r="A6055" t="s">
        <v>6061</v>
      </c>
      <c r="B6055">
        <v>66624</v>
      </c>
      <c r="C6055">
        <v>7891132161249</v>
      </c>
      <c r="D6055">
        <v>16.899999999999999</v>
      </c>
      <c r="E6055">
        <v>15.13</v>
      </c>
      <c r="F6055" s="3">
        <v>9.4899999999999998E-2</v>
      </c>
      <c r="G6055">
        <v>13.733700000000001</v>
      </c>
      <c r="H6055">
        <v>0.2</v>
      </c>
    </row>
    <row r="6056" spans="1:8" x14ac:dyDescent="0.25">
      <c r="A6056" t="s">
        <v>6062</v>
      </c>
      <c r="B6056">
        <v>66609</v>
      </c>
      <c r="C6056">
        <v>7891132082988</v>
      </c>
      <c r="D6056">
        <v>33.9</v>
      </c>
      <c r="E6056">
        <v>22.83</v>
      </c>
      <c r="F6056" s="3">
        <v>0.29630000000000001</v>
      </c>
      <c r="G6056">
        <v>20.720600000000001</v>
      </c>
      <c r="H6056">
        <v>0.56699999999999995</v>
      </c>
    </row>
    <row r="6057" spans="1:8" x14ac:dyDescent="0.25">
      <c r="A6057" t="s">
        <v>6063</v>
      </c>
      <c r="B6057">
        <v>4815</v>
      </c>
      <c r="C6057">
        <v>7896035271378</v>
      </c>
      <c r="D6057">
        <v>3.99</v>
      </c>
      <c r="E6057">
        <v>2.5499999999999998</v>
      </c>
      <c r="F6057" s="3">
        <v>0.30130000000000001</v>
      </c>
      <c r="G6057">
        <v>2.1393</v>
      </c>
      <c r="H6057">
        <v>11</v>
      </c>
    </row>
    <row r="6058" spans="1:8" x14ac:dyDescent="0.25">
      <c r="A6058" t="s">
        <v>6064</v>
      </c>
      <c r="B6058">
        <v>25461</v>
      </c>
      <c r="C6058">
        <v>7898912222152</v>
      </c>
      <c r="D6058">
        <v>12.99</v>
      </c>
      <c r="E6058">
        <v>5.47</v>
      </c>
      <c r="F6058" s="3">
        <v>0.42119999999999996</v>
      </c>
      <c r="G6058">
        <v>3.9788999999999999</v>
      </c>
      <c r="H6058">
        <v>0.9</v>
      </c>
    </row>
    <row r="6059" spans="1:8" x14ac:dyDescent="0.25">
      <c r="A6059" t="s">
        <v>6065</v>
      </c>
      <c r="B6059">
        <v>66038</v>
      </c>
      <c r="C6059">
        <v>7896110100814</v>
      </c>
      <c r="D6059">
        <v>3.69</v>
      </c>
      <c r="E6059">
        <v>1.76</v>
      </c>
      <c r="F6059" s="3">
        <v>0.43729999999999997</v>
      </c>
      <c r="G6059">
        <v>1.4769000000000001</v>
      </c>
      <c r="H6059">
        <v>12.1</v>
      </c>
    </row>
    <row r="6060" spans="1:8" x14ac:dyDescent="0.25">
      <c r="A6060" t="s">
        <v>6066</v>
      </c>
      <c r="B6060">
        <v>4683</v>
      </c>
      <c r="C6060">
        <v>7896110100043</v>
      </c>
      <c r="D6060">
        <v>2.94</v>
      </c>
      <c r="E6060">
        <v>1.75</v>
      </c>
      <c r="F6060" s="3">
        <v>0.33100000000000002</v>
      </c>
      <c r="G6060">
        <v>1.4911000000000001</v>
      </c>
      <c r="H6060">
        <v>32.133000000000003</v>
      </c>
    </row>
    <row r="6061" spans="1:8" x14ac:dyDescent="0.25">
      <c r="A6061" t="s">
        <v>6067</v>
      </c>
      <c r="B6061">
        <v>67349</v>
      </c>
      <c r="C6061">
        <v>7898635640219</v>
      </c>
      <c r="D6061">
        <v>18.899999999999999</v>
      </c>
      <c r="E6061">
        <v>12.47</v>
      </c>
      <c r="F6061" s="3">
        <v>0.30879999999999996</v>
      </c>
      <c r="G6061">
        <v>11.315899999999999</v>
      </c>
      <c r="H6061">
        <v>1.7330000000000001</v>
      </c>
    </row>
    <row r="6062" spans="1:8" x14ac:dyDescent="0.25">
      <c r="A6062" t="s">
        <v>6068</v>
      </c>
      <c r="B6062">
        <v>67353</v>
      </c>
      <c r="C6062">
        <v>7898635644781</v>
      </c>
      <c r="D6062">
        <v>8.99</v>
      </c>
      <c r="E6062">
        <v>4.97</v>
      </c>
      <c r="F6062" s="3">
        <v>0.32469999999999999</v>
      </c>
      <c r="G6062">
        <v>3.6211000000000002</v>
      </c>
      <c r="H6062">
        <v>6.4</v>
      </c>
    </row>
    <row r="6063" spans="1:8" x14ac:dyDescent="0.25">
      <c r="A6063" t="s">
        <v>6069</v>
      </c>
      <c r="B6063">
        <v>4814</v>
      </c>
      <c r="C6063">
        <v>7896283000164</v>
      </c>
      <c r="D6063">
        <v>9.2899999999999991</v>
      </c>
      <c r="E6063">
        <v>5.63</v>
      </c>
      <c r="F6063" s="3">
        <v>0.3407</v>
      </c>
      <c r="G6063">
        <v>4.6157000000000004</v>
      </c>
      <c r="H6063">
        <v>3.0329999999999999</v>
      </c>
    </row>
    <row r="6064" spans="1:8" x14ac:dyDescent="0.25">
      <c r="A6064" t="s">
        <v>6070</v>
      </c>
      <c r="B6064">
        <v>67513</v>
      </c>
      <c r="C6064">
        <v>5011428300028</v>
      </c>
      <c r="D6064">
        <v>49.9</v>
      </c>
      <c r="E6064">
        <v>28.93</v>
      </c>
      <c r="F6064" s="3">
        <v>0.30570000000000003</v>
      </c>
      <c r="G6064">
        <v>21.05</v>
      </c>
      <c r="H6064">
        <v>3.3000000000000002E-2</v>
      </c>
    </row>
    <row r="6065" spans="1:8" x14ac:dyDescent="0.25">
      <c r="A6065" t="s">
        <v>6071</v>
      </c>
      <c r="B6065">
        <v>67514</v>
      </c>
      <c r="C6065">
        <v>5011428100048</v>
      </c>
      <c r="D6065">
        <v>59.9</v>
      </c>
      <c r="E6065">
        <v>35.61</v>
      </c>
      <c r="F6065" s="3">
        <v>0.2984</v>
      </c>
      <c r="G6065">
        <v>25.702100000000002</v>
      </c>
      <c r="H6065">
        <v>6.7000000000000004E-2</v>
      </c>
    </row>
    <row r="6066" spans="1:8" x14ac:dyDescent="0.25">
      <c r="A6066" t="s">
        <v>6072</v>
      </c>
      <c r="B6066">
        <v>4695</v>
      </c>
      <c r="C6066">
        <v>7896063243026</v>
      </c>
      <c r="D6066">
        <v>8.99</v>
      </c>
      <c r="E6066">
        <v>5.51</v>
      </c>
      <c r="F6066" s="3">
        <v>0.30459999999999998</v>
      </c>
      <c r="G6066">
        <v>4.3411999999999997</v>
      </c>
      <c r="H6066">
        <v>4.367</v>
      </c>
    </row>
    <row r="6067" spans="1:8" x14ac:dyDescent="0.25">
      <c r="A6067" t="s">
        <v>6073</v>
      </c>
      <c r="B6067">
        <v>67351</v>
      </c>
      <c r="C6067">
        <v>7898635643524</v>
      </c>
      <c r="D6067">
        <v>18.899999999999999</v>
      </c>
      <c r="E6067">
        <v>12.61</v>
      </c>
      <c r="F6067" s="3">
        <v>0.30030000000000001</v>
      </c>
      <c r="G6067">
        <v>11.4758</v>
      </c>
      <c r="H6067">
        <v>1</v>
      </c>
    </row>
    <row r="6068" spans="1:8" x14ac:dyDescent="0.25">
      <c r="A6068" t="s">
        <v>6074</v>
      </c>
      <c r="B6068">
        <v>67357</v>
      </c>
      <c r="C6068">
        <v>7898635644866</v>
      </c>
      <c r="D6068">
        <v>18.899999999999999</v>
      </c>
      <c r="E6068">
        <v>12.47</v>
      </c>
      <c r="F6068" s="3">
        <v>0.30879999999999996</v>
      </c>
      <c r="G6068">
        <v>11.3163</v>
      </c>
      <c r="H6068">
        <v>0.3</v>
      </c>
    </row>
    <row r="6069" spans="1:8" x14ac:dyDescent="0.25">
      <c r="A6069" t="s">
        <v>6075</v>
      </c>
      <c r="B6069">
        <v>67350</v>
      </c>
      <c r="C6069">
        <v>7898635643500</v>
      </c>
      <c r="D6069">
        <v>18.899999999999999</v>
      </c>
      <c r="E6069">
        <v>12.47</v>
      </c>
      <c r="F6069" s="3">
        <v>0.30879999999999996</v>
      </c>
      <c r="G6069">
        <v>11.316000000000001</v>
      </c>
      <c r="H6069">
        <v>0.5</v>
      </c>
    </row>
    <row r="6070" spans="1:8" x14ac:dyDescent="0.25">
      <c r="A6070" t="s">
        <v>6076</v>
      </c>
      <c r="B6070">
        <v>62042</v>
      </c>
      <c r="C6070">
        <v>7898635644286</v>
      </c>
      <c r="D6070">
        <v>18.899999999999999</v>
      </c>
      <c r="E6070">
        <v>10.48</v>
      </c>
      <c r="F6070" s="3">
        <v>0.3256</v>
      </c>
      <c r="G6070">
        <v>7.5956000000000001</v>
      </c>
      <c r="H6070">
        <v>1.7330000000000001</v>
      </c>
    </row>
    <row r="6071" spans="1:8" x14ac:dyDescent="0.25">
      <c r="A6071" t="s">
        <v>6077</v>
      </c>
      <c r="B6071">
        <v>69240</v>
      </c>
      <c r="C6071">
        <v>7898453418113</v>
      </c>
      <c r="D6071">
        <v>13.99</v>
      </c>
      <c r="E6071">
        <v>8.39</v>
      </c>
      <c r="F6071" s="3">
        <v>0.2913</v>
      </c>
      <c r="G6071">
        <v>6.1021999999999998</v>
      </c>
      <c r="H6071">
        <v>1.657</v>
      </c>
    </row>
    <row r="6072" spans="1:8" x14ac:dyDescent="0.25">
      <c r="A6072" t="s">
        <v>6078</v>
      </c>
      <c r="B6072">
        <v>69241</v>
      </c>
      <c r="C6072">
        <v>7898453417154</v>
      </c>
      <c r="D6072">
        <v>12.99</v>
      </c>
      <c r="E6072">
        <v>7.78</v>
      </c>
      <c r="F6072" s="3">
        <v>0.29160000000000003</v>
      </c>
      <c r="G6072">
        <v>5.6628999999999996</v>
      </c>
      <c r="H6072">
        <v>5.2519999999999998</v>
      </c>
    </row>
    <row r="6073" spans="1:8" x14ac:dyDescent="0.25">
      <c r="A6073" t="s">
        <v>6079</v>
      </c>
      <c r="B6073">
        <v>62035</v>
      </c>
      <c r="C6073">
        <v>7898946481860</v>
      </c>
      <c r="D6073">
        <v>8.99</v>
      </c>
      <c r="E6073">
        <v>9.0299999999999994</v>
      </c>
      <c r="F6073" s="3">
        <v>-3.0999999999999999E-3</v>
      </c>
      <c r="G6073">
        <v>6.5677000000000003</v>
      </c>
      <c r="H6073">
        <v>12.167</v>
      </c>
    </row>
    <row r="6074" spans="1:8" x14ac:dyDescent="0.25">
      <c r="A6074" t="s">
        <v>6080</v>
      </c>
      <c r="B6074">
        <v>62699</v>
      </c>
      <c r="C6074">
        <v>7898629611799</v>
      </c>
      <c r="D6074">
        <v>5.99</v>
      </c>
      <c r="E6074">
        <v>2.56</v>
      </c>
      <c r="F6074" s="3">
        <v>0.41689999999999999</v>
      </c>
      <c r="G6074">
        <v>1.8604000000000001</v>
      </c>
      <c r="H6074">
        <v>0.46700000000000003</v>
      </c>
    </row>
    <row r="6075" spans="1:8" x14ac:dyDescent="0.25">
      <c r="A6075" t="s">
        <v>6081</v>
      </c>
      <c r="B6075">
        <v>36406</v>
      </c>
      <c r="C6075">
        <v>7898247312580</v>
      </c>
      <c r="D6075">
        <v>7.99</v>
      </c>
      <c r="E6075">
        <v>6.95</v>
      </c>
      <c r="F6075" s="3">
        <v>0.1076</v>
      </c>
      <c r="G6075">
        <v>5.8319000000000001</v>
      </c>
      <c r="H6075">
        <v>3.133</v>
      </c>
    </row>
    <row r="6076" spans="1:8" x14ac:dyDescent="0.25">
      <c r="A6076" t="s">
        <v>6082</v>
      </c>
      <c r="B6076">
        <v>36405</v>
      </c>
      <c r="C6076">
        <v>7898247312573</v>
      </c>
      <c r="D6076">
        <v>7.99</v>
      </c>
      <c r="E6076">
        <v>6.68</v>
      </c>
      <c r="F6076" s="3">
        <v>0.1183</v>
      </c>
      <c r="G6076">
        <v>5.7460000000000004</v>
      </c>
      <c r="H6076">
        <v>0.5</v>
      </c>
    </row>
    <row r="6077" spans="1:8" x14ac:dyDescent="0.25">
      <c r="A6077" t="s">
        <v>6083</v>
      </c>
      <c r="B6077">
        <v>59983</v>
      </c>
      <c r="C6077">
        <v>7898635643562</v>
      </c>
      <c r="D6077">
        <v>18.899999999999999</v>
      </c>
      <c r="E6077">
        <v>12.58</v>
      </c>
      <c r="F6077" s="3">
        <v>0.30599999999999999</v>
      </c>
      <c r="G6077">
        <v>11.369199999999999</v>
      </c>
      <c r="H6077">
        <v>0.93300000000000005</v>
      </c>
    </row>
    <row r="6078" spans="1:8" x14ac:dyDescent="0.25">
      <c r="A6078" t="s">
        <v>6084</v>
      </c>
      <c r="B6078">
        <v>59982</v>
      </c>
      <c r="C6078">
        <v>7898635643548</v>
      </c>
      <c r="D6078">
        <v>18.899999999999999</v>
      </c>
      <c r="E6078">
        <v>12.66</v>
      </c>
      <c r="F6078" s="3">
        <v>0.30149999999999999</v>
      </c>
      <c r="G6078">
        <v>11.4541</v>
      </c>
      <c r="H6078">
        <v>0.3</v>
      </c>
    </row>
    <row r="6079" spans="1:8" x14ac:dyDescent="0.25">
      <c r="A6079" t="s">
        <v>6085</v>
      </c>
      <c r="B6079">
        <v>37203</v>
      </c>
      <c r="C6079">
        <v>7891167014039</v>
      </c>
      <c r="D6079">
        <v>11.9</v>
      </c>
      <c r="E6079">
        <v>7.69</v>
      </c>
      <c r="F6079" s="3">
        <v>0.32100000000000001</v>
      </c>
      <c r="G6079">
        <v>6.9798999999999998</v>
      </c>
      <c r="H6079">
        <v>4.2</v>
      </c>
    </row>
    <row r="6080" spans="1:8" x14ac:dyDescent="0.25">
      <c r="A6080" t="s">
        <v>6086</v>
      </c>
      <c r="B6080">
        <v>8710</v>
      </c>
      <c r="C6080">
        <v>7891167014008</v>
      </c>
      <c r="D6080">
        <v>11.9</v>
      </c>
      <c r="E6080">
        <v>7.68</v>
      </c>
      <c r="F6080" s="3">
        <v>0.32200000000000001</v>
      </c>
      <c r="G6080">
        <v>6.9676999999999998</v>
      </c>
      <c r="H6080">
        <v>3.8</v>
      </c>
    </row>
    <row r="6081" spans="1:8" x14ac:dyDescent="0.25">
      <c r="A6081" t="s">
        <v>6087</v>
      </c>
      <c r="B6081">
        <v>8712</v>
      </c>
      <c r="C6081">
        <v>7891167014022</v>
      </c>
      <c r="D6081">
        <v>11.9</v>
      </c>
      <c r="E6081">
        <v>7.59</v>
      </c>
      <c r="F6081" s="3">
        <v>0.32280000000000003</v>
      </c>
      <c r="G6081">
        <v>6.9573999999999998</v>
      </c>
      <c r="H6081">
        <v>2.2999999999999998</v>
      </c>
    </row>
    <row r="6082" spans="1:8" x14ac:dyDescent="0.25">
      <c r="A6082" t="s">
        <v>6088</v>
      </c>
      <c r="B6082">
        <v>8711</v>
      </c>
      <c r="C6082">
        <v>7891167014015</v>
      </c>
      <c r="D6082">
        <v>11.9</v>
      </c>
      <c r="E6082">
        <v>7.6</v>
      </c>
      <c r="F6082" s="3">
        <v>0.32409999999999994</v>
      </c>
      <c r="G6082">
        <v>6.9421999999999997</v>
      </c>
      <c r="H6082">
        <v>1.9670000000000001</v>
      </c>
    </row>
    <row r="6083" spans="1:8" x14ac:dyDescent="0.25">
      <c r="A6083" t="s">
        <v>6089</v>
      </c>
      <c r="B6083">
        <v>7755</v>
      </c>
      <c r="C6083">
        <v>7896319800027</v>
      </c>
      <c r="D6083">
        <v>16.899999999999999</v>
      </c>
      <c r="E6083">
        <v>11.34</v>
      </c>
      <c r="F6083" s="3">
        <v>0.29239999999999999</v>
      </c>
      <c r="G6083">
        <v>10.3955</v>
      </c>
      <c r="H6083">
        <v>0.23300000000000001</v>
      </c>
    </row>
    <row r="6084" spans="1:8" x14ac:dyDescent="0.25">
      <c r="A6084" t="s">
        <v>6090</v>
      </c>
      <c r="B6084">
        <v>7756</v>
      </c>
      <c r="C6084">
        <v>7896319800034</v>
      </c>
      <c r="D6084">
        <v>19.899999999999999</v>
      </c>
      <c r="E6084">
        <v>13.5</v>
      </c>
      <c r="F6084" s="3">
        <v>0.26579999999999998</v>
      </c>
      <c r="G6084">
        <v>12.769399999999999</v>
      </c>
      <c r="H6084">
        <v>0.46700000000000003</v>
      </c>
    </row>
    <row r="6085" spans="1:8" x14ac:dyDescent="0.25">
      <c r="A6085" t="s">
        <v>6091</v>
      </c>
      <c r="B6085">
        <v>7760</v>
      </c>
      <c r="C6085">
        <v>7896319800010</v>
      </c>
      <c r="D6085">
        <v>16.899999999999999</v>
      </c>
      <c r="E6085">
        <v>11.99</v>
      </c>
      <c r="F6085" s="3">
        <v>0.26369999999999999</v>
      </c>
      <c r="G6085">
        <v>10.881</v>
      </c>
      <c r="H6085">
        <v>0.26700000000000002</v>
      </c>
    </row>
    <row r="6086" spans="1:8" x14ac:dyDescent="0.25">
      <c r="A6086" t="s">
        <v>6092</v>
      </c>
      <c r="B6086">
        <v>67014</v>
      </c>
      <c r="C6086">
        <v>7892840822781</v>
      </c>
      <c r="D6086">
        <v>14.9</v>
      </c>
      <c r="E6086">
        <v>9.83</v>
      </c>
      <c r="F6086" s="3">
        <v>0.31019999999999998</v>
      </c>
      <c r="G6086">
        <v>8.8991000000000007</v>
      </c>
      <c r="H6086">
        <v>5.8330000000000002</v>
      </c>
    </row>
    <row r="6087" spans="1:8" x14ac:dyDescent="0.25">
      <c r="A6087" t="s">
        <v>6093</v>
      </c>
      <c r="B6087">
        <v>4104</v>
      </c>
      <c r="C6087">
        <v>7892840822798</v>
      </c>
      <c r="D6087">
        <v>6.99</v>
      </c>
      <c r="E6087">
        <v>3.2</v>
      </c>
      <c r="F6087" s="3">
        <v>0.49399999999999999</v>
      </c>
      <c r="G6087">
        <v>2.8900999999999999</v>
      </c>
      <c r="H6087">
        <v>13.833</v>
      </c>
    </row>
    <row r="6088" spans="1:8" x14ac:dyDescent="0.25">
      <c r="A6088" t="s">
        <v>6094</v>
      </c>
      <c r="B6088">
        <v>4103</v>
      </c>
      <c r="C6088">
        <v>7892840822774</v>
      </c>
      <c r="D6088">
        <v>12.9</v>
      </c>
      <c r="E6088">
        <v>6.6</v>
      </c>
      <c r="F6088" s="3">
        <v>0.4446</v>
      </c>
      <c r="G6088">
        <v>5.9715999999999996</v>
      </c>
      <c r="H6088">
        <v>11.433</v>
      </c>
    </row>
    <row r="6089" spans="1:8" x14ac:dyDescent="0.25">
      <c r="A6089" t="s">
        <v>6095</v>
      </c>
      <c r="B6089">
        <v>4106</v>
      </c>
      <c r="C6089">
        <v>7892840822811</v>
      </c>
      <c r="D6089">
        <v>6.99</v>
      </c>
      <c r="E6089">
        <v>3.18</v>
      </c>
      <c r="F6089" s="3">
        <v>0.51300000000000001</v>
      </c>
      <c r="G6089">
        <v>2.7576999999999998</v>
      </c>
      <c r="H6089">
        <v>12.766999999999999</v>
      </c>
    </row>
    <row r="6090" spans="1:8" x14ac:dyDescent="0.25">
      <c r="A6090" t="s">
        <v>6096</v>
      </c>
      <c r="B6090">
        <v>4105</v>
      </c>
      <c r="C6090">
        <v>7892840822804</v>
      </c>
      <c r="D6090">
        <v>12.45</v>
      </c>
      <c r="E6090">
        <v>6.55</v>
      </c>
      <c r="F6090" s="3">
        <v>0.43209999999999998</v>
      </c>
      <c r="G6090">
        <v>5.9200999999999997</v>
      </c>
      <c r="H6090">
        <v>16.100000000000001</v>
      </c>
    </row>
    <row r="6091" spans="1:8" x14ac:dyDescent="0.25">
      <c r="A6091" t="s">
        <v>6097</v>
      </c>
      <c r="B6091">
        <v>64350</v>
      </c>
      <c r="C6091">
        <v>7892840823245</v>
      </c>
      <c r="D6091">
        <v>12.9</v>
      </c>
      <c r="E6091">
        <v>8.5299999999999994</v>
      </c>
      <c r="F6091" s="3">
        <v>0.30920000000000003</v>
      </c>
      <c r="G6091">
        <v>7.7183999999999999</v>
      </c>
      <c r="H6091">
        <v>7</v>
      </c>
    </row>
    <row r="6092" spans="1:8" x14ac:dyDescent="0.25">
      <c r="A6092" t="s">
        <v>6098</v>
      </c>
      <c r="B6092">
        <v>37003</v>
      </c>
      <c r="C6092">
        <v>7892840822330</v>
      </c>
      <c r="D6092">
        <v>10.99</v>
      </c>
      <c r="E6092">
        <v>8.52</v>
      </c>
      <c r="F6092" s="3">
        <v>0.20600000000000002</v>
      </c>
      <c r="G6092">
        <v>7.7088999999999999</v>
      </c>
      <c r="H6092">
        <v>20.233000000000001</v>
      </c>
    </row>
    <row r="6093" spans="1:8" x14ac:dyDescent="0.25">
      <c r="A6093" t="s">
        <v>6099</v>
      </c>
      <c r="B6093">
        <v>4585</v>
      </c>
      <c r="C6093">
        <v>7892840822736</v>
      </c>
      <c r="D6093">
        <v>10.99</v>
      </c>
      <c r="E6093">
        <v>8.52</v>
      </c>
      <c r="F6093" s="3">
        <v>0.20629999999999998</v>
      </c>
      <c r="G6093">
        <v>7.7065999999999999</v>
      </c>
      <c r="H6093">
        <v>24.867000000000001</v>
      </c>
    </row>
    <row r="6094" spans="1:8" x14ac:dyDescent="0.25">
      <c r="A6094" t="s">
        <v>6100</v>
      </c>
      <c r="B6094">
        <v>4597</v>
      </c>
      <c r="C6094">
        <v>7892840822323</v>
      </c>
      <c r="D6094">
        <v>10.99</v>
      </c>
      <c r="E6094">
        <v>8.52</v>
      </c>
      <c r="F6094" s="3">
        <v>0.20559999999999998</v>
      </c>
      <c r="G6094">
        <v>7.7134999999999998</v>
      </c>
      <c r="H6094">
        <v>44.7</v>
      </c>
    </row>
    <row r="6095" spans="1:8" x14ac:dyDescent="0.25">
      <c r="A6095" t="s">
        <v>6101</v>
      </c>
      <c r="B6095">
        <v>48757</v>
      </c>
      <c r="C6095">
        <v>7892840823238</v>
      </c>
      <c r="D6095">
        <v>18.899999999999999</v>
      </c>
      <c r="E6095">
        <v>12.98</v>
      </c>
      <c r="F6095" s="3">
        <v>0.29189999999999999</v>
      </c>
      <c r="G6095">
        <v>11.6355</v>
      </c>
      <c r="H6095">
        <v>7.5</v>
      </c>
    </row>
    <row r="6096" spans="1:8" x14ac:dyDescent="0.25">
      <c r="A6096" t="s">
        <v>6102</v>
      </c>
      <c r="B6096">
        <v>4584</v>
      </c>
      <c r="C6096">
        <v>7892840822279</v>
      </c>
      <c r="D6096">
        <v>3.59</v>
      </c>
      <c r="E6096">
        <v>2.57</v>
      </c>
      <c r="F6096" s="3">
        <v>0.25579999999999997</v>
      </c>
      <c r="G6096">
        <v>2.3397000000000001</v>
      </c>
      <c r="H6096">
        <v>13.6</v>
      </c>
    </row>
    <row r="6097" spans="1:8" x14ac:dyDescent="0.25">
      <c r="A6097" t="s">
        <v>6103</v>
      </c>
      <c r="B6097">
        <v>4587</v>
      </c>
      <c r="C6097">
        <v>7892840822286</v>
      </c>
      <c r="D6097">
        <v>3.59</v>
      </c>
      <c r="E6097">
        <v>2.58</v>
      </c>
      <c r="F6097" s="3">
        <v>0.26590000000000003</v>
      </c>
      <c r="G6097">
        <v>2.3033999999999999</v>
      </c>
      <c r="H6097">
        <v>36.832999999999998</v>
      </c>
    </row>
    <row r="6098" spans="1:8" x14ac:dyDescent="0.25">
      <c r="A6098" t="s">
        <v>6104</v>
      </c>
      <c r="B6098">
        <v>36563</v>
      </c>
      <c r="C6098">
        <v>7892840822293</v>
      </c>
      <c r="D6098">
        <v>3.59</v>
      </c>
      <c r="E6098">
        <v>2.57</v>
      </c>
      <c r="F6098" s="3">
        <v>0.26940000000000003</v>
      </c>
      <c r="G6098">
        <v>2.2909000000000002</v>
      </c>
      <c r="H6098">
        <v>13.567</v>
      </c>
    </row>
    <row r="6099" spans="1:8" x14ac:dyDescent="0.25">
      <c r="A6099" t="s">
        <v>6105</v>
      </c>
      <c r="B6099">
        <v>4590</v>
      </c>
      <c r="C6099">
        <v>7892840822309</v>
      </c>
      <c r="D6099">
        <v>3.59</v>
      </c>
      <c r="E6099">
        <v>2.58</v>
      </c>
      <c r="F6099" s="3">
        <v>0.26419999999999999</v>
      </c>
      <c r="G6099">
        <v>2.3092999999999999</v>
      </c>
      <c r="H6099">
        <v>51</v>
      </c>
    </row>
    <row r="6100" spans="1:8" x14ac:dyDescent="0.25">
      <c r="A6100" t="s">
        <v>6106</v>
      </c>
      <c r="B6100">
        <v>67015</v>
      </c>
      <c r="C6100">
        <v>7892840816636</v>
      </c>
      <c r="D6100">
        <v>6.99</v>
      </c>
      <c r="E6100">
        <v>4.66</v>
      </c>
      <c r="F6100" s="3">
        <v>0.29380000000000001</v>
      </c>
      <c r="G6100">
        <v>4.29</v>
      </c>
      <c r="H6100">
        <v>19.433</v>
      </c>
    </row>
    <row r="6101" spans="1:8" x14ac:dyDescent="0.25">
      <c r="A6101" t="s">
        <v>6107</v>
      </c>
      <c r="B6101">
        <v>65499</v>
      </c>
      <c r="C6101">
        <v>7892840821951</v>
      </c>
      <c r="D6101">
        <v>3.59</v>
      </c>
      <c r="E6101">
        <v>2.61</v>
      </c>
      <c r="F6101" s="3">
        <v>0.2465</v>
      </c>
      <c r="G6101">
        <v>2.3731</v>
      </c>
      <c r="H6101">
        <v>0</v>
      </c>
    </row>
    <row r="6102" spans="1:8" x14ac:dyDescent="0.25">
      <c r="A6102" t="s">
        <v>6108</v>
      </c>
      <c r="B6102">
        <v>65496</v>
      </c>
      <c r="C6102">
        <v>7892840821982</v>
      </c>
      <c r="D6102">
        <v>7.99</v>
      </c>
      <c r="E6102">
        <v>4.6900000000000004</v>
      </c>
      <c r="F6102" s="3">
        <v>0.36280000000000001</v>
      </c>
      <c r="G6102">
        <v>4.3517999999999999</v>
      </c>
      <c r="H6102">
        <v>8.2669999999999995</v>
      </c>
    </row>
    <row r="6103" spans="1:8" x14ac:dyDescent="0.25">
      <c r="A6103" t="s">
        <v>6109</v>
      </c>
      <c r="B6103">
        <v>65497</v>
      </c>
      <c r="C6103">
        <v>7892840821968</v>
      </c>
      <c r="D6103">
        <v>7.99</v>
      </c>
      <c r="E6103">
        <v>4.6900000000000004</v>
      </c>
      <c r="F6103" s="3">
        <v>0.36810000000000004</v>
      </c>
      <c r="G6103">
        <v>4.3098999999999998</v>
      </c>
      <c r="H6103">
        <v>7.4</v>
      </c>
    </row>
    <row r="6104" spans="1:8" x14ac:dyDescent="0.25">
      <c r="A6104" t="s">
        <v>6110</v>
      </c>
      <c r="B6104">
        <v>68467</v>
      </c>
      <c r="C6104">
        <v>7892840823771</v>
      </c>
      <c r="D6104">
        <v>13.9</v>
      </c>
      <c r="E6104">
        <v>8.8000000000000007</v>
      </c>
      <c r="F6104" s="3">
        <v>0.3196</v>
      </c>
      <c r="G6104">
        <v>8.1720000000000006</v>
      </c>
      <c r="H6104">
        <v>3.367</v>
      </c>
    </row>
    <row r="6105" spans="1:8" x14ac:dyDescent="0.25">
      <c r="A6105" t="s">
        <v>6111</v>
      </c>
      <c r="B6105">
        <v>68468</v>
      </c>
      <c r="C6105">
        <v>7892840823764</v>
      </c>
      <c r="D6105">
        <v>11.9</v>
      </c>
      <c r="E6105">
        <v>8.74</v>
      </c>
      <c r="F6105" s="3">
        <v>0.22539999999999999</v>
      </c>
      <c r="G6105">
        <v>8.1166</v>
      </c>
      <c r="H6105">
        <v>3.4</v>
      </c>
    </row>
    <row r="6106" spans="1:8" x14ac:dyDescent="0.25">
      <c r="A6106" t="s">
        <v>6112</v>
      </c>
      <c r="B6106">
        <v>56520</v>
      </c>
      <c r="C6106">
        <v>7892840822446</v>
      </c>
      <c r="D6106">
        <v>12.9</v>
      </c>
      <c r="E6106">
        <v>8.67</v>
      </c>
      <c r="F6106" s="3">
        <v>0.29260000000000003</v>
      </c>
      <c r="G6106">
        <v>7.9318</v>
      </c>
      <c r="H6106">
        <v>73.900000000000006</v>
      </c>
    </row>
    <row r="6107" spans="1:8" x14ac:dyDescent="0.25">
      <c r="A6107" t="s">
        <v>6113</v>
      </c>
      <c r="B6107">
        <v>65500</v>
      </c>
      <c r="C6107">
        <v>7892840822729</v>
      </c>
      <c r="D6107">
        <v>12.9</v>
      </c>
      <c r="E6107">
        <v>8.7100000000000009</v>
      </c>
      <c r="F6107" s="3">
        <v>0.2923</v>
      </c>
      <c r="G6107">
        <v>7.9363999999999999</v>
      </c>
      <c r="H6107">
        <v>13.433</v>
      </c>
    </row>
    <row r="6108" spans="1:8" x14ac:dyDescent="0.25">
      <c r="A6108" t="s">
        <v>6114</v>
      </c>
      <c r="B6108">
        <v>4614</v>
      </c>
      <c r="C6108">
        <v>7892840817916</v>
      </c>
      <c r="D6108">
        <v>19.899999999999999</v>
      </c>
      <c r="E6108">
        <v>13.44</v>
      </c>
      <c r="F6108" s="3">
        <v>0.28660000000000002</v>
      </c>
      <c r="G6108">
        <v>12.356299999999999</v>
      </c>
      <c r="H6108">
        <v>23.033000000000001</v>
      </c>
    </row>
    <row r="6109" spans="1:8" x14ac:dyDescent="0.25">
      <c r="A6109" t="s">
        <v>6115</v>
      </c>
      <c r="B6109">
        <v>4619</v>
      </c>
      <c r="C6109">
        <v>7892840818357</v>
      </c>
      <c r="D6109">
        <v>24.9</v>
      </c>
      <c r="E6109">
        <v>21.63</v>
      </c>
      <c r="F6109" s="3">
        <v>0.1193</v>
      </c>
      <c r="G6109">
        <v>19.625599999999999</v>
      </c>
      <c r="H6109">
        <v>0.63300000000000001</v>
      </c>
    </row>
    <row r="6110" spans="1:8" x14ac:dyDescent="0.25">
      <c r="A6110" t="s">
        <v>6116</v>
      </c>
      <c r="B6110">
        <v>4617</v>
      </c>
      <c r="C6110">
        <v>7892840822385</v>
      </c>
      <c r="D6110">
        <v>6.49</v>
      </c>
      <c r="E6110">
        <v>3.23</v>
      </c>
      <c r="F6110" s="3">
        <v>0.45829999999999999</v>
      </c>
      <c r="G6110">
        <v>2.915</v>
      </c>
      <c r="H6110">
        <v>23.567</v>
      </c>
    </row>
    <row r="6111" spans="1:8" x14ac:dyDescent="0.25">
      <c r="A6111" t="s">
        <v>6117</v>
      </c>
      <c r="B6111">
        <v>4600</v>
      </c>
      <c r="C6111">
        <v>7892840822392</v>
      </c>
      <c r="D6111">
        <v>4.49</v>
      </c>
      <c r="E6111">
        <v>3.23</v>
      </c>
      <c r="F6111" s="3">
        <v>0.25659999999999999</v>
      </c>
      <c r="G6111">
        <v>2.9224000000000001</v>
      </c>
      <c r="H6111">
        <v>4.1669999999999998</v>
      </c>
    </row>
    <row r="6112" spans="1:8" x14ac:dyDescent="0.25">
      <c r="A6112" t="s">
        <v>6118</v>
      </c>
      <c r="B6112">
        <v>4607</v>
      </c>
      <c r="C6112">
        <v>7892840822347</v>
      </c>
      <c r="D6112">
        <v>9.99</v>
      </c>
      <c r="E6112">
        <v>6.23</v>
      </c>
      <c r="F6112" s="3">
        <v>0.34119999999999995</v>
      </c>
      <c r="G6112">
        <v>5.6577000000000002</v>
      </c>
      <c r="H6112">
        <v>46.232999999999997</v>
      </c>
    </row>
    <row r="6113" spans="1:8" x14ac:dyDescent="0.25">
      <c r="A6113" t="s">
        <v>6119</v>
      </c>
      <c r="B6113">
        <v>55083</v>
      </c>
      <c r="C6113">
        <v>7896071024990</v>
      </c>
      <c r="D6113">
        <v>9.61</v>
      </c>
      <c r="E6113">
        <v>6.25</v>
      </c>
      <c r="F6113" s="3">
        <v>0.31829999999999997</v>
      </c>
      <c r="G6113">
        <v>5.6637000000000004</v>
      </c>
      <c r="H6113">
        <v>6.9329999999999998</v>
      </c>
    </row>
    <row r="6114" spans="1:8" x14ac:dyDescent="0.25">
      <c r="A6114" t="s">
        <v>6120</v>
      </c>
      <c r="B6114">
        <v>65502</v>
      </c>
      <c r="C6114">
        <v>7892840820060</v>
      </c>
      <c r="D6114">
        <v>9.99</v>
      </c>
      <c r="E6114">
        <v>6.28</v>
      </c>
      <c r="F6114" s="3">
        <v>0.3382</v>
      </c>
      <c r="G6114">
        <v>5.6868999999999996</v>
      </c>
      <c r="H6114">
        <v>8.0329999999999995</v>
      </c>
    </row>
    <row r="6115" spans="1:8" x14ac:dyDescent="0.25">
      <c r="A6115" t="s">
        <v>6121</v>
      </c>
      <c r="B6115">
        <v>67031</v>
      </c>
      <c r="C6115">
        <v>7892840822378</v>
      </c>
      <c r="D6115">
        <v>4.9000000000000004</v>
      </c>
      <c r="E6115">
        <v>3.05</v>
      </c>
      <c r="F6115" s="3">
        <v>0.35020000000000001</v>
      </c>
      <c r="G6115">
        <v>2.7309000000000001</v>
      </c>
      <c r="H6115">
        <v>9.3000000000000007</v>
      </c>
    </row>
    <row r="6116" spans="1:8" x14ac:dyDescent="0.25">
      <c r="A6116" t="s">
        <v>6122</v>
      </c>
      <c r="B6116">
        <v>67493</v>
      </c>
      <c r="C6116">
        <v>7892840823481</v>
      </c>
      <c r="D6116">
        <v>4.91</v>
      </c>
      <c r="E6116">
        <v>3.05</v>
      </c>
      <c r="F6116" s="3">
        <v>0.3478</v>
      </c>
      <c r="G6116">
        <v>2.7465000000000002</v>
      </c>
      <c r="H6116">
        <v>9.7330000000000005</v>
      </c>
    </row>
    <row r="6117" spans="1:8" x14ac:dyDescent="0.25">
      <c r="A6117" t="s">
        <v>6123</v>
      </c>
      <c r="B6117">
        <v>3977</v>
      </c>
      <c r="C6117">
        <v>7892840822903</v>
      </c>
      <c r="D6117">
        <v>11.9</v>
      </c>
      <c r="E6117">
        <v>8.52</v>
      </c>
      <c r="F6117" s="3">
        <v>0.2611</v>
      </c>
      <c r="G6117">
        <v>7.6923000000000004</v>
      </c>
      <c r="H6117">
        <v>33</v>
      </c>
    </row>
    <row r="6118" spans="1:8" x14ac:dyDescent="0.25">
      <c r="A6118" t="s">
        <v>6124</v>
      </c>
      <c r="B6118">
        <v>3980</v>
      </c>
      <c r="C6118">
        <v>7892840822910</v>
      </c>
      <c r="D6118">
        <v>11.9</v>
      </c>
      <c r="E6118">
        <v>8.52</v>
      </c>
      <c r="F6118" s="3">
        <v>0.26030000000000003</v>
      </c>
      <c r="G6118">
        <v>7.7020999999999997</v>
      </c>
      <c r="H6118">
        <v>14.132999999999999</v>
      </c>
    </row>
    <row r="6119" spans="1:8" x14ac:dyDescent="0.25">
      <c r="A6119" t="s">
        <v>6125</v>
      </c>
      <c r="B6119">
        <v>48759</v>
      </c>
      <c r="C6119">
        <v>7892840822934</v>
      </c>
      <c r="D6119">
        <v>16.899999999999999</v>
      </c>
      <c r="E6119">
        <v>12.96</v>
      </c>
      <c r="F6119" s="3">
        <v>0.222</v>
      </c>
      <c r="G6119">
        <v>11.5854</v>
      </c>
      <c r="H6119">
        <v>7.7</v>
      </c>
    </row>
    <row r="6120" spans="1:8" x14ac:dyDescent="0.25">
      <c r="A6120" t="s">
        <v>6126</v>
      </c>
      <c r="B6120">
        <v>3979</v>
      </c>
      <c r="C6120">
        <v>7892840822859</v>
      </c>
      <c r="D6120">
        <v>3.59</v>
      </c>
      <c r="E6120">
        <v>2.27</v>
      </c>
      <c r="F6120" s="3">
        <v>0.34399999999999997</v>
      </c>
      <c r="G6120">
        <v>2.0230999999999999</v>
      </c>
      <c r="H6120">
        <v>43.366999999999997</v>
      </c>
    </row>
    <row r="6121" spans="1:8" x14ac:dyDescent="0.25">
      <c r="A6121" t="s">
        <v>6127</v>
      </c>
      <c r="B6121">
        <v>3982</v>
      </c>
      <c r="C6121">
        <v>7892840822866</v>
      </c>
      <c r="D6121">
        <v>3.08</v>
      </c>
      <c r="E6121">
        <v>2.27</v>
      </c>
      <c r="F6121" s="3">
        <v>0.23260000000000003</v>
      </c>
      <c r="G6121">
        <v>2.077</v>
      </c>
      <c r="H6121">
        <v>22.632999999999999</v>
      </c>
    </row>
    <row r="6122" spans="1:8" x14ac:dyDescent="0.25">
      <c r="A6122" t="s">
        <v>6128</v>
      </c>
      <c r="B6122">
        <v>67016</v>
      </c>
      <c r="C6122">
        <v>7892840823061</v>
      </c>
      <c r="D6122">
        <v>4.99</v>
      </c>
      <c r="E6122">
        <v>3.56</v>
      </c>
      <c r="F6122" s="3">
        <v>0.26479999999999998</v>
      </c>
      <c r="G6122">
        <v>3.2069999999999999</v>
      </c>
      <c r="H6122">
        <v>16.233000000000001</v>
      </c>
    </row>
    <row r="6123" spans="1:8" x14ac:dyDescent="0.25">
      <c r="A6123" t="s">
        <v>6129</v>
      </c>
      <c r="B6123">
        <v>62385</v>
      </c>
      <c r="C6123">
        <v>7892840823405</v>
      </c>
      <c r="D6123">
        <v>12.9</v>
      </c>
      <c r="E6123">
        <v>8.68</v>
      </c>
      <c r="F6123" s="3">
        <v>0.28789999999999999</v>
      </c>
      <c r="G6123">
        <v>7.9930000000000003</v>
      </c>
      <c r="H6123">
        <v>65.933000000000007</v>
      </c>
    </row>
    <row r="6124" spans="1:8" x14ac:dyDescent="0.25">
      <c r="A6124" t="s">
        <v>6130</v>
      </c>
      <c r="B6124">
        <v>65018</v>
      </c>
      <c r="C6124">
        <v>7892840823412</v>
      </c>
      <c r="D6124">
        <v>12.9</v>
      </c>
      <c r="E6124">
        <v>8.67</v>
      </c>
      <c r="F6124" s="3">
        <v>0.29100000000000004</v>
      </c>
      <c r="G6124">
        <v>7.9527000000000001</v>
      </c>
      <c r="H6124">
        <v>51.4</v>
      </c>
    </row>
    <row r="6125" spans="1:8" x14ac:dyDescent="0.25">
      <c r="A6125" t="s">
        <v>6131</v>
      </c>
      <c r="B6125">
        <v>67012</v>
      </c>
      <c r="C6125">
        <v>7892840823436</v>
      </c>
      <c r="D6125">
        <v>14.9</v>
      </c>
      <c r="E6125">
        <v>9.69</v>
      </c>
      <c r="F6125" s="3">
        <v>0.316</v>
      </c>
      <c r="G6125">
        <v>8.8130000000000006</v>
      </c>
      <c r="H6125">
        <v>2.976</v>
      </c>
    </row>
    <row r="6126" spans="1:8" x14ac:dyDescent="0.25">
      <c r="A6126" t="s">
        <v>6132</v>
      </c>
      <c r="B6126">
        <v>48658</v>
      </c>
      <c r="C6126">
        <v>7892840823429</v>
      </c>
      <c r="D6126">
        <v>9.9</v>
      </c>
      <c r="E6126">
        <v>6.55</v>
      </c>
      <c r="F6126" s="3">
        <v>0.31</v>
      </c>
      <c r="G6126">
        <v>5.9151999999999996</v>
      </c>
      <c r="H6126">
        <v>8.2330000000000005</v>
      </c>
    </row>
    <row r="6127" spans="1:8" x14ac:dyDescent="0.25">
      <c r="A6127" t="s">
        <v>6133</v>
      </c>
      <c r="B6127">
        <v>67013</v>
      </c>
      <c r="C6127">
        <v>7892840823443</v>
      </c>
      <c r="D6127">
        <v>9.9</v>
      </c>
      <c r="E6127">
        <v>6.55</v>
      </c>
      <c r="F6127" s="3">
        <v>0.30840000000000001</v>
      </c>
      <c r="G6127">
        <v>5.9306999999999999</v>
      </c>
      <c r="H6127">
        <v>8.3000000000000007</v>
      </c>
    </row>
    <row r="6128" spans="1:8" x14ac:dyDescent="0.25">
      <c r="A6128" t="s">
        <v>6134</v>
      </c>
      <c r="B6128">
        <v>64779</v>
      </c>
      <c r="C6128">
        <v>31146215409</v>
      </c>
      <c r="D6128">
        <v>12.9</v>
      </c>
      <c r="E6128">
        <v>7.5</v>
      </c>
      <c r="F6128" s="3">
        <v>0.37990000000000002</v>
      </c>
      <c r="G6128">
        <v>6.806</v>
      </c>
      <c r="H6128">
        <v>0.86699999999999999</v>
      </c>
    </row>
    <row r="6129" spans="1:8" x14ac:dyDescent="0.25">
      <c r="A6129" t="s">
        <v>6135</v>
      </c>
      <c r="B6129">
        <v>23727</v>
      </c>
      <c r="C6129">
        <v>8801043216142</v>
      </c>
      <c r="D6129">
        <v>12.9</v>
      </c>
      <c r="E6129">
        <v>7.34</v>
      </c>
      <c r="F6129" s="3">
        <v>0.38880000000000003</v>
      </c>
      <c r="G6129">
        <v>6.6917999999999997</v>
      </c>
      <c r="H6129">
        <v>1.2330000000000001</v>
      </c>
    </row>
    <row r="6130" spans="1:8" x14ac:dyDescent="0.25">
      <c r="A6130" t="s">
        <v>6136</v>
      </c>
      <c r="B6130">
        <v>46276</v>
      </c>
      <c r="C6130">
        <v>31146215768</v>
      </c>
      <c r="D6130">
        <v>12.9</v>
      </c>
      <c r="E6130">
        <v>7.46</v>
      </c>
      <c r="F6130" s="3">
        <v>0.38250000000000001</v>
      </c>
      <c r="G6130">
        <v>6.7731000000000003</v>
      </c>
      <c r="H6130">
        <v>0.5</v>
      </c>
    </row>
    <row r="6131" spans="1:8" x14ac:dyDescent="0.25">
      <c r="A6131" t="s">
        <v>6137</v>
      </c>
      <c r="B6131">
        <v>14248</v>
      </c>
      <c r="C6131">
        <v>7896007802159</v>
      </c>
      <c r="D6131">
        <v>12.9</v>
      </c>
      <c r="E6131">
        <v>7.43</v>
      </c>
      <c r="F6131" s="3">
        <v>0.38429999999999997</v>
      </c>
      <c r="G6131">
        <v>6.7488999999999999</v>
      </c>
      <c r="H6131">
        <v>0.4</v>
      </c>
    </row>
    <row r="6132" spans="1:8" x14ac:dyDescent="0.25">
      <c r="A6132" t="s">
        <v>6138</v>
      </c>
      <c r="B6132">
        <v>31704</v>
      </c>
      <c r="C6132">
        <v>8801043216128</v>
      </c>
      <c r="D6132">
        <v>12.9</v>
      </c>
      <c r="E6132">
        <v>7.47</v>
      </c>
      <c r="F6132" s="3">
        <v>0.38060000000000005</v>
      </c>
      <c r="G6132">
        <v>6.7968000000000002</v>
      </c>
      <c r="H6132">
        <v>1.2669999999999999</v>
      </c>
    </row>
    <row r="6133" spans="1:8" x14ac:dyDescent="0.25">
      <c r="A6133" t="s">
        <v>6139</v>
      </c>
      <c r="B6133">
        <v>31705</v>
      </c>
      <c r="C6133">
        <v>8801043001786</v>
      </c>
      <c r="D6133">
        <v>12.9</v>
      </c>
      <c r="E6133">
        <v>7.49</v>
      </c>
      <c r="F6133" s="3">
        <v>0.38</v>
      </c>
      <c r="G6133">
        <v>6.8048999999999999</v>
      </c>
      <c r="H6133">
        <v>1.4330000000000001</v>
      </c>
    </row>
    <row r="6134" spans="1:8" x14ac:dyDescent="0.25">
      <c r="A6134" t="s">
        <v>6140</v>
      </c>
      <c r="B6134">
        <v>23725</v>
      </c>
      <c r="C6134">
        <v>8801043216210</v>
      </c>
      <c r="D6134">
        <v>12.9</v>
      </c>
      <c r="E6134">
        <v>7.5</v>
      </c>
      <c r="F6134" s="3">
        <v>0.38</v>
      </c>
      <c r="G6134">
        <v>6.8045</v>
      </c>
      <c r="H6134">
        <v>1.0669999999999999</v>
      </c>
    </row>
    <row r="6135" spans="1:8" x14ac:dyDescent="0.25">
      <c r="A6135" t="s">
        <v>6141</v>
      </c>
      <c r="B6135">
        <v>64780</v>
      </c>
      <c r="C6135">
        <v>8801043061308</v>
      </c>
      <c r="D6135">
        <v>15.9</v>
      </c>
      <c r="E6135">
        <v>9.5</v>
      </c>
      <c r="F6135" s="3">
        <v>0.36009999999999998</v>
      </c>
      <c r="G6135">
        <v>8.7037999999999993</v>
      </c>
      <c r="H6135">
        <v>0.6</v>
      </c>
    </row>
    <row r="6136" spans="1:8" x14ac:dyDescent="0.25">
      <c r="A6136" t="s">
        <v>6142</v>
      </c>
      <c r="B6136">
        <v>67221</v>
      </c>
      <c r="C6136">
        <v>7898176582320</v>
      </c>
      <c r="D6136">
        <v>10.9</v>
      </c>
      <c r="E6136">
        <v>6.88</v>
      </c>
      <c r="F6136" s="3">
        <v>0.33429999999999999</v>
      </c>
      <c r="G6136">
        <v>6.2474999999999996</v>
      </c>
      <c r="H6136">
        <v>0.76700000000000002</v>
      </c>
    </row>
    <row r="6137" spans="1:8" x14ac:dyDescent="0.25">
      <c r="A6137" t="s">
        <v>6143</v>
      </c>
      <c r="B6137">
        <v>67219</v>
      </c>
      <c r="C6137">
        <v>7898176582139</v>
      </c>
      <c r="D6137">
        <v>10.9</v>
      </c>
      <c r="E6137">
        <v>6.88</v>
      </c>
      <c r="F6137" s="3">
        <v>0.3342</v>
      </c>
      <c r="G6137">
        <v>6.2491000000000003</v>
      </c>
      <c r="H6137">
        <v>0.2</v>
      </c>
    </row>
    <row r="6138" spans="1:8" x14ac:dyDescent="0.25">
      <c r="A6138" t="s">
        <v>6144</v>
      </c>
      <c r="B6138">
        <v>67220</v>
      </c>
      <c r="C6138">
        <v>7898176582146</v>
      </c>
      <c r="D6138">
        <v>10.9</v>
      </c>
      <c r="E6138">
        <v>6.58</v>
      </c>
      <c r="F6138" s="3">
        <v>0.35719999999999996</v>
      </c>
      <c r="G6138">
        <v>5.9988000000000001</v>
      </c>
      <c r="H6138">
        <v>0.66700000000000004</v>
      </c>
    </row>
    <row r="6139" spans="1:8" x14ac:dyDescent="0.25">
      <c r="A6139" t="s">
        <v>6145</v>
      </c>
      <c r="B6139">
        <v>67222</v>
      </c>
      <c r="C6139">
        <v>7898176582337</v>
      </c>
      <c r="D6139">
        <v>10.9</v>
      </c>
      <c r="E6139">
        <v>6.88</v>
      </c>
      <c r="F6139" s="3">
        <v>0.33429999999999999</v>
      </c>
      <c r="G6139">
        <v>6.2473999999999998</v>
      </c>
      <c r="H6139">
        <v>0.6</v>
      </c>
    </row>
    <row r="6140" spans="1:8" x14ac:dyDescent="0.25">
      <c r="A6140" t="s">
        <v>6146</v>
      </c>
      <c r="B6140">
        <v>4005</v>
      </c>
      <c r="C6140">
        <v>7896496972340</v>
      </c>
      <c r="D6140">
        <v>7.99</v>
      </c>
      <c r="E6140">
        <v>5.32</v>
      </c>
      <c r="F6140" s="3">
        <v>0.3029</v>
      </c>
      <c r="G6140">
        <v>4.8310000000000004</v>
      </c>
      <c r="H6140">
        <v>7.2</v>
      </c>
    </row>
    <row r="6141" spans="1:8" x14ac:dyDescent="0.25">
      <c r="A6141" t="s">
        <v>6147</v>
      </c>
      <c r="B6141">
        <v>4006</v>
      </c>
      <c r="C6141">
        <v>7896496972326</v>
      </c>
      <c r="D6141">
        <v>7.99</v>
      </c>
      <c r="E6141">
        <v>5.32</v>
      </c>
      <c r="F6141" s="3">
        <v>0.3029</v>
      </c>
      <c r="G6141">
        <v>4.8308999999999997</v>
      </c>
      <c r="H6141">
        <v>6.633</v>
      </c>
    </row>
    <row r="6142" spans="1:8" x14ac:dyDescent="0.25">
      <c r="A6142" t="s">
        <v>6148</v>
      </c>
      <c r="B6142">
        <v>65516</v>
      </c>
      <c r="C6142">
        <v>7891150094857</v>
      </c>
      <c r="D6142">
        <v>7.99</v>
      </c>
      <c r="E6142">
        <v>5.32</v>
      </c>
      <c r="F6142" s="3">
        <v>0.3029</v>
      </c>
      <c r="G6142">
        <v>4.8311000000000002</v>
      </c>
      <c r="H6142">
        <v>5.867</v>
      </c>
    </row>
    <row r="6143" spans="1:8" x14ac:dyDescent="0.25">
      <c r="A6143" t="s">
        <v>6149</v>
      </c>
      <c r="B6143">
        <v>4438</v>
      </c>
      <c r="C6143">
        <v>7892840823146</v>
      </c>
      <c r="D6143">
        <v>9.9</v>
      </c>
      <c r="E6143">
        <v>6.45</v>
      </c>
      <c r="F6143" s="3">
        <v>0.32130000000000003</v>
      </c>
      <c r="G6143">
        <v>5.8029000000000002</v>
      </c>
      <c r="H6143">
        <v>6.3</v>
      </c>
    </row>
    <row r="6144" spans="1:8" x14ac:dyDescent="0.25">
      <c r="A6144" t="s">
        <v>6150</v>
      </c>
      <c r="B6144">
        <v>67024</v>
      </c>
      <c r="C6144">
        <v>7892840823108</v>
      </c>
      <c r="D6144">
        <v>9.9</v>
      </c>
      <c r="E6144">
        <v>6.51</v>
      </c>
      <c r="F6144" s="3">
        <v>0.31980000000000003</v>
      </c>
      <c r="G6144">
        <v>5.8186</v>
      </c>
      <c r="H6144">
        <v>9.6999999999999993</v>
      </c>
    </row>
    <row r="6145" spans="1:8" x14ac:dyDescent="0.25">
      <c r="A6145" t="s">
        <v>6151</v>
      </c>
      <c r="B6145">
        <v>67019</v>
      </c>
      <c r="C6145">
        <v>7892840822828</v>
      </c>
      <c r="D6145">
        <v>1.99</v>
      </c>
      <c r="E6145">
        <v>1.32</v>
      </c>
      <c r="F6145" s="3">
        <v>0.29909999999999998</v>
      </c>
      <c r="G6145">
        <v>1.2107000000000001</v>
      </c>
      <c r="H6145">
        <v>18.3</v>
      </c>
    </row>
    <row r="6146" spans="1:8" x14ac:dyDescent="0.25">
      <c r="A6146" t="s">
        <v>6152</v>
      </c>
      <c r="B6146">
        <v>67025</v>
      </c>
      <c r="C6146">
        <v>7892840823092</v>
      </c>
      <c r="D6146">
        <v>4.9000000000000004</v>
      </c>
      <c r="E6146">
        <v>3.35</v>
      </c>
      <c r="F6146" s="3">
        <v>0.28749999999999998</v>
      </c>
      <c r="G6146">
        <v>3.0377999999999998</v>
      </c>
      <c r="H6146">
        <v>7.5670000000000002</v>
      </c>
    </row>
    <row r="6147" spans="1:8" x14ac:dyDescent="0.25">
      <c r="A6147" t="s">
        <v>6153</v>
      </c>
      <c r="B6147">
        <v>67530</v>
      </c>
      <c r="C6147">
        <v>7892840823078</v>
      </c>
      <c r="D6147">
        <v>4.9000000000000004</v>
      </c>
      <c r="E6147">
        <v>3.27</v>
      </c>
      <c r="F6147" s="3">
        <v>0.30199999999999999</v>
      </c>
      <c r="G6147">
        <v>2.9670999999999998</v>
      </c>
      <c r="H6147">
        <v>12.067</v>
      </c>
    </row>
    <row r="6148" spans="1:8" x14ac:dyDescent="0.25">
      <c r="A6148" t="s">
        <v>6154</v>
      </c>
      <c r="B6148">
        <v>12985</v>
      </c>
      <c r="C6148">
        <v>7896004009155</v>
      </c>
      <c r="D6148">
        <v>12.99</v>
      </c>
      <c r="E6148">
        <v>8.4</v>
      </c>
      <c r="F6148" s="3">
        <v>0.33880000000000005</v>
      </c>
      <c r="G6148">
        <v>7.3874000000000004</v>
      </c>
      <c r="H6148">
        <v>75.832999999999998</v>
      </c>
    </row>
    <row r="6149" spans="1:8" x14ac:dyDescent="0.25">
      <c r="A6149" t="s">
        <v>6155</v>
      </c>
      <c r="B6149">
        <v>65725</v>
      </c>
      <c r="C6149">
        <v>7896004008998</v>
      </c>
      <c r="D6149">
        <v>12.99</v>
      </c>
      <c r="E6149">
        <v>10.67</v>
      </c>
      <c r="F6149" s="3">
        <v>0.16190000000000002</v>
      </c>
      <c r="G6149">
        <v>9.6850000000000005</v>
      </c>
      <c r="H6149">
        <v>9.4329999999999998</v>
      </c>
    </row>
    <row r="6150" spans="1:8" x14ac:dyDescent="0.25">
      <c r="A6150" t="s">
        <v>6156</v>
      </c>
      <c r="B6150">
        <v>69469</v>
      </c>
      <c r="C6150">
        <v>7896004010465</v>
      </c>
      <c r="D6150">
        <v>12.99</v>
      </c>
      <c r="E6150">
        <v>10.67</v>
      </c>
      <c r="F6150" s="3">
        <v>0.16190000000000002</v>
      </c>
      <c r="G6150">
        <v>9.6851000000000003</v>
      </c>
      <c r="H6150">
        <v>17.463000000000001</v>
      </c>
    </row>
    <row r="6151" spans="1:8" x14ac:dyDescent="0.25">
      <c r="A6151" t="s">
        <v>6157</v>
      </c>
      <c r="B6151">
        <v>69470</v>
      </c>
      <c r="C6151">
        <v>7896004010618</v>
      </c>
      <c r="D6151">
        <v>12.99</v>
      </c>
      <c r="E6151">
        <v>10.67</v>
      </c>
      <c r="F6151" s="3">
        <v>0.16190000000000002</v>
      </c>
      <c r="G6151">
        <v>9.6851000000000003</v>
      </c>
      <c r="H6151">
        <v>2</v>
      </c>
    </row>
    <row r="6152" spans="1:8" x14ac:dyDescent="0.25">
      <c r="A6152" t="s">
        <v>6158</v>
      </c>
      <c r="B6152">
        <v>69472</v>
      </c>
      <c r="C6152">
        <v>7896004010625</v>
      </c>
      <c r="D6152">
        <v>12.99</v>
      </c>
      <c r="E6152">
        <v>10.67</v>
      </c>
      <c r="F6152" s="3">
        <v>0.16190000000000002</v>
      </c>
      <c r="G6152">
        <v>9.6851000000000003</v>
      </c>
      <c r="H6152">
        <v>2.75</v>
      </c>
    </row>
    <row r="6153" spans="1:8" x14ac:dyDescent="0.25">
      <c r="A6153" t="s">
        <v>6159</v>
      </c>
      <c r="B6153">
        <v>69474</v>
      </c>
      <c r="C6153">
        <v>7896004010632</v>
      </c>
      <c r="D6153">
        <v>12.99</v>
      </c>
      <c r="E6153">
        <v>10.67</v>
      </c>
      <c r="F6153" s="3">
        <v>0.16190000000000002</v>
      </c>
      <c r="G6153">
        <v>9.6851000000000003</v>
      </c>
      <c r="H6153">
        <v>5.3330000000000002</v>
      </c>
    </row>
    <row r="6154" spans="1:8" x14ac:dyDescent="0.25">
      <c r="A6154" t="s">
        <v>6160</v>
      </c>
      <c r="B6154">
        <v>61834</v>
      </c>
      <c r="C6154">
        <v>7896004006956</v>
      </c>
      <c r="D6154">
        <v>12.99</v>
      </c>
      <c r="E6154">
        <v>9.3800000000000008</v>
      </c>
      <c r="F6154" s="3">
        <v>0.29210000000000003</v>
      </c>
      <c r="G6154">
        <v>7.9942000000000002</v>
      </c>
      <c r="H6154">
        <v>17.867000000000001</v>
      </c>
    </row>
    <row r="6155" spans="1:8" x14ac:dyDescent="0.25">
      <c r="A6155" t="s">
        <v>6161</v>
      </c>
      <c r="B6155">
        <v>14058</v>
      </c>
      <c r="C6155">
        <v>7896004006475</v>
      </c>
      <c r="D6155">
        <v>12.91</v>
      </c>
      <c r="E6155">
        <v>9.1</v>
      </c>
      <c r="F6155" s="3">
        <v>0.27260000000000001</v>
      </c>
      <c r="G6155">
        <v>8.1981000000000002</v>
      </c>
      <c r="H6155">
        <v>50.633000000000003</v>
      </c>
    </row>
    <row r="6156" spans="1:8" x14ac:dyDescent="0.25">
      <c r="A6156" t="s">
        <v>6162</v>
      </c>
      <c r="B6156">
        <v>12984</v>
      </c>
      <c r="C6156">
        <v>7896004006499</v>
      </c>
      <c r="D6156">
        <v>12.99</v>
      </c>
      <c r="E6156">
        <v>9.99</v>
      </c>
      <c r="F6156" s="3">
        <v>0.2112</v>
      </c>
      <c r="G6156">
        <v>9.0449999999999999</v>
      </c>
      <c r="H6156">
        <v>26.367000000000001</v>
      </c>
    </row>
    <row r="6157" spans="1:8" x14ac:dyDescent="0.25">
      <c r="A6157" t="s">
        <v>6163</v>
      </c>
      <c r="B6157">
        <v>68019</v>
      </c>
      <c r="C6157">
        <v>7896004010304</v>
      </c>
      <c r="D6157">
        <v>16.899999999999999</v>
      </c>
      <c r="E6157">
        <v>11.27</v>
      </c>
      <c r="F6157" s="3">
        <v>0.30210000000000004</v>
      </c>
      <c r="G6157">
        <v>10.230499999999999</v>
      </c>
      <c r="H6157">
        <v>12.6</v>
      </c>
    </row>
    <row r="6158" spans="1:8" x14ac:dyDescent="0.25">
      <c r="A6158" t="s">
        <v>6164</v>
      </c>
      <c r="B6158">
        <v>67581</v>
      </c>
      <c r="C6158">
        <v>7896004010137</v>
      </c>
      <c r="D6158">
        <v>13.9</v>
      </c>
      <c r="E6158">
        <v>10.67</v>
      </c>
      <c r="F6158" s="3">
        <v>0.2107</v>
      </c>
      <c r="G6158">
        <v>9.6851000000000003</v>
      </c>
      <c r="H6158">
        <v>8.6999999999999993</v>
      </c>
    </row>
    <row r="6159" spans="1:8" x14ac:dyDescent="0.25">
      <c r="A6159" t="s">
        <v>6165</v>
      </c>
      <c r="B6159">
        <v>67580</v>
      </c>
      <c r="C6159">
        <v>7896004010144</v>
      </c>
      <c r="D6159">
        <v>13.9</v>
      </c>
      <c r="E6159">
        <v>10.67</v>
      </c>
      <c r="F6159" s="3">
        <v>0.2107</v>
      </c>
      <c r="G6159">
        <v>9.6850000000000005</v>
      </c>
      <c r="H6159">
        <v>9.7330000000000005</v>
      </c>
    </row>
    <row r="6160" spans="1:8" x14ac:dyDescent="0.25">
      <c r="A6160" t="s">
        <v>6166</v>
      </c>
      <c r="B6160">
        <v>66755</v>
      </c>
      <c r="C6160">
        <v>7892840822040</v>
      </c>
      <c r="D6160">
        <v>12.9</v>
      </c>
      <c r="E6160">
        <v>8.02</v>
      </c>
      <c r="F6160" s="3">
        <v>0.34139999999999998</v>
      </c>
      <c r="G6160">
        <v>7.3026</v>
      </c>
      <c r="H6160">
        <v>5.7329999999999997</v>
      </c>
    </row>
    <row r="6161" spans="1:8" x14ac:dyDescent="0.25">
      <c r="A6161" t="s">
        <v>6167</v>
      </c>
      <c r="B6161">
        <v>4620</v>
      </c>
      <c r="C6161">
        <v>7892840818159</v>
      </c>
      <c r="D6161">
        <v>14.9</v>
      </c>
      <c r="E6161">
        <v>8.1199999999999992</v>
      </c>
      <c r="F6161" s="3">
        <v>0.40749999999999997</v>
      </c>
      <c r="G6161">
        <v>7.4504000000000001</v>
      </c>
      <c r="H6161">
        <v>16.067</v>
      </c>
    </row>
    <row r="6162" spans="1:8" x14ac:dyDescent="0.25">
      <c r="A6162" t="s">
        <v>6168</v>
      </c>
      <c r="B6162">
        <v>67010</v>
      </c>
      <c r="C6162">
        <v>7892840818142</v>
      </c>
      <c r="D6162">
        <v>14.9</v>
      </c>
      <c r="E6162">
        <v>8.17</v>
      </c>
      <c r="F6162" s="3">
        <v>0.40270000000000006</v>
      </c>
      <c r="G6162">
        <v>7.5217000000000001</v>
      </c>
      <c r="H6162">
        <v>5.9669999999999996</v>
      </c>
    </row>
    <row r="6163" spans="1:8" x14ac:dyDescent="0.25">
      <c r="A6163" t="s">
        <v>6169</v>
      </c>
      <c r="B6163">
        <v>4624</v>
      </c>
      <c r="C6163">
        <v>7892840817978</v>
      </c>
      <c r="D6163">
        <v>14.9</v>
      </c>
      <c r="E6163">
        <v>8.07</v>
      </c>
      <c r="F6163" s="3">
        <v>0.40720000000000001</v>
      </c>
      <c r="G6163">
        <v>7.4549000000000003</v>
      </c>
      <c r="H6163">
        <v>22.5</v>
      </c>
    </row>
    <row r="6164" spans="1:8" x14ac:dyDescent="0.25">
      <c r="A6164" t="s">
        <v>6170</v>
      </c>
      <c r="B6164">
        <v>67011</v>
      </c>
      <c r="C6164">
        <v>7892840823016</v>
      </c>
      <c r="D6164">
        <v>19.899999999999999</v>
      </c>
      <c r="E6164">
        <v>13.36</v>
      </c>
      <c r="F6164" s="3">
        <v>0.2898</v>
      </c>
      <c r="G6164">
        <v>12.2928</v>
      </c>
      <c r="H6164">
        <v>4.633</v>
      </c>
    </row>
    <row r="6165" spans="1:8" x14ac:dyDescent="0.25">
      <c r="A6165" t="s">
        <v>6171</v>
      </c>
      <c r="B6165">
        <v>62134</v>
      </c>
      <c r="C6165">
        <v>7892840823023</v>
      </c>
      <c r="D6165">
        <v>19.899999999999999</v>
      </c>
      <c r="E6165">
        <v>13.36</v>
      </c>
      <c r="F6165" s="3">
        <v>0.29039999999999999</v>
      </c>
      <c r="G6165">
        <v>12.280900000000001</v>
      </c>
      <c r="H6165">
        <v>6.9329999999999998</v>
      </c>
    </row>
    <row r="6166" spans="1:8" x14ac:dyDescent="0.25">
      <c r="A6166" t="s">
        <v>6172</v>
      </c>
      <c r="B6166">
        <v>67948</v>
      </c>
      <c r="C6166">
        <v>7892840823542</v>
      </c>
      <c r="D6166">
        <v>4.49</v>
      </c>
      <c r="E6166">
        <v>3.16</v>
      </c>
      <c r="F6166" s="3">
        <v>0.28439999999999999</v>
      </c>
      <c r="G6166">
        <v>2.7976999999999999</v>
      </c>
      <c r="H6166">
        <v>2.9670000000000001</v>
      </c>
    </row>
    <row r="6167" spans="1:8" x14ac:dyDescent="0.25">
      <c r="A6167" t="s">
        <v>6173</v>
      </c>
      <c r="B6167">
        <v>12962</v>
      </c>
      <c r="C6167">
        <v>7892840823009</v>
      </c>
      <c r="D6167">
        <v>5.87</v>
      </c>
      <c r="E6167">
        <v>3.24</v>
      </c>
      <c r="F6167" s="3">
        <v>0.4078</v>
      </c>
      <c r="G6167">
        <v>2.9312</v>
      </c>
      <c r="H6167">
        <v>7.4329999999999998</v>
      </c>
    </row>
    <row r="6168" spans="1:8" x14ac:dyDescent="0.25">
      <c r="A6168" t="s">
        <v>6174</v>
      </c>
      <c r="B6168">
        <v>12965</v>
      </c>
      <c r="C6168">
        <v>7892840822958</v>
      </c>
      <c r="D6168">
        <v>5.99</v>
      </c>
      <c r="E6168">
        <v>3.24</v>
      </c>
      <c r="F6168" s="3">
        <v>0.42729999999999996</v>
      </c>
      <c r="G6168">
        <v>2.8761000000000001</v>
      </c>
      <c r="H6168">
        <v>8.2669999999999995</v>
      </c>
    </row>
    <row r="6169" spans="1:8" x14ac:dyDescent="0.25">
      <c r="A6169" t="s">
        <v>6175</v>
      </c>
      <c r="B6169">
        <v>36622</v>
      </c>
      <c r="C6169">
        <v>7892840822972</v>
      </c>
      <c r="D6169">
        <v>5.99</v>
      </c>
      <c r="E6169">
        <v>3.24</v>
      </c>
      <c r="F6169" s="3">
        <v>0.43090000000000006</v>
      </c>
      <c r="G6169">
        <v>2.855</v>
      </c>
      <c r="H6169">
        <v>20.766999999999999</v>
      </c>
    </row>
    <row r="6170" spans="1:8" x14ac:dyDescent="0.25">
      <c r="A6170" t="s">
        <v>6176</v>
      </c>
      <c r="B6170">
        <v>67496</v>
      </c>
      <c r="C6170">
        <v>7892840823559</v>
      </c>
      <c r="D6170">
        <v>8.99</v>
      </c>
      <c r="E6170">
        <v>5.9</v>
      </c>
      <c r="F6170" s="3">
        <v>0.31209999999999999</v>
      </c>
      <c r="G6170">
        <v>5.3529</v>
      </c>
      <c r="H6170">
        <v>3.8</v>
      </c>
    </row>
    <row r="6171" spans="1:8" x14ac:dyDescent="0.25">
      <c r="A6171" t="s">
        <v>6177</v>
      </c>
      <c r="B6171">
        <v>3984</v>
      </c>
      <c r="C6171">
        <v>7892840823030</v>
      </c>
      <c r="D6171">
        <v>8.99</v>
      </c>
      <c r="E6171">
        <v>5.92</v>
      </c>
      <c r="F6171" s="3">
        <v>0.31059999999999999</v>
      </c>
      <c r="G6171">
        <v>5.3662999999999998</v>
      </c>
      <c r="H6171">
        <v>8.6</v>
      </c>
    </row>
    <row r="6172" spans="1:8" x14ac:dyDescent="0.25">
      <c r="A6172" t="s">
        <v>6178</v>
      </c>
      <c r="B6172">
        <v>3987</v>
      </c>
      <c r="C6172">
        <v>7892840823047</v>
      </c>
      <c r="D6172">
        <v>8.99</v>
      </c>
      <c r="E6172">
        <v>5.92</v>
      </c>
      <c r="F6172" s="3">
        <v>0.31090000000000001</v>
      </c>
      <c r="G6172">
        <v>5.3636999999999997</v>
      </c>
      <c r="H6172">
        <v>10.199999999999999</v>
      </c>
    </row>
    <row r="6173" spans="1:8" x14ac:dyDescent="0.25">
      <c r="A6173" t="s">
        <v>6179</v>
      </c>
      <c r="B6173">
        <v>3997</v>
      </c>
      <c r="C6173">
        <v>7892840823054</v>
      </c>
      <c r="D6173">
        <v>8.99</v>
      </c>
      <c r="E6173">
        <v>5.91</v>
      </c>
      <c r="F6173" s="3">
        <v>0.31059999999999999</v>
      </c>
      <c r="G6173">
        <v>5.3658999999999999</v>
      </c>
      <c r="H6173">
        <v>24.033000000000001</v>
      </c>
    </row>
    <row r="6174" spans="1:8" x14ac:dyDescent="0.25">
      <c r="A6174" t="s">
        <v>6180</v>
      </c>
      <c r="B6174">
        <v>67026</v>
      </c>
      <c r="C6174">
        <v>7892840822613</v>
      </c>
      <c r="D6174">
        <v>9.9</v>
      </c>
      <c r="E6174">
        <v>6.47</v>
      </c>
      <c r="F6174" s="3">
        <v>0.32020000000000004</v>
      </c>
      <c r="G6174">
        <v>5.8140000000000001</v>
      </c>
      <c r="H6174">
        <v>20.667000000000002</v>
      </c>
    </row>
    <row r="6175" spans="1:8" x14ac:dyDescent="0.25">
      <c r="A6175" t="s">
        <v>6181</v>
      </c>
      <c r="B6175">
        <v>3975</v>
      </c>
      <c r="C6175">
        <v>7892840822583</v>
      </c>
      <c r="D6175">
        <v>7.9</v>
      </c>
      <c r="E6175">
        <v>3.25</v>
      </c>
      <c r="F6175" s="3">
        <v>0.5333</v>
      </c>
      <c r="G6175">
        <v>2.9563000000000001</v>
      </c>
      <c r="H6175">
        <v>9.6999999999999993</v>
      </c>
    </row>
    <row r="6176" spans="1:8" x14ac:dyDescent="0.25">
      <c r="A6176" t="s">
        <v>6182</v>
      </c>
      <c r="B6176">
        <v>66440</v>
      </c>
      <c r="C6176">
        <v>7896002311748</v>
      </c>
      <c r="D6176">
        <v>4.99</v>
      </c>
      <c r="E6176">
        <v>3.88</v>
      </c>
      <c r="F6176" s="3">
        <v>0.20190000000000002</v>
      </c>
      <c r="G6176">
        <v>3.5211000000000001</v>
      </c>
      <c r="H6176">
        <v>4.9669999999999996</v>
      </c>
    </row>
    <row r="6177" spans="1:8" x14ac:dyDescent="0.25">
      <c r="A6177" t="s">
        <v>6183</v>
      </c>
      <c r="B6177">
        <v>66442</v>
      </c>
      <c r="C6177">
        <v>7896002311762</v>
      </c>
      <c r="D6177">
        <v>4.99</v>
      </c>
      <c r="E6177">
        <v>3.88</v>
      </c>
      <c r="F6177" s="3">
        <v>0.20180000000000001</v>
      </c>
      <c r="G6177">
        <v>3.5211999999999999</v>
      </c>
      <c r="H6177">
        <v>5.7</v>
      </c>
    </row>
    <row r="6178" spans="1:8" x14ac:dyDescent="0.25">
      <c r="A6178" t="s">
        <v>6184</v>
      </c>
      <c r="B6178">
        <v>66441</v>
      </c>
      <c r="C6178">
        <v>7896002311755</v>
      </c>
      <c r="D6178">
        <v>4.99</v>
      </c>
      <c r="E6178">
        <v>3.88</v>
      </c>
      <c r="F6178" s="3">
        <v>0.20190000000000002</v>
      </c>
      <c r="G6178">
        <v>3.5211999999999999</v>
      </c>
      <c r="H6178">
        <v>4.4000000000000004</v>
      </c>
    </row>
    <row r="6179" spans="1:8" x14ac:dyDescent="0.25">
      <c r="A6179" t="s">
        <v>6185</v>
      </c>
      <c r="B6179">
        <v>66443</v>
      </c>
      <c r="C6179">
        <v>7896002311779</v>
      </c>
      <c r="D6179">
        <v>6.98</v>
      </c>
      <c r="E6179">
        <v>6.96</v>
      </c>
      <c r="F6179" s="3">
        <v>2.7000000000000001E-3</v>
      </c>
      <c r="G6179">
        <v>6.3152999999999997</v>
      </c>
      <c r="H6179">
        <v>5.133</v>
      </c>
    </row>
    <row r="6180" spans="1:8" x14ac:dyDescent="0.25">
      <c r="A6180" t="s">
        <v>6186</v>
      </c>
      <c r="B6180">
        <v>66445</v>
      </c>
      <c r="C6180">
        <v>7896002311793</v>
      </c>
      <c r="D6180">
        <v>6.98</v>
      </c>
      <c r="E6180">
        <v>6.96</v>
      </c>
      <c r="F6180" s="3">
        <v>2.7000000000000001E-3</v>
      </c>
      <c r="G6180">
        <v>6.3152999999999997</v>
      </c>
      <c r="H6180">
        <v>3.9329999999999998</v>
      </c>
    </row>
    <row r="6181" spans="1:8" x14ac:dyDescent="0.25">
      <c r="A6181" t="s">
        <v>6187</v>
      </c>
      <c r="B6181">
        <v>66444</v>
      </c>
      <c r="C6181">
        <v>7896002311786</v>
      </c>
      <c r="D6181">
        <v>6.98</v>
      </c>
      <c r="E6181">
        <v>6.96</v>
      </c>
      <c r="F6181" s="3">
        <v>2.7000000000000001E-3</v>
      </c>
      <c r="G6181">
        <v>6.3156999999999996</v>
      </c>
      <c r="H6181">
        <v>4.1669999999999998</v>
      </c>
    </row>
    <row r="6182" spans="1:8" x14ac:dyDescent="0.25">
      <c r="A6182" t="s">
        <v>6188</v>
      </c>
      <c r="B6182">
        <v>12971</v>
      </c>
      <c r="C6182">
        <v>7896341130260</v>
      </c>
      <c r="D6182">
        <v>4.99</v>
      </c>
      <c r="E6182">
        <v>3.28</v>
      </c>
      <c r="F6182" s="3">
        <v>0.32429999999999998</v>
      </c>
      <c r="G6182">
        <v>2.9102999999999999</v>
      </c>
      <c r="H6182">
        <v>14.433</v>
      </c>
    </row>
    <row r="6183" spans="1:8" x14ac:dyDescent="0.25">
      <c r="A6183" t="s">
        <v>6189</v>
      </c>
      <c r="B6183">
        <v>12969</v>
      </c>
      <c r="C6183">
        <v>7896341130253</v>
      </c>
      <c r="D6183">
        <v>4.99</v>
      </c>
      <c r="E6183">
        <v>3.39</v>
      </c>
      <c r="F6183" s="3">
        <v>0.31109999999999999</v>
      </c>
      <c r="G6183">
        <v>2.9761000000000002</v>
      </c>
      <c r="H6183">
        <v>9.1669999999999998</v>
      </c>
    </row>
    <row r="6184" spans="1:8" x14ac:dyDescent="0.25">
      <c r="A6184" t="s">
        <v>6190</v>
      </c>
      <c r="B6184">
        <v>12973</v>
      </c>
      <c r="C6184">
        <v>7896341130291</v>
      </c>
      <c r="D6184">
        <v>4.99</v>
      </c>
      <c r="E6184">
        <v>3.35</v>
      </c>
      <c r="F6184" s="3">
        <v>0.27390000000000003</v>
      </c>
      <c r="G6184">
        <v>3.1617000000000002</v>
      </c>
      <c r="H6184">
        <v>15.6</v>
      </c>
    </row>
    <row r="6185" spans="1:8" x14ac:dyDescent="0.25">
      <c r="A6185" t="s">
        <v>6191</v>
      </c>
      <c r="B6185">
        <v>14004</v>
      </c>
      <c r="C6185">
        <v>7896341130277</v>
      </c>
      <c r="D6185">
        <v>4.99</v>
      </c>
      <c r="E6185">
        <v>3.28</v>
      </c>
      <c r="F6185" s="3">
        <v>0.31629999999999997</v>
      </c>
      <c r="G6185">
        <v>2.95</v>
      </c>
      <c r="H6185">
        <v>15.4</v>
      </c>
    </row>
    <row r="6186" spans="1:8" x14ac:dyDescent="0.25">
      <c r="A6186" t="s">
        <v>6192</v>
      </c>
      <c r="B6186">
        <v>63194</v>
      </c>
      <c r="C6186">
        <v>7892840820619</v>
      </c>
      <c r="D6186">
        <v>4.99</v>
      </c>
      <c r="E6186">
        <v>3.34</v>
      </c>
      <c r="F6186" s="3">
        <v>0.2984</v>
      </c>
      <c r="G6186">
        <v>3.0396000000000001</v>
      </c>
      <c r="H6186">
        <v>5.6</v>
      </c>
    </row>
    <row r="6187" spans="1:8" x14ac:dyDescent="0.25">
      <c r="A6187" t="s">
        <v>6193</v>
      </c>
      <c r="B6187">
        <v>67497</v>
      </c>
      <c r="C6187">
        <v>7892840823580</v>
      </c>
      <c r="D6187">
        <v>8.99</v>
      </c>
      <c r="E6187">
        <v>6.01</v>
      </c>
      <c r="F6187" s="3">
        <v>0.30049999999999999</v>
      </c>
      <c r="G6187">
        <v>5.4569000000000001</v>
      </c>
      <c r="H6187">
        <v>6.5330000000000004</v>
      </c>
    </row>
    <row r="6188" spans="1:8" x14ac:dyDescent="0.25">
      <c r="A6188" t="s">
        <v>6194</v>
      </c>
      <c r="B6188">
        <v>67498</v>
      </c>
      <c r="C6188">
        <v>7892840823566</v>
      </c>
      <c r="D6188">
        <v>8.99</v>
      </c>
      <c r="E6188">
        <v>6.03</v>
      </c>
      <c r="F6188" s="3">
        <v>0.29749999999999999</v>
      </c>
      <c r="G6188">
        <v>5.4840999999999998</v>
      </c>
      <c r="H6188">
        <v>22.3</v>
      </c>
    </row>
    <row r="6189" spans="1:8" x14ac:dyDescent="0.25">
      <c r="A6189" t="s">
        <v>6195</v>
      </c>
      <c r="B6189">
        <v>67499</v>
      </c>
      <c r="C6189">
        <v>7892840823597</v>
      </c>
      <c r="D6189">
        <v>18.899999999999999</v>
      </c>
      <c r="E6189">
        <v>13.33</v>
      </c>
      <c r="F6189" s="3">
        <v>0.27279999999999999</v>
      </c>
      <c r="G6189">
        <v>11.995799999999999</v>
      </c>
      <c r="H6189">
        <v>2.6669999999999998</v>
      </c>
    </row>
    <row r="6190" spans="1:8" x14ac:dyDescent="0.25">
      <c r="A6190" t="s">
        <v>6196</v>
      </c>
      <c r="B6190">
        <v>67500</v>
      </c>
      <c r="C6190">
        <v>7892840823573</v>
      </c>
      <c r="D6190">
        <v>19.899999999999999</v>
      </c>
      <c r="E6190">
        <v>13.33</v>
      </c>
      <c r="F6190" s="3">
        <v>0.29980000000000001</v>
      </c>
      <c r="G6190">
        <v>12.093299999999999</v>
      </c>
      <c r="H6190">
        <v>2.633</v>
      </c>
    </row>
    <row r="6191" spans="1:8" x14ac:dyDescent="0.25">
      <c r="A6191" t="s">
        <v>6197</v>
      </c>
      <c r="B6191">
        <v>26287</v>
      </c>
      <c r="C6191">
        <v>7898629611348</v>
      </c>
      <c r="D6191">
        <v>6.49</v>
      </c>
      <c r="E6191">
        <v>2.5</v>
      </c>
      <c r="F6191" s="3">
        <v>0.55789999999999995</v>
      </c>
      <c r="G6191">
        <v>2.2688000000000001</v>
      </c>
      <c r="H6191">
        <v>11.167</v>
      </c>
    </row>
    <row r="6192" spans="1:8" x14ac:dyDescent="0.25">
      <c r="A6192" t="s">
        <v>6198</v>
      </c>
      <c r="B6192">
        <v>26285</v>
      </c>
      <c r="C6192">
        <v>7898629611362</v>
      </c>
      <c r="D6192">
        <v>6.49</v>
      </c>
      <c r="E6192">
        <v>2.7</v>
      </c>
      <c r="F6192" s="3">
        <v>0.53</v>
      </c>
      <c r="G6192">
        <v>2.4502999999999999</v>
      </c>
      <c r="H6192">
        <v>5.6</v>
      </c>
    </row>
    <row r="6193" spans="1:8" x14ac:dyDescent="0.25">
      <c r="A6193" t="s">
        <v>6199</v>
      </c>
      <c r="B6193">
        <v>26286</v>
      </c>
      <c r="C6193">
        <v>7898629611355</v>
      </c>
      <c r="D6193">
        <v>6.49</v>
      </c>
      <c r="E6193">
        <v>2.7</v>
      </c>
      <c r="F6193" s="3">
        <v>0.53</v>
      </c>
      <c r="G6193">
        <v>2.4502000000000002</v>
      </c>
      <c r="H6193">
        <v>5.4669999999999996</v>
      </c>
    </row>
    <row r="6194" spans="1:8" x14ac:dyDescent="0.25">
      <c r="A6194" t="s">
        <v>6200</v>
      </c>
      <c r="B6194">
        <v>26314</v>
      </c>
      <c r="C6194">
        <v>7898629611324</v>
      </c>
      <c r="D6194">
        <v>6.49</v>
      </c>
      <c r="E6194">
        <v>1.92</v>
      </c>
      <c r="F6194" s="3">
        <v>0.63900000000000001</v>
      </c>
      <c r="G6194">
        <v>1.7423999999999999</v>
      </c>
      <c r="H6194">
        <v>4.3</v>
      </c>
    </row>
    <row r="6195" spans="1:8" x14ac:dyDescent="0.25">
      <c r="A6195" t="s">
        <v>6201</v>
      </c>
      <c r="B6195">
        <v>4687</v>
      </c>
      <c r="C6195">
        <v>7891095154630</v>
      </c>
      <c r="D6195">
        <v>4.49</v>
      </c>
      <c r="E6195">
        <v>2.54</v>
      </c>
      <c r="F6195" s="3">
        <v>0.35840000000000005</v>
      </c>
      <c r="G6195">
        <v>2.0726</v>
      </c>
      <c r="H6195">
        <v>4.4329999999999998</v>
      </c>
    </row>
    <row r="6196" spans="1:8" x14ac:dyDescent="0.25">
      <c r="A6196" t="s">
        <v>6202</v>
      </c>
      <c r="B6196">
        <v>66319</v>
      </c>
      <c r="C6196">
        <v>4000503104409</v>
      </c>
      <c r="D6196">
        <v>34.9</v>
      </c>
      <c r="E6196">
        <v>34.659999999999997</v>
      </c>
      <c r="F6196" s="3">
        <v>4.8999999999999998E-3</v>
      </c>
      <c r="G6196">
        <v>25.218299999999999</v>
      </c>
      <c r="H6196">
        <v>3.3000000000000002E-2</v>
      </c>
    </row>
    <row r="6197" spans="1:8" x14ac:dyDescent="0.25">
      <c r="A6197" t="s">
        <v>6203</v>
      </c>
      <c r="B6197">
        <v>6654</v>
      </c>
      <c r="C6197">
        <v>7896024800602</v>
      </c>
      <c r="D6197">
        <v>21.9</v>
      </c>
      <c r="E6197">
        <v>14.83</v>
      </c>
      <c r="F6197" s="3">
        <v>0.32299999999999995</v>
      </c>
      <c r="G6197">
        <v>14.825699999999999</v>
      </c>
      <c r="H6197">
        <v>0.66700000000000004</v>
      </c>
    </row>
    <row r="6198" spans="1:8" x14ac:dyDescent="0.25">
      <c r="A6198" t="s">
        <v>6204</v>
      </c>
      <c r="B6198">
        <v>6651</v>
      </c>
      <c r="C6198">
        <v>7896031232083</v>
      </c>
      <c r="D6198">
        <v>5.99</v>
      </c>
      <c r="E6198">
        <v>3.98</v>
      </c>
      <c r="F6198" s="3">
        <v>0.30449999999999999</v>
      </c>
      <c r="G6198">
        <v>3.6118999999999999</v>
      </c>
      <c r="H6198">
        <v>0.26700000000000002</v>
      </c>
    </row>
    <row r="6199" spans="1:8" x14ac:dyDescent="0.25">
      <c r="A6199" t="s">
        <v>6205</v>
      </c>
      <c r="B6199">
        <v>26292</v>
      </c>
      <c r="C6199">
        <v>7898629611140</v>
      </c>
      <c r="D6199">
        <v>5.99</v>
      </c>
      <c r="E6199">
        <v>1.75</v>
      </c>
      <c r="F6199" s="3">
        <v>0.64239999999999997</v>
      </c>
      <c r="G6199">
        <v>1.5880000000000001</v>
      </c>
      <c r="H6199">
        <v>0.23300000000000001</v>
      </c>
    </row>
    <row r="6200" spans="1:8" x14ac:dyDescent="0.25">
      <c r="A6200" t="s">
        <v>6206</v>
      </c>
      <c r="B6200">
        <v>20744</v>
      </c>
      <c r="C6200">
        <v>7891150086449</v>
      </c>
      <c r="D6200">
        <v>31.9</v>
      </c>
      <c r="E6200">
        <v>22.58</v>
      </c>
      <c r="F6200" s="3">
        <v>0.26530000000000004</v>
      </c>
      <c r="G6200">
        <v>20.487100000000002</v>
      </c>
      <c r="H6200">
        <v>0.53300000000000003</v>
      </c>
    </row>
    <row r="6201" spans="1:8" x14ac:dyDescent="0.25">
      <c r="A6201" t="s">
        <v>6207</v>
      </c>
      <c r="B6201">
        <v>56073</v>
      </c>
      <c r="C6201">
        <v>7891150086531</v>
      </c>
      <c r="D6201">
        <v>27.9</v>
      </c>
      <c r="E6201">
        <v>23</v>
      </c>
      <c r="F6201" s="3">
        <v>0.15759999999999999</v>
      </c>
      <c r="G6201">
        <v>20.921500000000002</v>
      </c>
      <c r="H6201">
        <v>18.433</v>
      </c>
    </row>
    <row r="6202" spans="1:8" x14ac:dyDescent="0.25">
      <c r="A6202" t="s">
        <v>6208</v>
      </c>
      <c r="B6202">
        <v>59788</v>
      </c>
      <c r="C6202">
        <v>7891150086401</v>
      </c>
      <c r="D6202">
        <v>28.9</v>
      </c>
      <c r="E6202">
        <v>18.07</v>
      </c>
      <c r="F6202" s="3">
        <v>0.3382</v>
      </c>
      <c r="G6202">
        <v>16.4514</v>
      </c>
      <c r="H6202">
        <v>23.433</v>
      </c>
    </row>
    <row r="6203" spans="1:8" x14ac:dyDescent="0.25">
      <c r="A6203" t="s">
        <v>6209</v>
      </c>
      <c r="B6203">
        <v>57031</v>
      </c>
      <c r="C6203">
        <v>7891150086425</v>
      </c>
      <c r="D6203">
        <v>28.9</v>
      </c>
      <c r="E6203">
        <v>18.649999999999999</v>
      </c>
      <c r="F6203" s="3">
        <v>0.32179999999999997</v>
      </c>
      <c r="G6203">
        <v>16.927900000000001</v>
      </c>
      <c r="H6203">
        <v>6.7000000000000004E-2</v>
      </c>
    </row>
    <row r="6204" spans="1:8" x14ac:dyDescent="0.25">
      <c r="A6204" t="s">
        <v>6210</v>
      </c>
      <c r="B6204">
        <v>17501</v>
      </c>
      <c r="C6204">
        <v>7891150086814</v>
      </c>
      <c r="D6204">
        <v>25.9</v>
      </c>
      <c r="E6204">
        <v>15.41</v>
      </c>
      <c r="F6204" s="3">
        <v>0.36219999999999997</v>
      </c>
      <c r="G6204">
        <v>14.124499999999999</v>
      </c>
      <c r="H6204">
        <v>0.8</v>
      </c>
    </row>
    <row r="6205" spans="1:8" x14ac:dyDescent="0.25">
      <c r="A6205" t="s">
        <v>6211</v>
      </c>
      <c r="B6205">
        <v>56019</v>
      </c>
      <c r="C6205">
        <v>7891150086807</v>
      </c>
      <c r="D6205">
        <v>14.9</v>
      </c>
      <c r="E6205">
        <v>8.6199999999999992</v>
      </c>
      <c r="F6205" s="3">
        <v>0.38069999999999998</v>
      </c>
      <c r="G6205">
        <v>7.8487</v>
      </c>
      <c r="H6205">
        <v>10.667</v>
      </c>
    </row>
    <row r="6206" spans="1:8" x14ac:dyDescent="0.25">
      <c r="A6206" t="s">
        <v>6212</v>
      </c>
      <c r="B6206">
        <v>5051</v>
      </c>
      <c r="C6206">
        <v>7891150086777</v>
      </c>
      <c r="D6206">
        <v>14.9</v>
      </c>
      <c r="E6206">
        <v>8.6999999999999993</v>
      </c>
      <c r="F6206" s="3">
        <v>0.37719999999999998</v>
      </c>
      <c r="G6206">
        <v>7.9016999999999999</v>
      </c>
      <c r="H6206">
        <v>5.5</v>
      </c>
    </row>
    <row r="6207" spans="1:8" x14ac:dyDescent="0.25">
      <c r="A6207" t="s">
        <v>6213</v>
      </c>
      <c r="B6207">
        <v>5151</v>
      </c>
      <c r="C6207">
        <v>7891150022003</v>
      </c>
      <c r="D6207">
        <v>14.9</v>
      </c>
      <c r="E6207">
        <v>9.42</v>
      </c>
      <c r="F6207" s="3">
        <v>0.26629999999999998</v>
      </c>
      <c r="G6207">
        <v>6.8724999999999996</v>
      </c>
      <c r="H6207">
        <v>2.867</v>
      </c>
    </row>
    <row r="6208" spans="1:8" x14ac:dyDescent="0.25">
      <c r="A6208" t="s">
        <v>6214</v>
      </c>
      <c r="B6208">
        <v>5320</v>
      </c>
      <c r="C6208">
        <v>7891150022010</v>
      </c>
      <c r="D6208">
        <v>14.9</v>
      </c>
      <c r="E6208">
        <v>9.3699999999999992</v>
      </c>
      <c r="F6208" s="3">
        <v>0.27560000000000001</v>
      </c>
      <c r="G6208">
        <v>6.7328999999999999</v>
      </c>
      <c r="H6208">
        <v>1.8</v>
      </c>
    </row>
    <row r="6209" spans="1:8" x14ac:dyDescent="0.25">
      <c r="A6209" t="s">
        <v>6215</v>
      </c>
      <c r="B6209">
        <v>68925</v>
      </c>
      <c r="C6209">
        <v>7791290796287</v>
      </c>
      <c r="D6209">
        <v>24.9</v>
      </c>
      <c r="E6209">
        <v>16.11</v>
      </c>
      <c r="F6209" s="3">
        <v>0.25670000000000004</v>
      </c>
      <c r="G6209">
        <v>11.722</v>
      </c>
      <c r="H6209">
        <v>9.9329999999999998</v>
      </c>
    </row>
    <row r="6210" spans="1:8" x14ac:dyDescent="0.25">
      <c r="A6210" t="s">
        <v>6216</v>
      </c>
      <c r="B6210">
        <v>5152</v>
      </c>
      <c r="C6210">
        <v>7891150022027</v>
      </c>
      <c r="D6210">
        <v>24.9</v>
      </c>
      <c r="E6210">
        <v>16.079999999999998</v>
      </c>
      <c r="F6210" s="3">
        <v>0.25769999999999998</v>
      </c>
      <c r="G6210">
        <v>11.6983</v>
      </c>
      <c r="H6210">
        <v>0.56699999999999995</v>
      </c>
    </row>
    <row r="6211" spans="1:8" x14ac:dyDescent="0.25">
      <c r="A6211" t="s">
        <v>6217</v>
      </c>
      <c r="B6211">
        <v>5321</v>
      </c>
      <c r="C6211">
        <v>7891150022034</v>
      </c>
      <c r="D6211">
        <v>24.9</v>
      </c>
      <c r="E6211">
        <v>15.58</v>
      </c>
      <c r="F6211" s="3">
        <v>0.28050000000000003</v>
      </c>
      <c r="G6211">
        <v>11.129200000000001</v>
      </c>
      <c r="H6211">
        <v>1.7</v>
      </c>
    </row>
    <row r="6212" spans="1:8" x14ac:dyDescent="0.25">
      <c r="A6212" t="s">
        <v>6218</v>
      </c>
      <c r="B6212">
        <v>63887</v>
      </c>
      <c r="C6212">
        <v>7891150090804</v>
      </c>
      <c r="D6212">
        <v>11.9</v>
      </c>
      <c r="E6212">
        <v>7.84</v>
      </c>
      <c r="F6212" s="3">
        <v>0.24879999999999999</v>
      </c>
      <c r="G6212">
        <v>5.6966999999999999</v>
      </c>
      <c r="H6212">
        <v>10.367000000000001</v>
      </c>
    </row>
    <row r="6213" spans="1:8" x14ac:dyDescent="0.25">
      <c r="A6213" t="s">
        <v>6219</v>
      </c>
      <c r="B6213">
        <v>51589</v>
      </c>
      <c r="C6213">
        <v>7891150062153</v>
      </c>
      <c r="D6213">
        <v>19.899999999999999</v>
      </c>
      <c r="E6213">
        <v>12.8</v>
      </c>
      <c r="F6213" s="3">
        <v>0.25900000000000001</v>
      </c>
      <c r="G6213">
        <v>9.3238000000000003</v>
      </c>
      <c r="H6213">
        <v>35.299999999999997</v>
      </c>
    </row>
    <row r="6214" spans="1:8" x14ac:dyDescent="0.25">
      <c r="A6214" t="s">
        <v>6220</v>
      </c>
      <c r="B6214">
        <v>56228</v>
      </c>
      <c r="C6214">
        <v>7896098904343</v>
      </c>
      <c r="D6214">
        <v>8.9</v>
      </c>
      <c r="E6214">
        <v>5.22</v>
      </c>
      <c r="F6214" s="3">
        <v>0.30070000000000002</v>
      </c>
      <c r="G6214">
        <v>3.7989000000000002</v>
      </c>
      <c r="H6214">
        <v>0.63300000000000001</v>
      </c>
    </row>
    <row r="6215" spans="1:8" x14ac:dyDescent="0.25">
      <c r="A6215" t="s">
        <v>6221</v>
      </c>
      <c r="B6215">
        <v>68714</v>
      </c>
      <c r="C6215">
        <v>7891022867732</v>
      </c>
      <c r="D6215">
        <v>10.9</v>
      </c>
      <c r="E6215">
        <v>6.65</v>
      </c>
      <c r="F6215" s="3">
        <v>0.28339999999999999</v>
      </c>
      <c r="G6215">
        <v>4.8411999999999997</v>
      </c>
      <c r="H6215">
        <v>1.167</v>
      </c>
    </row>
    <row r="6216" spans="1:8" x14ac:dyDescent="0.25">
      <c r="A6216" t="s">
        <v>6222</v>
      </c>
      <c r="B6216">
        <v>67940</v>
      </c>
      <c r="C6216">
        <v>7891022861372</v>
      </c>
      <c r="D6216">
        <v>12.9</v>
      </c>
      <c r="E6216">
        <v>8.33</v>
      </c>
      <c r="F6216" s="3">
        <v>0.25780000000000003</v>
      </c>
      <c r="G6216">
        <v>6.0591999999999997</v>
      </c>
      <c r="H6216">
        <v>0.56699999999999995</v>
      </c>
    </row>
    <row r="6217" spans="1:8" x14ac:dyDescent="0.25">
      <c r="A6217" t="s">
        <v>6223</v>
      </c>
      <c r="B6217">
        <v>5326</v>
      </c>
      <c r="C6217">
        <v>7891022861051</v>
      </c>
      <c r="D6217">
        <v>12.9</v>
      </c>
      <c r="E6217">
        <v>8.19</v>
      </c>
      <c r="F6217" s="3">
        <v>0.26489999999999997</v>
      </c>
      <c r="G6217">
        <v>5.9679000000000002</v>
      </c>
      <c r="H6217">
        <v>3</v>
      </c>
    </row>
    <row r="6218" spans="1:8" x14ac:dyDescent="0.25">
      <c r="A6218" t="s">
        <v>6224</v>
      </c>
      <c r="B6218">
        <v>61693</v>
      </c>
      <c r="C6218">
        <v>7891022861174</v>
      </c>
      <c r="D6218">
        <v>12.9</v>
      </c>
      <c r="E6218">
        <v>8.1300000000000008</v>
      </c>
      <c r="F6218" s="3">
        <v>0.26600000000000001</v>
      </c>
      <c r="G6218">
        <v>5.9527999999999999</v>
      </c>
      <c r="H6218">
        <v>1.3</v>
      </c>
    </row>
    <row r="6219" spans="1:8" x14ac:dyDescent="0.25">
      <c r="A6219" t="s">
        <v>6225</v>
      </c>
      <c r="B6219">
        <v>5146</v>
      </c>
      <c r="C6219">
        <v>7891022861167</v>
      </c>
      <c r="D6219">
        <v>12.9</v>
      </c>
      <c r="E6219">
        <v>8.18</v>
      </c>
      <c r="F6219" s="3">
        <v>0.2631</v>
      </c>
      <c r="G6219">
        <v>5.9903000000000004</v>
      </c>
      <c r="H6219">
        <v>1.9670000000000001</v>
      </c>
    </row>
    <row r="6220" spans="1:8" x14ac:dyDescent="0.25">
      <c r="A6220" t="s">
        <v>6226</v>
      </c>
      <c r="B6220">
        <v>62712</v>
      </c>
      <c r="C6220">
        <v>7891022852707</v>
      </c>
      <c r="D6220">
        <v>7.9</v>
      </c>
      <c r="E6220">
        <v>4.63</v>
      </c>
      <c r="F6220" s="3">
        <v>0.30079999999999996</v>
      </c>
      <c r="G6220">
        <v>3.3708</v>
      </c>
      <c r="H6220">
        <v>0.36699999999999999</v>
      </c>
    </row>
    <row r="6221" spans="1:8" x14ac:dyDescent="0.25">
      <c r="A6221" t="s">
        <v>6227</v>
      </c>
      <c r="B6221">
        <v>5328</v>
      </c>
      <c r="C6221">
        <v>7891022851366</v>
      </c>
      <c r="D6221">
        <v>7.9</v>
      </c>
      <c r="E6221">
        <v>4.54</v>
      </c>
      <c r="F6221" s="3">
        <v>0.30890000000000001</v>
      </c>
      <c r="G6221">
        <v>3.3071999999999999</v>
      </c>
      <c r="H6221">
        <v>2.4</v>
      </c>
    </row>
    <row r="6222" spans="1:8" x14ac:dyDescent="0.25">
      <c r="A6222" t="s">
        <v>6228</v>
      </c>
      <c r="B6222">
        <v>64874</v>
      </c>
      <c r="C6222">
        <v>7891022861112</v>
      </c>
      <c r="D6222">
        <v>18.489999999999998</v>
      </c>
      <c r="E6222">
        <v>11.97</v>
      </c>
      <c r="F6222" s="3">
        <v>0.25659999999999999</v>
      </c>
      <c r="G6222">
        <v>8.7064000000000004</v>
      </c>
      <c r="H6222">
        <v>1.4</v>
      </c>
    </row>
    <row r="6223" spans="1:8" x14ac:dyDescent="0.25">
      <c r="A6223" t="s">
        <v>6229</v>
      </c>
      <c r="B6223">
        <v>5324</v>
      </c>
      <c r="C6223">
        <v>7891022861068</v>
      </c>
      <c r="D6223">
        <v>12.9</v>
      </c>
      <c r="E6223">
        <v>8.26</v>
      </c>
      <c r="F6223" s="3">
        <v>0.26030000000000003</v>
      </c>
      <c r="G6223">
        <v>6.0269000000000004</v>
      </c>
      <c r="H6223">
        <v>4.2670000000000003</v>
      </c>
    </row>
    <row r="6224" spans="1:8" x14ac:dyDescent="0.25">
      <c r="A6224" t="s">
        <v>6230</v>
      </c>
      <c r="B6224">
        <v>5330</v>
      </c>
      <c r="C6224">
        <v>7891022851359</v>
      </c>
      <c r="D6224">
        <v>7.9</v>
      </c>
      <c r="E6224">
        <v>4.54</v>
      </c>
      <c r="F6224" s="3">
        <v>0.30909999999999999</v>
      </c>
      <c r="G6224">
        <v>3.3056999999999999</v>
      </c>
      <c r="H6224">
        <v>2.867</v>
      </c>
    </row>
    <row r="6225" spans="1:8" x14ac:dyDescent="0.25">
      <c r="A6225" t="s">
        <v>6231</v>
      </c>
      <c r="B6225">
        <v>5331</v>
      </c>
      <c r="C6225">
        <v>7891022852691</v>
      </c>
      <c r="D6225">
        <v>7.9</v>
      </c>
      <c r="E6225">
        <v>4.5199999999999996</v>
      </c>
      <c r="F6225" s="3">
        <v>0.31140000000000001</v>
      </c>
      <c r="G6225">
        <v>3.2873000000000001</v>
      </c>
      <c r="H6225">
        <v>0.86699999999999999</v>
      </c>
    </row>
    <row r="6226" spans="1:8" x14ac:dyDescent="0.25">
      <c r="A6226" t="s">
        <v>6232</v>
      </c>
      <c r="B6226">
        <v>55465</v>
      </c>
      <c r="C6226">
        <v>7896098904350</v>
      </c>
      <c r="D6226">
        <v>8.9</v>
      </c>
      <c r="E6226">
        <v>5.13</v>
      </c>
      <c r="F6226" s="3">
        <v>0.3085</v>
      </c>
      <c r="G6226">
        <v>3.7288000000000001</v>
      </c>
      <c r="H6226">
        <v>1.5</v>
      </c>
    </row>
    <row r="6227" spans="1:8" x14ac:dyDescent="0.25">
      <c r="A6227" t="s">
        <v>6233</v>
      </c>
      <c r="B6227">
        <v>54196</v>
      </c>
      <c r="C6227">
        <v>7896098904336</v>
      </c>
      <c r="D6227">
        <v>8.9</v>
      </c>
      <c r="E6227">
        <v>5.12</v>
      </c>
      <c r="F6227" s="3">
        <v>0.30909999999999999</v>
      </c>
      <c r="G6227">
        <v>3.7238000000000002</v>
      </c>
      <c r="H6227">
        <v>1.367</v>
      </c>
    </row>
    <row r="6228" spans="1:8" x14ac:dyDescent="0.25">
      <c r="A6228" t="s">
        <v>6234</v>
      </c>
      <c r="B6228">
        <v>6657</v>
      </c>
      <c r="C6228">
        <v>7896009301049</v>
      </c>
      <c r="D6228">
        <v>5.49</v>
      </c>
      <c r="E6228">
        <v>3.82</v>
      </c>
      <c r="F6228" s="3">
        <v>0.2762</v>
      </c>
      <c r="G6228">
        <v>3.4657</v>
      </c>
      <c r="H6228">
        <v>9.2669999999999995</v>
      </c>
    </row>
    <row r="6229" spans="1:8" x14ac:dyDescent="0.25">
      <c r="A6229" t="s">
        <v>6235</v>
      </c>
      <c r="B6229">
        <v>6667</v>
      </c>
      <c r="C6229">
        <v>7891167021082</v>
      </c>
      <c r="D6229">
        <v>5.99</v>
      </c>
      <c r="E6229">
        <v>4.21</v>
      </c>
      <c r="F6229" s="3">
        <v>0.27060000000000001</v>
      </c>
      <c r="G6229">
        <v>3.8149999999999999</v>
      </c>
      <c r="H6229">
        <v>11.4</v>
      </c>
    </row>
    <row r="6230" spans="1:8" x14ac:dyDescent="0.25">
      <c r="A6230" t="s">
        <v>6236</v>
      </c>
      <c r="B6230">
        <v>66986</v>
      </c>
      <c r="C6230">
        <v>7891167831674</v>
      </c>
      <c r="D6230">
        <v>5.99</v>
      </c>
      <c r="E6230">
        <v>3.64</v>
      </c>
      <c r="F6230" s="3">
        <v>0.35659999999999997</v>
      </c>
      <c r="G6230">
        <v>3.3</v>
      </c>
      <c r="H6230">
        <v>0.83299999999999996</v>
      </c>
    </row>
    <row r="6231" spans="1:8" x14ac:dyDescent="0.25">
      <c r="A6231" t="s">
        <v>6237</v>
      </c>
      <c r="B6231">
        <v>37201</v>
      </c>
      <c r="C6231">
        <v>7891167021105</v>
      </c>
      <c r="D6231">
        <v>5.99</v>
      </c>
      <c r="E6231">
        <v>4.18</v>
      </c>
      <c r="F6231" s="3">
        <v>0.26869999999999999</v>
      </c>
      <c r="G6231">
        <v>3.8260999999999998</v>
      </c>
      <c r="H6231">
        <v>7.2</v>
      </c>
    </row>
    <row r="6232" spans="1:8" x14ac:dyDescent="0.25">
      <c r="A6232" t="s">
        <v>6238</v>
      </c>
      <c r="B6232">
        <v>6666</v>
      </c>
      <c r="C6232">
        <v>7891167021037</v>
      </c>
      <c r="D6232">
        <v>5.99</v>
      </c>
      <c r="E6232">
        <v>4.1399999999999997</v>
      </c>
      <c r="F6232" s="3">
        <v>0.26879999999999998</v>
      </c>
      <c r="G6232">
        <v>3.8256000000000001</v>
      </c>
      <c r="H6232">
        <v>10.1</v>
      </c>
    </row>
    <row r="6233" spans="1:8" x14ac:dyDescent="0.25">
      <c r="A6233" t="s">
        <v>6239</v>
      </c>
      <c r="B6233">
        <v>6525</v>
      </c>
      <c r="C6233">
        <v>7891167021075</v>
      </c>
      <c r="D6233">
        <v>5.99</v>
      </c>
      <c r="E6233">
        <v>3.95</v>
      </c>
      <c r="F6233" s="3">
        <v>0.29909999999999998</v>
      </c>
      <c r="G6233">
        <v>3.6442999999999999</v>
      </c>
      <c r="H6233">
        <v>2.2000000000000002</v>
      </c>
    </row>
    <row r="6234" spans="1:8" x14ac:dyDescent="0.25">
      <c r="A6234" t="s">
        <v>6240</v>
      </c>
      <c r="B6234">
        <v>6665</v>
      </c>
      <c r="C6234">
        <v>7891167021020</v>
      </c>
      <c r="D6234">
        <v>5.99</v>
      </c>
      <c r="E6234">
        <v>4.1900000000000004</v>
      </c>
      <c r="F6234" s="3">
        <v>0.27310000000000001</v>
      </c>
      <c r="G6234">
        <v>3.7997999999999998</v>
      </c>
      <c r="H6234">
        <v>25.766999999999999</v>
      </c>
    </row>
    <row r="6235" spans="1:8" x14ac:dyDescent="0.25">
      <c r="A6235" t="s">
        <v>6241</v>
      </c>
      <c r="B6235">
        <v>6528</v>
      </c>
      <c r="C6235">
        <v>7891167021013</v>
      </c>
      <c r="D6235">
        <v>5.99</v>
      </c>
      <c r="E6235">
        <v>4.1900000000000004</v>
      </c>
      <c r="F6235" s="3">
        <v>0.27289999999999998</v>
      </c>
      <c r="G6235">
        <v>3.8012999999999999</v>
      </c>
      <c r="H6235">
        <v>60.133000000000003</v>
      </c>
    </row>
    <row r="6236" spans="1:8" x14ac:dyDescent="0.25">
      <c r="A6236" t="s">
        <v>6242</v>
      </c>
      <c r="B6236">
        <v>9434</v>
      </c>
      <c r="C6236">
        <v>7891167036871</v>
      </c>
      <c r="D6236">
        <v>11.9</v>
      </c>
      <c r="E6236">
        <v>7.37</v>
      </c>
      <c r="F6236" s="3">
        <v>0.33350000000000002</v>
      </c>
      <c r="G6236">
        <v>6.8304999999999998</v>
      </c>
      <c r="H6236">
        <v>9.0329999999999995</v>
      </c>
    </row>
    <row r="6237" spans="1:8" x14ac:dyDescent="0.25">
      <c r="A6237" t="s">
        <v>6243</v>
      </c>
      <c r="B6237">
        <v>44179</v>
      </c>
      <c r="C6237">
        <v>7891132009442</v>
      </c>
      <c r="D6237">
        <v>6.99</v>
      </c>
      <c r="E6237">
        <v>3.96</v>
      </c>
      <c r="F6237" s="3">
        <v>0.3155</v>
      </c>
      <c r="G6237">
        <v>2.8795999999999999</v>
      </c>
      <c r="H6237">
        <v>0.33300000000000002</v>
      </c>
    </row>
    <row r="6238" spans="1:8" x14ac:dyDescent="0.25">
      <c r="A6238" t="s">
        <v>6244</v>
      </c>
      <c r="B6238">
        <v>7936</v>
      </c>
      <c r="C6238">
        <v>7891022856743</v>
      </c>
      <c r="D6238">
        <v>16.899999999999999</v>
      </c>
      <c r="E6238">
        <v>10.28</v>
      </c>
      <c r="F6238" s="3">
        <v>0.35439999999999999</v>
      </c>
      <c r="G6238">
        <v>9.3468</v>
      </c>
      <c r="H6238">
        <v>3.367</v>
      </c>
    </row>
    <row r="6239" spans="1:8" x14ac:dyDescent="0.25">
      <c r="A6239" t="s">
        <v>6245</v>
      </c>
      <c r="B6239">
        <v>58325</v>
      </c>
      <c r="C6239">
        <v>7891150073470</v>
      </c>
      <c r="D6239">
        <v>19.899999999999999</v>
      </c>
      <c r="E6239">
        <v>13.99</v>
      </c>
      <c r="F6239" s="3">
        <v>0.24590000000000001</v>
      </c>
      <c r="G6239">
        <v>13.1668</v>
      </c>
      <c r="H6239">
        <v>0.73299999999999998</v>
      </c>
    </row>
    <row r="6240" spans="1:8" x14ac:dyDescent="0.25">
      <c r="A6240" t="s">
        <v>6246</v>
      </c>
      <c r="B6240">
        <v>19587</v>
      </c>
      <c r="C6240">
        <v>7891035023514</v>
      </c>
      <c r="D6240">
        <v>42.9</v>
      </c>
      <c r="E6240">
        <v>31.37</v>
      </c>
      <c r="F6240" s="3">
        <v>0.24359999999999998</v>
      </c>
      <c r="G6240">
        <v>28.479600000000001</v>
      </c>
      <c r="H6240">
        <v>2.1669999999999998</v>
      </c>
    </row>
    <row r="6241" spans="1:8" x14ac:dyDescent="0.25">
      <c r="A6241" t="s">
        <v>6247</v>
      </c>
      <c r="B6241">
        <v>40464</v>
      </c>
      <c r="C6241">
        <v>7896102505016</v>
      </c>
      <c r="D6241">
        <v>4.99</v>
      </c>
      <c r="E6241">
        <v>3.62</v>
      </c>
      <c r="F6241" s="3">
        <v>0.24829999999999999</v>
      </c>
      <c r="G6241">
        <v>3.2892000000000001</v>
      </c>
      <c r="H6241">
        <v>4.3330000000000002</v>
      </c>
    </row>
    <row r="6242" spans="1:8" x14ac:dyDescent="0.25">
      <c r="A6242" t="s">
        <v>6248</v>
      </c>
      <c r="B6242">
        <v>48245</v>
      </c>
      <c r="C6242">
        <v>7891150058910</v>
      </c>
      <c r="D6242">
        <v>6.99</v>
      </c>
      <c r="E6242">
        <v>4.8</v>
      </c>
      <c r="F6242" s="3">
        <v>0.28370000000000001</v>
      </c>
      <c r="G6242">
        <v>4.3605</v>
      </c>
      <c r="H6242">
        <v>6.7670000000000003</v>
      </c>
    </row>
    <row r="6243" spans="1:8" x14ac:dyDescent="0.25">
      <c r="A6243" t="s">
        <v>6249</v>
      </c>
      <c r="B6243">
        <v>40890</v>
      </c>
      <c r="C6243">
        <v>7896564404049</v>
      </c>
      <c r="D6243">
        <v>8.99</v>
      </c>
      <c r="E6243">
        <v>5.99</v>
      </c>
      <c r="F6243" s="3">
        <v>0.30280000000000001</v>
      </c>
      <c r="G6243">
        <v>5.4360999999999997</v>
      </c>
      <c r="H6243">
        <v>0.13300000000000001</v>
      </c>
    </row>
    <row r="6244" spans="1:8" x14ac:dyDescent="0.25">
      <c r="A6244" t="s">
        <v>6250</v>
      </c>
      <c r="B6244">
        <v>30141</v>
      </c>
      <c r="C6244">
        <v>7896283005602</v>
      </c>
      <c r="D6244">
        <v>19.899999999999999</v>
      </c>
      <c r="E6244">
        <v>11.68</v>
      </c>
      <c r="F6244" s="3">
        <v>0.3009</v>
      </c>
      <c r="G6244">
        <v>8.4892000000000003</v>
      </c>
      <c r="H6244">
        <v>3.8</v>
      </c>
    </row>
    <row r="6245" spans="1:8" x14ac:dyDescent="0.25">
      <c r="A6245" t="s">
        <v>6251</v>
      </c>
      <c r="B6245">
        <v>7551</v>
      </c>
      <c r="C6245">
        <v>7896063243613</v>
      </c>
      <c r="D6245">
        <v>8.99</v>
      </c>
      <c r="E6245">
        <v>5.15</v>
      </c>
      <c r="F6245" s="3">
        <v>0.30990000000000001</v>
      </c>
      <c r="G6245">
        <v>3.7544</v>
      </c>
      <c r="H6245">
        <v>0.7</v>
      </c>
    </row>
    <row r="6246" spans="1:8" x14ac:dyDescent="0.25">
      <c r="A6246" t="s">
        <v>6252</v>
      </c>
      <c r="B6246">
        <v>9650</v>
      </c>
      <c r="C6246">
        <v>7897303502484</v>
      </c>
      <c r="D6246">
        <v>8.99</v>
      </c>
      <c r="E6246">
        <v>4.6100000000000003</v>
      </c>
      <c r="F6246" s="3">
        <v>0.35439999999999999</v>
      </c>
      <c r="G6246">
        <v>3.3540000000000001</v>
      </c>
      <c r="H6246">
        <v>1.2669999999999999</v>
      </c>
    </row>
    <row r="6247" spans="1:8" x14ac:dyDescent="0.25">
      <c r="A6247" t="s">
        <v>6253</v>
      </c>
      <c r="B6247">
        <v>30199</v>
      </c>
      <c r="C6247">
        <v>7896283005268</v>
      </c>
      <c r="D6247">
        <v>18.899999999999999</v>
      </c>
      <c r="E6247">
        <v>10.36</v>
      </c>
      <c r="F6247" s="3">
        <v>0.33520000000000005</v>
      </c>
      <c r="G6247">
        <v>7.4142000000000001</v>
      </c>
      <c r="H6247">
        <v>1.6</v>
      </c>
    </row>
    <row r="6248" spans="1:8" x14ac:dyDescent="0.25">
      <c r="A6248" t="s">
        <v>6254</v>
      </c>
      <c r="B6248">
        <v>7581</v>
      </c>
      <c r="C6248">
        <v>7896063244658</v>
      </c>
      <c r="D6248">
        <v>12.9</v>
      </c>
      <c r="E6248">
        <v>6.89</v>
      </c>
      <c r="F6248" s="3">
        <v>0.33909999999999996</v>
      </c>
      <c r="G6248">
        <v>5.0109000000000004</v>
      </c>
      <c r="H6248">
        <v>1.5669999999999999</v>
      </c>
    </row>
    <row r="6249" spans="1:8" x14ac:dyDescent="0.25">
      <c r="A6249" t="s">
        <v>6255</v>
      </c>
      <c r="B6249">
        <v>7592</v>
      </c>
      <c r="C6249">
        <v>7896063244610</v>
      </c>
      <c r="D6249">
        <v>9.9</v>
      </c>
      <c r="E6249">
        <v>5.7</v>
      </c>
      <c r="F6249" s="3">
        <v>0.30820000000000003</v>
      </c>
      <c r="G6249">
        <v>4.1505999999999998</v>
      </c>
      <c r="H6249">
        <v>1.133</v>
      </c>
    </row>
    <row r="6250" spans="1:8" x14ac:dyDescent="0.25">
      <c r="A6250" t="s">
        <v>6256</v>
      </c>
      <c r="B6250">
        <v>64908</v>
      </c>
      <c r="C6250">
        <v>4005900813053</v>
      </c>
      <c r="D6250">
        <v>84.9</v>
      </c>
      <c r="E6250">
        <v>85.72</v>
      </c>
      <c r="F6250" s="3">
        <v>-9.7000000000000003E-3</v>
      </c>
      <c r="G6250">
        <v>85.720600000000005</v>
      </c>
      <c r="H6250">
        <v>0</v>
      </c>
    </row>
    <row r="6251" spans="1:8" x14ac:dyDescent="0.25">
      <c r="A6251" t="s">
        <v>6257</v>
      </c>
      <c r="B6251">
        <v>66938</v>
      </c>
      <c r="C6251">
        <v>7891150096301</v>
      </c>
      <c r="D6251">
        <v>19.899999999999999</v>
      </c>
      <c r="E6251">
        <v>19.11</v>
      </c>
      <c r="F6251" s="3">
        <v>4.0599999999999997E-2</v>
      </c>
      <c r="G6251">
        <v>19.093</v>
      </c>
      <c r="H6251">
        <v>0.56699999999999995</v>
      </c>
    </row>
    <row r="6252" spans="1:8" x14ac:dyDescent="0.25">
      <c r="A6252" t="s">
        <v>6258</v>
      </c>
      <c r="B6252">
        <v>12759</v>
      </c>
      <c r="C6252">
        <v>7896183305048</v>
      </c>
      <c r="D6252">
        <v>17.23</v>
      </c>
      <c r="E6252">
        <v>13</v>
      </c>
      <c r="F6252" s="3">
        <v>0.17519999999999999</v>
      </c>
      <c r="G6252">
        <v>9.5172000000000008</v>
      </c>
      <c r="H6252">
        <v>0.33300000000000002</v>
      </c>
    </row>
    <row r="6253" spans="1:8" x14ac:dyDescent="0.25">
      <c r="A6253" t="s">
        <v>6259</v>
      </c>
      <c r="B6253">
        <v>7279</v>
      </c>
      <c r="C6253">
        <v>7898422746216</v>
      </c>
      <c r="D6253">
        <v>26.9</v>
      </c>
      <c r="E6253">
        <v>19.3</v>
      </c>
      <c r="F6253" s="3">
        <v>0.2823</v>
      </c>
      <c r="G6253">
        <v>19.3048</v>
      </c>
      <c r="H6253">
        <v>1.9</v>
      </c>
    </row>
    <row r="6254" spans="1:8" x14ac:dyDescent="0.25">
      <c r="A6254" t="s">
        <v>6260</v>
      </c>
      <c r="B6254">
        <v>48283</v>
      </c>
      <c r="C6254">
        <v>7891150055698</v>
      </c>
      <c r="D6254">
        <v>26.9</v>
      </c>
      <c r="E6254">
        <v>18.420000000000002</v>
      </c>
      <c r="F6254" s="3">
        <v>0.31269999999999998</v>
      </c>
      <c r="G6254">
        <v>18.488199999999999</v>
      </c>
      <c r="H6254">
        <v>0.36699999999999999</v>
      </c>
    </row>
    <row r="6255" spans="1:8" x14ac:dyDescent="0.25">
      <c r="A6255" t="s">
        <v>6261</v>
      </c>
      <c r="B6255">
        <v>7082</v>
      </c>
      <c r="C6255">
        <v>7891150008151</v>
      </c>
      <c r="D6255">
        <v>26.9</v>
      </c>
      <c r="E6255">
        <v>18.920000000000002</v>
      </c>
      <c r="F6255" s="3">
        <v>0.29899999999999999</v>
      </c>
      <c r="G6255">
        <v>18.856100000000001</v>
      </c>
      <c r="H6255">
        <v>0.63300000000000001</v>
      </c>
    </row>
    <row r="6256" spans="1:8" x14ac:dyDescent="0.25">
      <c r="A6256" t="s">
        <v>6262</v>
      </c>
      <c r="B6256">
        <v>7084</v>
      </c>
      <c r="C6256">
        <v>7891150001077</v>
      </c>
      <c r="D6256">
        <v>26.9</v>
      </c>
      <c r="E6256">
        <v>19.12</v>
      </c>
      <c r="F6256" s="3">
        <v>0.28539999999999999</v>
      </c>
      <c r="G6256">
        <v>19.2224</v>
      </c>
      <c r="H6256">
        <v>0.93300000000000005</v>
      </c>
    </row>
    <row r="6257" spans="1:8" x14ac:dyDescent="0.25">
      <c r="A6257" t="s">
        <v>6263</v>
      </c>
      <c r="B6257">
        <v>60028</v>
      </c>
      <c r="C6257">
        <v>7891150081611</v>
      </c>
      <c r="D6257">
        <v>26.9</v>
      </c>
      <c r="E6257">
        <v>18.809999999999999</v>
      </c>
      <c r="F6257" s="3">
        <v>0.28910000000000002</v>
      </c>
      <c r="G6257">
        <v>19.122800000000002</v>
      </c>
      <c r="H6257">
        <v>0.73299999999999998</v>
      </c>
    </row>
    <row r="6258" spans="1:8" x14ac:dyDescent="0.25">
      <c r="A6258" t="s">
        <v>6264</v>
      </c>
      <c r="B6258">
        <v>7276</v>
      </c>
      <c r="C6258">
        <v>7891150014107</v>
      </c>
      <c r="D6258">
        <v>26.9</v>
      </c>
      <c r="E6258">
        <v>19.309999999999999</v>
      </c>
      <c r="F6258" s="3">
        <v>0.28190000000000004</v>
      </c>
      <c r="G6258">
        <v>19.3157</v>
      </c>
      <c r="H6258">
        <v>0.433</v>
      </c>
    </row>
    <row r="6259" spans="1:8" x14ac:dyDescent="0.25">
      <c r="A6259" t="s">
        <v>6265</v>
      </c>
      <c r="B6259">
        <v>7273</v>
      </c>
      <c r="C6259">
        <v>7891150019508</v>
      </c>
      <c r="D6259">
        <v>26.9</v>
      </c>
      <c r="E6259">
        <v>19.16</v>
      </c>
      <c r="F6259" s="3">
        <v>0.28939999999999999</v>
      </c>
      <c r="G6259">
        <v>19.116</v>
      </c>
      <c r="H6259">
        <v>1.4330000000000001</v>
      </c>
    </row>
    <row r="6260" spans="1:8" x14ac:dyDescent="0.25">
      <c r="A6260" t="s">
        <v>6266</v>
      </c>
      <c r="B6260">
        <v>60029</v>
      </c>
      <c r="C6260">
        <v>7891150081628</v>
      </c>
      <c r="D6260">
        <v>32.9</v>
      </c>
      <c r="E6260">
        <v>22.8</v>
      </c>
      <c r="F6260" s="3">
        <v>0.26479999999999998</v>
      </c>
      <c r="G6260">
        <v>24.1877</v>
      </c>
      <c r="H6260">
        <v>0.76700000000000002</v>
      </c>
    </row>
    <row r="6261" spans="1:8" x14ac:dyDescent="0.25">
      <c r="A6261" t="s">
        <v>6267</v>
      </c>
      <c r="B6261">
        <v>55907</v>
      </c>
      <c r="C6261">
        <v>7891150067561</v>
      </c>
      <c r="D6261">
        <v>32.9</v>
      </c>
      <c r="E6261">
        <v>21.87</v>
      </c>
      <c r="F6261" s="3">
        <v>0.33539999999999998</v>
      </c>
      <c r="G6261">
        <v>21.866599999999998</v>
      </c>
      <c r="H6261">
        <v>0.26700000000000002</v>
      </c>
    </row>
    <row r="6262" spans="1:8" x14ac:dyDescent="0.25">
      <c r="A6262" t="s">
        <v>6268</v>
      </c>
      <c r="B6262">
        <v>18575</v>
      </c>
      <c r="C6262">
        <v>7891150008137</v>
      </c>
      <c r="D6262">
        <v>39.9</v>
      </c>
      <c r="E6262">
        <v>24.19</v>
      </c>
      <c r="F6262" s="3">
        <v>0.39369999999999999</v>
      </c>
      <c r="G6262">
        <v>24.190300000000001</v>
      </c>
      <c r="H6262">
        <v>0.3</v>
      </c>
    </row>
    <row r="6263" spans="1:8" x14ac:dyDescent="0.25">
      <c r="A6263" t="s">
        <v>6269</v>
      </c>
      <c r="B6263">
        <v>18501</v>
      </c>
      <c r="C6263">
        <v>7891150019416</v>
      </c>
      <c r="D6263">
        <v>39.9</v>
      </c>
      <c r="E6263">
        <v>27.79</v>
      </c>
      <c r="F6263" s="3">
        <v>0.30020000000000002</v>
      </c>
      <c r="G6263">
        <v>27.921099999999999</v>
      </c>
      <c r="H6263">
        <v>2.867</v>
      </c>
    </row>
    <row r="6264" spans="1:8" x14ac:dyDescent="0.25">
      <c r="A6264" t="s">
        <v>6270</v>
      </c>
      <c r="B6264">
        <v>56139</v>
      </c>
      <c r="C6264">
        <v>7891150067578</v>
      </c>
      <c r="D6264">
        <v>32.9</v>
      </c>
      <c r="E6264">
        <v>23.13</v>
      </c>
      <c r="F6264" s="3">
        <v>0.28420000000000001</v>
      </c>
      <c r="G6264">
        <v>23.551300000000001</v>
      </c>
      <c r="H6264">
        <v>0.76700000000000002</v>
      </c>
    </row>
    <row r="6265" spans="1:8" x14ac:dyDescent="0.25">
      <c r="A6265" t="s">
        <v>6271</v>
      </c>
      <c r="B6265">
        <v>60033</v>
      </c>
      <c r="C6265">
        <v>7891150075276</v>
      </c>
      <c r="D6265">
        <v>26.9</v>
      </c>
      <c r="E6265">
        <v>19.170000000000002</v>
      </c>
      <c r="F6265" s="3">
        <v>0.28389999999999999</v>
      </c>
      <c r="G6265">
        <v>19.262599999999999</v>
      </c>
      <c r="H6265">
        <v>1.0329999999999999</v>
      </c>
    </row>
    <row r="6266" spans="1:8" x14ac:dyDescent="0.25">
      <c r="A6266" t="s">
        <v>6272</v>
      </c>
      <c r="B6266">
        <v>68118</v>
      </c>
      <c r="C6266">
        <v>7891150099289</v>
      </c>
      <c r="D6266">
        <v>26.9</v>
      </c>
      <c r="E6266">
        <v>19.23</v>
      </c>
      <c r="F6266" s="3">
        <v>0.28399999999999997</v>
      </c>
      <c r="G6266">
        <v>19.2593</v>
      </c>
      <c r="H6266">
        <v>1.0669999999999999</v>
      </c>
    </row>
    <row r="6267" spans="1:8" x14ac:dyDescent="0.25">
      <c r="A6267" t="s">
        <v>6273</v>
      </c>
      <c r="B6267">
        <v>68117</v>
      </c>
      <c r="C6267">
        <v>7891150099272</v>
      </c>
      <c r="D6267">
        <v>39.9</v>
      </c>
      <c r="E6267">
        <v>28.27</v>
      </c>
      <c r="F6267" s="3">
        <v>0.27600000000000002</v>
      </c>
      <c r="G6267">
        <v>28.885999999999999</v>
      </c>
      <c r="H6267">
        <v>0.76700000000000002</v>
      </c>
    </row>
    <row r="6268" spans="1:8" x14ac:dyDescent="0.25">
      <c r="A6268" t="s">
        <v>6274</v>
      </c>
      <c r="B6268">
        <v>18504</v>
      </c>
      <c r="C6268">
        <v>7891150001183</v>
      </c>
      <c r="D6268">
        <v>39.9</v>
      </c>
      <c r="E6268">
        <v>26.93</v>
      </c>
      <c r="F6268" s="3">
        <v>0.31509999999999999</v>
      </c>
      <c r="G6268">
        <v>27.326000000000001</v>
      </c>
      <c r="H6268">
        <v>1.133</v>
      </c>
    </row>
    <row r="6269" spans="1:8" x14ac:dyDescent="0.25">
      <c r="A6269" t="s">
        <v>6275</v>
      </c>
      <c r="B6269">
        <v>18503</v>
      </c>
      <c r="C6269">
        <v>7891150014138</v>
      </c>
      <c r="D6269">
        <v>39.9</v>
      </c>
      <c r="E6269">
        <v>24.19</v>
      </c>
      <c r="F6269" s="3">
        <v>0.39360000000000001</v>
      </c>
      <c r="G6269">
        <v>24.194099999999999</v>
      </c>
      <c r="H6269">
        <v>3.3000000000000002E-2</v>
      </c>
    </row>
    <row r="6270" spans="1:8" x14ac:dyDescent="0.25">
      <c r="A6270" t="s">
        <v>6276</v>
      </c>
      <c r="B6270">
        <v>18509</v>
      </c>
      <c r="C6270">
        <v>7891150001268</v>
      </c>
      <c r="D6270">
        <v>39.9</v>
      </c>
      <c r="E6270">
        <v>27.26</v>
      </c>
      <c r="F6270" s="3">
        <v>0.31319999999999998</v>
      </c>
      <c r="G6270">
        <v>27.4039</v>
      </c>
      <c r="H6270">
        <v>0.5</v>
      </c>
    </row>
    <row r="6271" spans="1:8" x14ac:dyDescent="0.25">
      <c r="A6271" t="s">
        <v>6277</v>
      </c>
      <c r="B6271">
        <v>50540</v>
      </c>
      <c r="C6271">
        <v>7891150060968</v>
      </c>
      <c r="D6271">
        <v>32.9</v>
      </c>
      <c r="E6271">
        <v>23.15</v>
      </c>
      <c r="F6271" s="3">
        <v>0.26269999999999999</v>
      </c>
      <c r="G6271">
        <v>24.257200000000001</v>
      </c>
      <c r="H6271">
        <v>2.6</v>
      </c>
    </row>
    <row r="6272" spans="1:8" x14ac:dyDescent="0.25">
      <c r="A6272" t="s">
        <v>6278</v>
      </c>
      <c r="B6272">
        <v>50858</v>
      </c>
      <c r="C6272">
        <v>7891150060975</v>
      </c>
      <c r="D6272">
        <v>32.9</v>
      </c>
      <c r="E6272">
        <v>22.88</v>
      </c>
      <c r="F6272" s="3">
        <v>0.26400000000000001</v>
      </c>
      <c r="G6272">
        <v>24.215399999999999</v>
      </c>
      <c r="H6272">
        <v>1.4330000000000001</v>
      </c>
    </row>
    <row r="6273" spans="1:8" x14ac:dyDescent="0.25">
      <c r="A6273" t="s">
        <v>6279</v>
      </c>
      <c r="B6273">
        <v>61731</v>
      </c>
      <c r="C6273">
        <v>7509546673844</v>
      </c>
      <c r="D6273">
        <v>15.9</v>
      </c>
      <c r="E6273">
        <v>10.82</v>
      </c>
      <c r="F6273" s="3">
        <v>0.31840000000000002</v>
      </c>
      <c r="G6273">
        <v>10.8377</v>
      </c>
      <c r="H6273">
        <v>2.367</v>
      </c>
    </row>
    <row r="6274" spans="1:8" x14ac:dyDescent="0.25">
      <c r="A6274" t="s">
        <v>6280</v>
      </c>
      <c r="B6274">
        <v>20088</v>
      </c>
      <c r="C6274">
        <v>7891024182475</v>
      </c>
      <c r="D6274">
        <v>9.9</v>
      </c>
      <c r="E6274">
        <v>6.92</v>
      </c>
      <c r="F6274" s="3">
        <v>0.30130000000000001</v>
      </c>
      <c r="G6274">
        <v>6.9166999999999996</v>
      </c>
      <c r="H6274">
        <v>0</v>
      </c>
    </row>
    <row r="6275" spans="1:8" x14ac:dyDescent="0.25">
      <c r="A6275" t="s">
        <v>6281</v>
      </c>
      <c r="B6275">
        <v>20085</v>
      </c>
      <c r="C6275">
        <v>7891024181072</v>
      </c>
      <c r="D6275">
        <v>9.9</v>
      </c>
      <c r="E6275">
        <v>6.8</v>
      </c>
      <c r="F6275" s="3">
        <v>0.30990000000000001</v>
      </c>
      <c r="G6275">
        <v>6.8323</v>
      </c>
      <c r="H6275">
        <v>1.2330000000000001</v>
      </c>
    </row>
    <row r="6276" spans="1:8" x14ac:dyDescent="0.25">
      <c r="A6276" t="s">
        <v>6282</v>
      </c>
      <c r="B6276">
        <v>62354</v>
      </c>
      <c r="C6276">
        <v>7509546682600</v>
      </c>
      <c r="D6276">
        <v>9.9</v>
      </c>
      <c r="E6276">
        <v>6.78</v>
      </c>
      <c r="F6276" s="3">
        <v>0.31240000000000001</v>
      </c>
      <c r="G6276">
        <v>6.8068</v>
      </c>
      <c r="H6276">
        <v>0.73299999999999998</v>
      </c>
    </row>
    <row r="6277" spans="1:8" x14ac:dyDescent="0.25">
      <c r="A6277" t="s">
        <v>6283</v>
      </c>
      <c r="B6277">
        <v>20083</v>
      </c>
      <c r="C6277">
        <v>7891024180877</v>
      </c>
      <c r="D6277">
        <v>9.9</v>
      </c>
      <c r="E6277">
        <v>6.83</v>
      </c>
      <c r="F6277" s="3">
        <v>0.31030000000000002</v>
      </c>
      <c r="G6277">
        <v>6.8281999999999998</v>
      </c>
      <c r="H6277">
        <v>0.8</v>
      </c>
    </row>
    <row r="6278" spans="1:8" x14ac:dyDescent="0.25">
      <c r="A6278" t="s">
        <v>6284</v>
      </c>
      <c r="B6278">
        <v>68501</v>
      </c>
      <c r="C6278">
        <v>7509546696300</v>
      </c>
      <c r="D6278">
        <v>15.9</v>
      </c>
      <c r="E6278">
        <v>10.65</v>
      </c>
      <c r="F6278" s="3">
        <v>0.33030000000000004</v>
      </c>
      <c r="G6278">
        <v>10.648099999999999</v>
      </c>
      <c r="H6278">
        <v>0.16700000000000001</v>
      </c>
    </row>
    <row r="6279" spans="1:8" x14ac:dyDescent="0.25">
      <c r="A6279" t="s">
        <v>6285</v>
      </c>
      <c r="B6279">
        <v>12756</v>
      </c>
      <c r="C6279">
        <v>7896183300852</v>
      </c>
      <c r="D6279">
        <v>21.9</v>
      </c>
      <c r="E6279">
        <v>13.04</v>
      </c>
      <c r="F6279" s="3">
        <v>0.3115</v>
      </c>
      <c r="G6279">
        <v>11.137</v>
      </c>
      <c r="H6279">
        <v>0.46700000000000003</v>
      </c>
    </row>
    <row r="6280" spans="1:8" x14ac:dyDescent="0.25">
      <c r="A6280" t="s">
        <v>6286</v>
      </c>
      <c r="B6280">
        <v>66626</v>
      </c>
      <c r="C6280">
        <v>7896183301767</v>
      </c>
      <c r="D6280">
        <v>21.9</v>
      </c>
      <c r="E6280">
        <v>12.37</v>
      </c>
      <c r="F6280" s="3">
        <v>0.3569</v>
      </c>
      <c r="G6280">
        <v>10.142799999999999</v>
      </c>
      <c r="H6280">
        <v>6.7000000000000004E-2</v>
      </c>
    </row>
    <row r="6281" spans="1:8" x14ac:dyDescent="0.25">
      <c r="A6281" t="s">
        <v>6287</v>
      </c>
      <c r="B6281">
        <v>12757</v>
      </c>
      <c r="C6281">
        <v>7896183300845</v>
      </c>
      <c r="D6281">
        <v>21.9</v>
      </c>
      <c r="E6281">
        <v>12.85</v>
      </c>
      <c r="F6281" s="3">
        <v>0.34409999999999996</v>
      </c>
      <c r="G6281">
        <v>10.4232</v>
      </c>
      <c r="H6281">
        <v>0.63300000000000001</v>
      </c>
    </row>
    <row r="6282" spans="1:8" x14ac:dyDescent="0.25">
      <c r="A6282" t="s">
        <v>6288</v>
      </c>
      <c r="B6282">
        <v>66950</v>
      </c>
      <c r="C6282">
        <v>7891150095571</v>
      </c>
      <c r="D6282">
        <v>19.899999999999999</v>
      </c>
      <c r="E6282">
        <v>13.11</v>
      </c>
      <c r="F6282" s="3">
        <v>0.34039999999999998</v>
      </c>
      <c r="G6282">
        <v>13.1258</v>
      </c>
      <c r="H6282">
        <v>0.4</v>
      </c>
    </row>
    <row r="6283" spans="1:8" x14ac:dyDescent="0.25">
      <c r="A6283" t="s">
        <v>6289</v>
      </c>
      <c r="B6283">
        <v>18586</v>
      </c>
      <c r="C6283">
        <v>7891150017351</v>
      </c>
      <c r="D6283">
        <v>19.899999999999999</v>
      </c>
      <c r="E6283">
        <v>13.2</v>
      </c>
      <c r="F6283" s="3">
        <v>0.33</v>
      </c>
      <c r="G6283">
        <v>13.3338</v>
      </c>
      <c r="H6283">
        <v>1.3</v>
      </c>
    </row>
    <row r="6284" spans="1:8" x14ac:dyDescent="0.25">
      <c r="A6284" t="s">
        <v>6290</v>
      </c>
      <c r="B6284">
        <v>18548</v>
      </c>
      <c r="C6284">
        <v>7891150008953</v>
      </c>
      <c r="D6284">
        <v>19.899999999999999</v>
      </c>
      <c r="E6284">
        <v>13.23</v>
      </c>
      <c r="F6284" s="3">
        <v>0.34340000000000004</v>
      </c>
      <c r="G6284">
        <v>13.0661</v>
      </c>
      <c r="H6284">
        <v>0.433</v>
      </c>
    </row>
    <row r="6285" spans="1:8" x14ac:dyDescent="0.25">
      <c r="A6285" t="s">
        <v>6291</v>
      </c>
      <c r="B6285">
        <v>66949</v>
      </c>
      <c r="C6285">
        <v>7891150095588</v>
      </c>
      <c r="D6285">
        <v>31.9</v>
      </c>
      <c r="E6285">
        <v>20.91</v>
      </c>
      <c r="F6285" s="3">
        <v>0.34369999999999995</v>
      </c>
      <c r="G6285">
        <v>20.936</v>
      </c>
      <c r="H6285">
        <v>0.36699999999999999</v>
      </c>
    </row>
    <row r="6286" spans="1:8" x14ac:dyDescent="0.25">
      <c r="A6286" t="s">
        <v>6292</v>
      </c>
      <c r="B6286">
        <v>21802</v>
      </c>
      <c r="C6286">
        <v>7891150021679</v>
      </c>
      <c r="D6286">
        <v>40.9</v>
      </c>
      <c r="E6286">
        <v>26.84</v>
      </c>
      <c r="F6286" s="3">
        <v>0.34320000000000001</v>
      </c>
      <c r="G6286">
        <v>26.862400000000001</v>
      </c>
      <c r="H6286">
        <v>0.6</v>
      </c>
    </row>
    <row r="6287" spans="1:8" x14ac:dyDescent="0.25">
      <c r="A6287" t="s">
        <v>6293</v>
      </c>
      <c r="B6287">
        <v>57829</v>
      </c>
      <c r="C6287">
        <v>7891150075283</v>
      </c>
      <c r="D6287">
        <v>31.9</v>
      </c>
      <c r="E6287">
        <v>21.09</v>
      </c>
      <c r="F6287" s="3">
        <v>0.33119999999999999</v>
      </c>
      <c r="G6287">
        <v>21.333600000000001</v>
      </c>
      <c r="H6287">
        <v>1.133</v>
      </c>
    </row>
    <row r="6288" spans="1:8" x14ac:dyDescent="0.25">
      <c r="A6288" t="s">
        <v>6294</v>
      </c>
      <c r="B6288">
        <v>45935</v>
      </c>
      <c r="C6288">
        <v>7891150054455</v>
      </c>
      <c r="D6288">
        <v>31.9</v>
      </c>
      <c r="E6288">
        <v>21.48</v>
      </c>
      <c r="F6288" s="3">
        <v>0.3231</v>
      </c>
      <c r="G6288">
        <v>21.593800000000002</v>
      </c>
      <c r="H6288">
        <v>1.3</v>
      </c>
    </row>
    <row r="6289" spans="1:8" x14ac:dyDescent="0.25">
      <c r="A6289" t="s">
        <v>6295</v>
      </c>
      <c r="B6289">
        <v>21824</v>
      </c>
      <c r="C6289">
        <v>7891150021693</v>
      </c>
      <c r="D6289">
        <v>40.9</v>
      </c>
      <c r="E6289">
        <v>26.78</v>
      </c>
      <c r="F6289" s="3">
        <v>0.33460000000000001</v>
      </c>
      <c r="G6289">
        <v>27.213100000000001</v>
      </c>
      <c r="H6289">
        <v>0.6</v>
      </c>
    </row>
    <row r="6290" spans="1:8" x14ac:dyDescent="0.25">
      <c r="A6290" t="s">
        <v>6296</v>
      </c>
      <c r="B6290">
        <v>45933</v>
      </c>
      <c r="C6290">
        <v>7891150055162</v>
      </c>
      <c r="D6290">
        <v>31.9</v>
      </c>
      <c r="E6290">
        <v>20.81</v>
      </c>
      <c r="F6290" s="3">
        <v>0.36849999999999999</v>
      </c>
      <c r="G6290">
        <v>20.145299999999999</v>
      </c>
      <c r="H6290">
        <v>0.6</v>
      </c>
    </row>
    <row r="6291" spans="1:8" x14ac:dyDescent="0.25">
      <c r="A6291" t="s">
        <v>6297</v>
      </c>
      <c r="B6291">
        <v>18505</v>
      </c>
      <c r="C6291">
        <v>7891150017368</v>
      </c>
      <c r="D6291">
        <v>31.9</v>
      </c>
      <c r="E6291">
        <v>21.42</v>
      </c>
      <c r="F6291" s="3">
        <v>0.3286</v>
      </c>
      <c r="G6291">
        <v>21.4163</v>
      </c>
      <c r="H6291">
        <v>0.56699999999999995</v>
      </c>
    </row>
    <row r="6292" spans="1:8" x14ac:dyDescent="0.25">
      <c r="A6292" t="s">
        <v>6298</v>
      </c>
      <c r="B6292">
        <v>21741</v>
      </c>
      <c r="C6292">
        <v>7891150021716</v>
      </c>
      <c r="D6292">
        <v>40.9</v>
      </c>
      <c r="E6292">
        <v>26.21</v>
      </c>
      <c r="F6292" s="3">
        <v>0.34850000000000003</v>
      </c>
      <c r="G6292">
        <v>26.6477</v>
      </c>
      <c r="H6292">
        <v>0.5</v>
      </c>
    </row>
    <row r="6293" spans="1:8" x14ac:dyDescent="0.25">
      <c r="A6293" t="s">
        <v>6299</v>
      </c>
      <c r="B6293">
        <v>9210</v>
      </c>
      <c r="C6293">
        <v>7791293005010</v>
      </c>
      <c r="D6293">
        <v>31.9</v>
      </c>
      <c r="E6293">
        <v>21.43</v>
      </c>
      <c r="F6293" s="3">
        <v>0.32840000000000003</v>
      </c>
      <c r="G6293">
        <v>21.4252</v>
      </c>
      <c r="H6293">
        <v>1.1000000000000001</v>
      </c>
    </row>
    <row r="6294" spans="1:8" x14ac:dyDescent="0.25">
      <c r="A6294" t="s">
        <v>6300</v>
      </c>
      <c r="B6294">
        <v>42454</v>
      </c>
      <c r="C6294">
        <v>7891150044555</v>
      </c>
      <c r="D6294">
        <v>17.899999999999999</v>
      </c>
      <c r="E6294">
        <v>11.41</v>
      </c>
      <c r="F6294" s="3">
        <v>0.35670000000000002</v>
      </c>
      <c r="G6294">
        <v>11.5143</v>
      </c>
      <c r="H6294">
        <v>6.7000000000000004E-2</v>
      </c>
    </row>
    <row r="6295" spans="1:8" x14ac:dyDescent="0.25">
      <c r="A6295" t="s">
        <v>6301</v>
      </c>
      <c r="B6295">
        <v>42455</v>
      </c>
      <c r="C6295">
        <v>7891150045316</v>
      </c>
      <c r="D6295">
        <v>17.899999999999999</v>
      </c>
      <c r="E6295">
        <v>11.58</v>
      </c>
      <c r="F6295" s="3">
        <v>0.34119999999999995</v>
      </c>
      <c r="G6295">
        <v>11.792899999999999</v>
      </c>
      <c r="H6295">
        <v>0.1</v>
      </c>
    </row>
    <row r="6296" spans="1:8" x14ac:dyDescent="0.25">
      <c r="A6296" t="s">
        <v>6302</v>
      </c>
      <c r="B6296">
        <v>55502</v>
      </c>
      <c r="C6296">
        <v>7891150065307</v>
      </c>
      <c r="D6296">
        <v>17.899999999999999</v>
      </c>
      <c r="E6296">
        <v>11.6</v>
      </c>
      <c r="F6296" s="3">
        <v>0.35119999999999996</v>
      </c>
      <c r="G6296">
        <v>11.6137</v>
      </c>
      <c r="H6296">
        <v>0.56699999999999995</v>
      </c>
    </row>
    <row r="6297" spans="1:8" x14ac:dyDescent="0.25">
      <c r="A6297" t="s">
        <v>6303</v>
      </c>
      <c r="B6297">
        <v>24683</v>
      </c>
      <c r="C6297">
        <v>7891150025929</v>
      </c>
      <c r="D6297">
        <v>17.899999999999999</v>
      </c>
      <c r="E6297">
        <v>11.74</v>
      </c>
      <c r="F6297" s="3">
        <v>0.34340000000000004</v>
      </c>
      <c r="G6297">
        <v>11.7524</v>
      </c>
      <c r="H6297">
        <v>0.23300000000000001</v>
      </c>
    </row>
    <row r="6298" spans="1:8" x14ac:dyDescent="0.25">
      <c r="A6298" t="s">
        <v>6304</v>
      </c>
      <c r="B6298">
        <v>24684</v>
      </c>
      <c r="C6298">
        <v>7891150025950</v>
      </c>
      <c r="D6298">
        <v>25.9</v>
      </c>
      <c r="E6298">
        <v>16.64</v>
      </c>
      <c r="F6298" s="3">
        <v>0.36880000000000002</v>
      </c>
      <c r="G6298">
        <v>16.347999999999999</v>
      </c>
      <c r="H6298">
        <v>0.23300000000000001</v>
      </c>
    </row>
    <row r="6299" spans="1:8" x14ac:dyDescent="0.25">
      <c r="A6299" t="s">
        <v>6305</v>
      </c>
      <c r="B6299">
        <v>68110</v>
      </c>
      <c r="C6299">
        <v>7891150097957</v>
      </c>
      <c r="D6299">
        <v>25.9</v>
      </c>
      <c r="E6299">
        <v>17.88</v>
      </c>
      <c r="F6299" s="3">
        <v>0.31030000000000002</v>
      </c>
      <c r="G6299">
        <v>17.862400000000001</v>
      </c>
      <c r="H6299">
        <v>0.26700000000000002</v>
      </c>
    </row>
    <row r="6300" spans="1:8" x14ac:dyDescent="0.25">
      <c r="A6300" t="s">
        <v>6306</v>
      </c>
      <c r="B6300">
        <v>57806</v>
      </c>
      <c r="C6300">
        <v>7891150075238</v>
      </c>
      <c r="D6300">
        <v>25.9</v>
      </c>
      <c r="E6300">
        <v>17.739999999999998</v>
      </c>
      <c r="F6300" s="3">
        <v>0.3155</v>
      </c>
      <c r="G6300">
        <v>17.7286</v>
      </c>
      <c r="H6300">
        <v>0.76700000000000002</v>
      </c>
    </row>
    <row r="6301" spans="1:8" x14ac:dyDescent="0.25">
      <c r="A6301" t="s">
        <v>6307</v>
      </c>
      <c r="B6301">
        <v>7269</v>
      </c>
      <c r="C6301">
        <v>7891150021662</v>
      </c>
      <c r="D6301">
        <v>26.9</v>
      </c>
      <c r="E6301">
        <v>18.34</v>
      </c>
      <c r="F6301" s="3">
        <v>0.30480000000000002</v>
      </c>
      <c r="G6301">
        <v>18.6996</v>
      </c>
      <c r="H6301">
        <v>0</v>
      </c>
    </row>
    <row r="6302" spans="1:8" x14ac:dyDescent="0.25">
      <c r="A6302" t="s">
        <v>6308</v>
      </c>
      <c r="B6302">
        <v>60646</v>
      </c>
      <c r="C6302">
        <v>7891150068926</v>
      </c>
      <c r="D6302">
        <v>26.9</v>
      </c>
      <c r="E6302">
        <v>19.010000000000002</v>
      </c>
      <c r="F6302" s="3">
        <v>0.2908</v>
      </c>
      <c r="G6302">
        <v>19.076499999999999</v>
      </c>
      <c r="H6302">
        <v>0.4</v>
      </c>
    </row>
    <row r="6303" spans="1:8" x14ac:dyDescent="0.25">
      <c r="A6303" t="s">
        <v>6309</v>
      </c>
      <c r="B6303">
        <v>7265</v>
      </c>
      <c r="C6303">
        <v>7891150021686</v>
      </c>
      <c r="D6303">
        <v>26.9</v>
      </c>
      <c r="E6303">
        <v>19.14</v>
      </c>
      <c r="F6303" s="3">
        <v>0.29010000000000002</v>
      </c>
      <c r="G6303">
        <v>19.096499999999999</v>
      </c>
      <c r="H6303">
        <v>1.133</v>
      </c>
    </row>
    <row r="6304" spans="1:8" x14ac:dyDescent="0.25">
      <c r="A6304" t="s">
        <v>6310</v>
      </c>
      <c r="B6304">
        <v>42048</v>
      </c>
      <c r="C6304">
        <v>7891150050075</v>
      </c>
      <c r="D6304">
        <v>19.899999999999999</v>
      </c>
      <c r="E6304">
        <v>13.24</v>
      </c>
      <c r="F6304" s="3">
        <v>0.33200000000000002</v>
      </c>
      <c r="G6304">
        <v>13.2933</v>
      </c>
      <c r="H6304">
        <v>0.2</v>
      </c>
    </row>
    <row r="6305" spans="1:8" x14ac:dyDescent="0.25">
      <c r="A6305" t="s">
        <v>6311</v>
      </c>
      <c r="B6305">
        <v>42046</v>
      </c>
      <c r="C6305">
        <v>7891150050082</v>
      </c>
      <c r="D6305">
        <v>31.28</v>
      </c>
      <c r="E6305">
        <v>21.23</v>
      </c>
      <c r="F6305" s="3">
        <v>0.32299999999999995</v>
      </c>
      <c r="G6305">
        <v>21.1799</v>
      </c>
      <c r="H6305">
        <v>1.1000000000000001</v>
      </c>
    </row>
    <row r="6306" spans="1:8" x14ac:dyDescent="0.25">
      <c r="A6306" t="s">
        <v>6312</v>
      </c>
      <c r="B6306">
        <v>61467</v>
      </c>
      <c r="C6306">
        <v>7891150078017</v>
      </c>
      <c r="D6306">
        <v>38.9</v>
      </c>
      <c r="E6306">
        <v>25.12</v>
      </c>
      <c r="F6306" s="3">
        <v>0.35409999999999997</v>
      </c>
      <c r="G6306">
        <v>25.1236</v>
      </c>
      <c r="H6306">
        <v>0.33300000000000002</v>
      </c>
    </row>
    <row r="6307" spans="1:8" x14ac:dyDescent="0.25">
      <c r="A6307" t="s">
        <v>6313</v>
      </c>
      <c r="B6307">
        <v>61473</v>
      </c>
      <c r="C6307">
        <v>7891150077997</v>
      </c>
      <c r="D6307">
        <v>38.9</v>
      </c>
      <c r="E6307">
        <v>24.92</v>
      </c>
      <c r="F6307" s="3">
        <v>0.35930000000000001</v>
      </c>
      <c r="G6307">
        <v>24.921800000000001</v>
      </c>
      <c r="H6307">
        <v>0.23300000000000001</v>
      </c>
    </row>
    <row r="6308" spans="1:8" x14ac:dyDescent="0.25">
      <c r="A6308" t="s">
        <v>6314</v>
      </c>
      <c r="B6308">
        <v>62361</v>
      </c>
      <c r="C6308">
        <v>7891150087309</v>
      </c>
      <c r="D6308">
        <v>28.9</v>
      </c>
      <c r="E6308">
        <v>17.57</v>
      </c>
      <c r="F6308" s="3">
        <v>0.39200000000000002</v>
      </c>
      <c r="G6308">
        <v>17.569900000000001</v>
      </c>
      <c r="H6308">
        <v>0</v>
      </c>
    </row>
    <row r="6309" spans="1:8" x14ac:dyDescent="0.25">
      <c r="A6309" t="s">
        <v>6315</v>
      </c>
      <c r="B6309">
        <v>62364</v>
      </c>
      <c r="C6309">
        <v>7891150084483</v>
      </c>
      <c r="D6309">
        <v>28.9</v>
      </c>
      <c r="E6309">
        <v>20.95</v>
      </c>
      <c r="F6309" s="3">
        <v>0.27579999999999999</v>
      </c>
      <c r="G6309">
        <v>20.928799999999999</v>
      </c>
      <c r="H6309">
        <v>0.26700000000000002</v>
      </c>
    </row>
    <row r="6310" spans="1:8" x14ac:dyDescent="0.25">
      <c r="A6310" t="s">
        <v>6316</v>
      </c>
      <c r="B6310">
        <v>68356</v>
      </c>
      <c r="C6310">
        <v>7891033535026</v>
      </c>
      <c r="D6310">
        <v>52.99</v>
      </c>
      <c r="E6310">
        <v>37.06</v>
      </c>
      <c r="F6310" s="3">
        <v>0.30059999999999998</v>
      </c>
      <c r="G6310">
        <v>37.06</v>
      </c>
      <c r="H6310">
        <v>0.26700000000000002</v>
      </c>
    </row>
    <row r="6311" spans="1:8" x14ac:dyDescent="0.25">
      <c r="A6311" t="s">
        <v>6317</v>
      </c>
      <c r="B6311">
        <v>68363</v>
      </c>
      <c r="C6311">
        <v>7891033517466</v>
      </c>
      <c r="D6311">
        <v>52.99</v>
      </c>
      <c r="E6311">
        <v>37.06</v>
      </c>
      <c r="F6311" s="3">
        <v>0.30059999999999998</v>
      </c>
      <c r="G6311">
        <v>37.06</v>
      </c>
      <c r="H6311">
        <v>0.1</v>
      </c>
    </row>
    <row r="6312" spans="1:8" x14ac:dyDescent="0.25">
      <c r="A6312" t="s">
        <v>6318</v>
      </c>
      <c r="B6312">
        <v>68347</v>
      </c>
      <c r="C6312">
        <v>7891033198160</v>
      </c>
      <c r="D6312">
        <v>52.99</v>
      </c>
      <c r="E6312">
        <v>37.06</v>
      </c>
      <c r="F6312" s="3">
        <v>0.30059999999999998</v>
      </c>
      <c r="G6312">
        <v>37.06</v>
      </c>
      <c r="H6312">
        <v>0.26700000000000002</v>
      </c>
    </row>
    <row r="6313" spans="1:8" x14ac:dyDescent="0.25">
      <c r="A6313" t="s">
        <v>6319</v>
      </c>
      <c r="B6313">
        <v>68352</v>
      </c>
      <c r="C6313">
        <v>7891033471751</v>
      </c>
      <c r="D6313">
        <v>52.99</v>
      </c>
      <c r="E6313">
        <v>37.06</v>
      </c>
      <c r="F6313" s="3">
        <v>0.30059999999999998</v>
      </c>
      <c r="G6313">
        <v>37.06</v>
      </c>
      <c r="H6313">
        <v>0.13300000000000001</v>
      </c>
    </row>
    <row r="6314" spans="1:8" x14ac:dyDescent="0.25">
      <c r="A6314" t="s">
        <v>6320</v>
      </c>
      <c r="B6314">
        <v>68349</v>
      </c>
      <c r="C6314">
        <v>7891033016419</v>
      </c>
      <c r="D6314">
        <v>52.99</v>
      </c>
      <c r="E6314">
        <v>37.06</v>
      </c>
      <c r="F6314" s="3">
        <v>0.30059999999999998</v>
      </c>
      <c r="G6314">
        <v>37.06</v>
      </c>
      <c r="H6314">
        <v>0.13300000000000001</v>
      </c>
    </row>
    <row r="6315" spans="1:8" x14ac:dyDescent="0.25">
      <c r="A6315" t="s">
        <v>6321</v>
      </c>
      <c r="B6315">
        <v>68354</v>
      </c>
      <c r="C6315">
        <v>7891033301997</v>
      </c>
      <c r="D6315">
        <v>48.99</v>
      </c>
      <c r="E6315">
        <v>34.26</v>
      </c>
      <c r="F6315" s="3">
        <v>0.30070000000000002</v>
      </c>
      <c r="G6315">
        <v>34.26</v>
      </c>
      <c r="H6315">
        <v>0.7</v>
      </c>
    </row>
    <row r="6316" spans="1:8" x14ac:dyDescent="0.25">
      <c r="A6316" t="s">
        <v>6322</v>
      </c>
      <c r="B6316">
        <v>68350</v>
      </c>
      <c r="C6316">
        <v>7891033535040</v>
      </c>
      <c r="D6316">
        <v>48.99</v>
      </c>
      <c r="E6316">
        <v>34.26</v>
      </c>
      <c r="F6316" s="3">
        <v>0.30070000000000002</v>
      </c>
      <c r="G6316">
        <v>34.26</v>
      </c>
      <c r="H6316">
        <v>0.4</v>
      </c>
    </row>
    <row r="6317" spans="1:8" x14ac:dyDescent="0.25">
      <c r="A6317" t="s">
        <v>6323</v>
      </c>
      <c r="B6317">
        <v>68339</v>
      </c>
      <c r="C6317">
        <v>7891033534357</v>
      </c>
      <c r="D6317">
        <v>52.99</v>
      </c>
      <c r="E6317">
        <v>37.06</v>
      </c>
      <c r="F6317" s="3">
        <v>0.30059999999999998</v>
      </c>
      <c r="G6317">
        <v>37.06</v>
      </c>
      <c r="H6317">
        <v>0.46700000000000003</v>
      </c>
    </row>
    <row r="6318" spans="1:8" x14ac:dyDescent="0.25">
      <c r="A6318" t="s">
        <v>6324</v>
      </c>
      <c r="B6318">
        <v>68357</v>
      </c>
      <c r="C6318">
        <v>7891033530946</v>
      </c>
      <c r="D6318">
        <v>52.99</v>
      </c>
      <c r="E6318">
        <v>37.06</v>
      </c>
      <c r="F6318" s="3">
        <v>0.30059999999999998</v>
      </c>
      <c r="G6318">
        <v>37.06</v>
      </c>
      <c r="H6318">
        <v>0.36699999999999999</v>
      </c>
    </row>
    <row r="6319" spans="1:8" x14ac:dyDescent="0.25">
      <c r="A6319" t="s">
        <v>6325</v>
      </c>
      <c r="B6319">
        <v>68355</v>
      </c>
      <c r="C6319">
        <v>7891033535194</v>
      </c>
      <c r="D6319">
        <v>52.99</v>
      </c>
      <c r="E6319">
        <v>37.06</v>
      </c>
      <c r="F6319" s="3">
        <v>0.30059999999999998</v>
      </c>
      <c r="G6319">
        <v>37.06</v>
      </c>
      <c r="H6319">
        <v>0.2</v>
      </c>
    </row>
    <row r="6320" spans="1:8" x14ac:dyDescent="0.25">
      <c r="A6320" t="s">
        <v>6326</v>
      </c>
      <c r="B6320">
        <v>68452</v>
      </c>
      <c r="C6320">
        <v>7891033558025</v>
      </c>
      <c r="D6320">
        <v>52.99</v>
      </c>
      <c r="E6320">
        <v>37.06</v>
      </c>
      <c r="F6320" s="3">
        <v>0.30059999999999998</v>
      </c>
      <c r="G6320">
        <v>37.06</v>
      </c>
      <c r="H6320">
        <v>0.33300000000000002</v>
      </c>
    </row>
    <row r="6321" spans="1:8" x14ac:dyDescent="0.25">
      <c r="A6321" t="s">
        <v>6327</v>
      </c>
      <c r="B6321">
        <v>68314</v>
      </c>
      <c r="C6321">
        <v>7891033522125</v>
      </c>
      <c r="D6321">
        <v>41.99</v>
      </c>
      <c r="E6321">
        <v>29.36</v>
      </c>
      <c r="F6321" s="3">
        <v>0.30079999999999996</v>
      </c>
      <c r="G6321">
        <v>29.36</v>
      </c>
      <c r="H6321">
        <v>0.13300000000000001</v>
      </c>
    </row>
    <row r="6322" spans="1:8" x14ac:dyDescent="0.25">
      <c r="A6322" t="s">
        <v>6328</v>
      </c>
      <c r="B6322">
        <v>68311</v>
      </c>
      <c r="C6322">
        <v>7891033522132</v>
      </c>
      <c r="D6322">
        <v>41.99</v>
      </c>
      <c r="E6322">
        <v>29.36</v>
      </c>
      <c r="F6322" s="3">
        <v>0.30079999999999996</v>
      </c>
      <c r="G6322">
        <v>29.36</v>
      </c>
      <c r="H6322">
        <v>0.5</v>
      </c>
    </row>
    <row r="6323" spans="1:8" x14ac:dyDescent="0.25">
      <c r="A6323" t="s">
        <v>6329</v>
      </c>
      <c r="B6323">
        <v>68310</v>
      </c>
      <c r="C6323">
        <v>7891033522040</v>
      </c>
      <c r="D6323">
        <v>41.99</v>
      </c>
      <c r="E6323">
        <v>29.36</v>
      </c>
      <c r="F6323" s="3">
        <v>0.30079999999999996</v>
      </c>
      <c r="G6323">
        <v>29.36</v>
      </c>
      <c r="H6323">
        <v>0.4</v>
      </c>
    </row>
    <row r="6324" spans="1:8" x14ac:dyDescent="0.25">
      <c r="A6324" t="s">
        <v>6330</v>
      </c>
      <c r="B6324">
        <v>17244</v>
      </c>
      <c r="C6324">
        <v>7896512910738</v>
      </c>
      <c r="D6324">
        <v>24.9</v>
      </c>
      <c r="E6324">
        <v>15.93</v>
      </c>
      <c r="F6324" s="3">
        <v>0.3604</v>
      </c>
      <c r="G6324">
        <v>15.9267</v>
      </c>
      <c r="H6324">
        <v>0.1</v>
      </c>
    </row>
    <row r="6325" spans="1:8" x14ac:dyDescent="0.25">
      <c r="A6325" t="s">
        <v>6331</v>
      </c>
      <c r="B6325">
        <v>67329</v>
      </c>
      <c r="C6325">
        <v>7896512973771</v>
      </c>
      <c r="D6325">
        <v>14.9</v>
      </c>
      <c r="E6325">
        <v>9.8800000000000008</v>
      </c>
      <c r="F6325" s="3">
        <v>0.33710000000000001</v>
      </c>
      <c r="G6325">
        <v>9.8768999999999991</v>
      </c>
      <c r="H6325">
        <v>0.2</v>
      </c>
    </row>
    <row r="6326" spans="1:8" x14ac:dyDescent="0.25">
      <c r="A6326" t="s">
        <v>6332</v>
      </c>
      <c r="B6326">
        <v>17207</v>
      </c>
      <c r="C6326">
        <v>7896512907493</v>
      </c>
      <c r="D6326">
        <v>19.95</v>
      </c>
      <c r="E6326">
        <v>12.96</v>
      </c>
      <c r="F6326" s="3">
        <v>0.3508</v>
      </c>
      <c r="G6326">
        <v>12.950699999999999</v>
      </c>
      <c r="H6326">
        <v>0.36699999999999999</v>
      </c>
    </row>
    <row r="6327" spans="1:8" x14ac:dyDescent="0.25">
      <c r="A6327" t="s">
        <v>6333</v>
      </c>
      <c r="B6327">
        <v>66976</v>
      </c>
      <c r="C6327">
        <v>7891010256487</v>
      </c>
      <c r="D6327">
        <v>14.99</v>
      </c>
      <c r="E6327">
        <v>9.41</v>
      </c>
      <c r="F6327" s="3">
        <v>0.3679</v>
      </c>
      <c r="G6327">
        <v>9.4757999999999996</v>
      </c>
      <c r="H6327">
        <v>0.86699999999999999</v>
      </c>
    </row>
    <row r="6328" spans="1:8" x14ac:dyDescent="0.25">
      <c r="A6328" t="s">
        <v>6334</v>
      </c>
      <c r="B6328">
        <v>66220</v>
      </c>
      <c r="C6328">
        <v>7891010030889</v>
      </c>
      <c r="D6328">
        <v>20.9</v>
      </c>
      <c r="E6328">
        <v>11.22</v>
      </c>
      <c r="F6328" s="3">
        <v>0.45929999999999999</v>
      </c>
      <c r="G6328">
        <v>11.2996</v>
      </c>
      <c r="H6328">
        <v>0.3</v>
      </c>
    </row>
    <row r="6329" spans="1:8" x14ac:dyDescent="0.25">
      <c r="A6329" t="s">
        <v>6335</v>
      </c>
      <c r="B6329">
        <v>66218</v>
      </c>
      <c r="C6329">
        <v>7891010030094</v>
      </c>
      <c r="D6329">
        <v>20.9</v>
      </c>
      <c r="E6329">
        <v>12.11</v>
      </c>
      <c r="F6329" s="3">
        <v>0.41490000000000005</v>
      </c>
      <c r="G6329">
        <v>12.2294</v>
      </c>
      <c r="H6329">
        <v>1.4670000000000001</v>
      </c>
    </row>
    <row r="6330" spans="1:8" x14ac:dyDescent="0.25">
      <c r="A6330" t="s">
        <v>6336</v>
      </c>
      <c r="B6330">
        <v>66224</v>
      </c>
      <c r="C6330">
        <v>7891010875640</v>
      </c>
      <c r="D6330">
        <v>34.9</v>
      </c>
      <c r="E6330">
        <v>17.37</v>
      </c>
      <c r="F6330" s="3">
        <v>0.50219999999999998</v>
      </c>
      <c r="G6330">
        <v>17.372900000000001</v>
      </c>
      <c r="H6330">
        <v>5.7329999999999997</v>
      </c>
    </row>
    <row r="6331" spans="1:8" x14ac:dyDescent="0.25">
      <c r="A6331" t="s">
        <v>6337</v>
      </c>
      <c r="B6331">
        <v>66223</v>
      </c>
      <c r="C6331">
        <v>7891010800048</v>
      </c>
      <c r="D6331">
        <v>34.9</v>
      </c>
      <c r="E6331">
        <v>17.52</v>
      </c>
      <c r="F6331" s="3">
        <v>0.49259999999999998</v>
      </c>
      <c r="G6331">
        <v>17.708500000000001</v>
      </c>
      <c r="H6331">
        <v>19.167000000000002</v>
      </c>
    </row>
    <row r="6332" spans="1:8" x14ac:dyDescent="0.25">
      <c r="A6332" t="s">
        <v>6338</v>
      </c>
      <c r="B6332">
        <v>66975</v>
      </c>
      <c r="C6332">
        <v>7891010256494</v>
      </c>
      <c r="D6332">
        <v>14.99</v>
      </c>
      <c r="E6332">
        <v>9.06</v>
      </c>
      <c r="F6332" s="3">
        <v>0.39539999999999997</v>
      </c>
      <c r="G6332">
        <v>9.0631000000000004</v>
      </c>
      <c r="H6332">
        <v>0.7</v>
      </c>
    </row>
    <row r="6333" spans="1:8" x14ac:dyDescent="0.25">
      <c r="A6333" t="s">
        <v>6339</v>
      </c>
      <c r="B6333">
        <v>66977</v>
      </c>
      <c r="C6333">
        <v>7891010256500</v>
      </c>
      <c r="D6333">
        <v>17.989999999999998</v>
      </c>
      <c r="E6333">
        <v>12.11</v>
      </c>
      <c r="F6333" s="3">
        <v>0.32689999999999997</v>
      </c>
      <c r="G6333">
        <v>12.1092</v>
      </c>
      <c r="H6333">
        <v>0.26700000000000002</v>
      </c>
    </row>
    <row r="6334" spans="1:8" x14ac:dyDescent="0.25">
      <c r="A6334" t="s">
        <v>6340</v>
      </c>
      <c r="B6334">
        <v>66225</v>
      </c>
      <c r="C6334">
        <v>7891010030391</v>
      </c>
      <c r="D6334">
        <v>17.989999999999998</v>
      </c>
      <c r="E6334">
        <v>12.8</v>
      </c>
      <c r="F6334" s="3">
        <v>0.29719999999999996</v>
      </c>
      <c r="G6334">
        <v>12.6432</v>
      </c>
      <c r="H6334">
        <v>0.26700000000000002</v>
      </c>
    </row>
    <row r="6335" spans="1:8" x14ac:dyDescent="0.25">
      <c r="A6335" t="s">
        <v>6341</v>
      </c>
      <c r="B6335">
        <v>66217</v>
      </c>
      <c r="C6335">
        <v>7891010980061</v>
      </c>
      <c r="D6335">
        <v>17.989999999999998</v>
      </c>
      <c r="E6335">
        <v>12.45</v>
      </c>
      <c r="F6335" s="3">
        <v>0.31190000000000001</v>
      </c>
      <c r="G6335">
        <v>12.378299999999999</v>
      </c>
      <c r="H6335">
        <v>0.36699999999999999</v>
      </c>
    </row>
    <row r="6336" spans="1:8" x14ac:dyDescent="0.25">
      <c r="A6336" t="s">
        <v>6342</v>
      </c>
      <c r="B6336">
        <v>66978</v>
      </c>
      <c r="C6336">
        <v>7891010256517</v>
      </c>
      <c r="D6336">
        <v>17.989999999999998</v>
      </c>
      <c r="E6336">
        <v>12.34</v>
      </c>
      <c r="F6336" s="3">
        <v>0.31209999999999999</v>
      </c>
      <c r="G6336">
        <v>12.374499999999999</v>
      </c>
      <c r="H6336">
        <v>0.36699999999999999</v>
      </c>
    </row>
    <row r="6337" spans="1:8" x14ac:dyDescent="0.25">
      <c r="A6337" t="s">
        <v>6343</v>
      </c>
      <c r="B6337">
        <v>66226</v>
      </c>
      <c r="C6337">
        <v>7891010521448</v>
      </c>
      <c r="D6337">
        <v>31.9</v>
      </c>
      <c r="E6337">
        <v>18.260000000000002</v>
      </c>
      <c r="F6337" s="3">
        <v>0.42759999999999998</v>
      </c>
      <c r="G6337">
        <v>18.260000000000002</v>
      </c>
      <c r="H6337">
        <v>0.23300000000000001</v>
      </c>
    </row>
    <row r="6338" spans="1:8" x14ac:dyDescent="0.25">
      <c r="A6338" t="s">
        <v>6344</v>
      </c>
      <c r="B6338">
        <v>66227</v>
      </c>
      <c r="C6338">
        <v>7891010601171</v>
      </c>
      <c r="D6338">
        <v>31.9</v>
      </c>
      <c r="E6338">
        <v>17.41</v>
      </c>
      <c r="F6338" s="3">
        <v>0.45500000000000002</v>
      </c>
      <c r="G6338">
        <v>17.3843</v>
      </c>
      <c r="H6338">
        <v>0.26700000000000002</v>
      </c>
    </row>
    <row r="6339" spans="1:8" x14ac:dyDescent="0.25">
      <c r="A6339" t="s">
        <v>6345</v>
      </c>
      <c r="B6339">
        <v>59397</v>
      </c>
      <c r="C6339">
        <v>7891150074668</v>
      </c>
      <c r="D6339">
        <v>37.9</v>
      </c>
      <c r="E6339">
        <v>19.72</v>
      </c>
      <c r="F6339" s="3">
        <v>0.47749999999999998</v>
      </c>
      <c r="G6339">
        <v>19.803699999999999</v>
      </c>
      <c r="H6339">
        <v>0.23300000000000001</v>
      </c>
    </row>
    <row r="6340" spans="1:8" x14ac:dyDescent="0.25">
      <c r="A6340" t="s">
        <v>6346</v>
      </c>
      <c r="B6340">
        <v>55268</v>
      </c>
      <c r="C6340">
        <v>7891150059665</v>
      </c>
      <c r="D6340">
        <v>37.9</v>
      </c>
      <c r="E6340">
        <v>19.190000000000001</v>
      </c>
      <c r="F6340" s="3">
        <v>0.49359999999999998</v>
      </c>
      <c r="G6340">
        <v>19.194199999999999</v>
      </c>
      <c r="H6340">
        <v>3.3000000000000002E-2</v>
      </c>
    </row>
    <row r="6341" spans="1:8" x14ac:dyDescent="0.25">
      <c r="A6341" t="s">
        <v>6347</v>
      </c>
      <c r="B6341">
        <v>55267</v>
      </c>
      <c r="C6341">
        <v>7891150059740</v>
      </c>
      <c r="D6341">
        <v>37.9</v>
      </c>
      <c r="E6341">
        <v>19.39</v>
      </c>
      <c r="F6341" s="3">
        <v>0.48590000000000005</v>
      </c>
      <c r="G6341">
        <v>19.4848</v>
      </c>
      <c r="H6341">
        <v>0.433</v>
      </c>
    </row>
    <row r="6342" spans="1:8" x14ac:dyDescent="0.25">
      <c r="A6342" t="s">
        <v>6348</v>
      </c>
      <c r="B6342">
        <v>55269</v>
      </c>
      <c r="C6342">
        <v>7891150059689</v>
      </c>
      <c r="D6342">
        <v>37.9</v>
      </c>
      <c r="E6342">
        <v>19.440000000000001</v>
      </c>
      <c r="F6342" s="3">
        <v>0.48710000000000003</v>
      </c>
      <c r="G6342">
        <v>19.440000000000001</v>
      </c>
      <c r="H6342">
        <v>0.4</v>
      </c>
    </row>
    <row r="6343" spans="1:8" x14ac:dyDescent="0.25">
      <c r="A6343" t="s">
        <v>6349</v>
      </c>
      <c r="B6343">
        <v>65629</v>
      </c>
      <c r="C6343">
        <v>7908324404272</v>
      </c>
      <c r="D6343">
        <v>20.9</v>
      </c>
      <c r="E6343">
        <v>14.43</v>
      </c>
      <c r="F6343" s="3">
        <v>0.30820000000000003</v>
      </c>
      <c r="G6343">
        <v>14.4588</v>
      </c>
      <c r="H6343">
        <v>0.63300000000000001</v>
      </c>
    </row>
    <row r="6344" spans="1:8" x14ac:dyDescent="0.25">
      <c r="A6344" t="s">
        <v>6350</v>
      </c>
      <c r="B6344">
        <v>65630</v>
      </c>
      <c r="C6344">
        <v>7908324404302</v>
      </c>
      <c r="D6344">
        <v>22.9</v>
      </c>
      <c r="E6344">
        <v>14.9</v>
      </c>
      <c r="F6344" s="3">
        <v>0.3417</v>
      </c>
      <c r="G6344">
        <v>15.075900000000001</v>
      </c>
      <c r="H6344">
        <v>0.76700000000000002</v>
      </c>
    </row>
    <row r="6345" spans="1:8" x14ac:dyDescent="0.25">
      <c r="A6345" t="s">
        <v>6351</v>
      </c>
      <c r="B6345">
        <v>67761</v>
      </c>
      <c r="C6345">
        <v>7908324405125</v>
      </c>
      <c r="D6345">
        <v>22.9</v>
      </c>
      <c r="E6345">
        <v>14.21</v>
      </c>
      <c r="F6345" s="3">
        <v>0.38</v>
      </c>
      <c r="G6345">
        <v>14.196899999999999</v>
      </c>
      <c r="H6345">
        <v>0.96699999999999997</v>
      </c>
    </row>
    <row r="6346" spans="1:8" x14ac:dyDescent="0.25">
      <c r="A6346" t="s">
        <v>6352</v>
      </c>
      <c r="B6346">
        <v>20093</v>
      </c>
      <c r="C6346">
        <v>7891024171233</v>
      </c>
      <c r="D6346">
        <v>19.899999999999999</v>
      </c>
      <c r="E6346">
        <v>13.56</v>
      </c>
      <c r="F6346" s="3">
        <v>0.31879999999999997</v>
      </c>
      <c r="G6346">
        <v>13.555</v>
      </c>
      <c r="H6346">
        <v>0.16700000000000001</v>
      </c>
    </row>
    <row r="6347" spans="1:8" x14ac:dyDescent="0.25">
      <c r="A6347" t="s">
        <v>6353</v>
      </c>
      <c r="B6347">
        <v>44405</v>
      </c>
      <c r="C6347">
        <v>7891024034064</v>
      </c>
      <c r="D6347">
        <v>9.2899999999999991</v>
      </c>
      <c r="E6347">
        <v>8.2200000000000006</v>
      </c>
      <c r="F6347" s="3">
        <v>0.11460000000000001</v>
      </c>
      <c r="G6347">
        <v>8.2256</v>
      </c>
      <c r="H6347">
        <v>1.2</v>
      </c>
    </row>
    <row r="6348" spans="1:8" x14ac:dyDescent="0.25">
      <c r="A6348" t="s">
        <v>6354</v>
      </c>
      <c r="B6348">
        <v>20100</v>
      </c>
      <c r="C6348">
        <v>7891024174210</v>
      </c>
      <c r="D6348">
        <v>9.2899999999999991</v>
      </c>
      <c r="E6348">
        <v>8.09</v>
      </c>
      <c r="F6348" s="3">
        <v>0.12820000000000001</v>
      </c>
      <c r="G6348">
        <v>8.0988000000000007</v>
      </c>
      <c r="H6348">
        <v>0.83299999999999996</v>
      </c>
    </row>
    <row r="6349" spans="1:8" x14ac:dyDescent="0.25">
      <c r="A6349" t="s">
        <v>6355</v>
      </c>
      <c r="B6349">
        <v>65383</v>
      </c>
      <c r="C6349">
        <v>7509546689913</v>
      </c>
      <c r="D6349">
        <v>15.9</v>
      </c>
      <c r="E6349">
        <v>11.71</v>
      </c>
      <c r="F6349" s="3">
        <v>0.26450000000000001</v>
      </c>
      <c r="G6349">
        <v>11.694599999999999</v>
      </c>
      <c r="H6349">
        <v>0.23300000000000001</v>
      </c>
    </row>
    <row r="6350" spans="1:8" x14ac:dyDescent="0.25">
      <c r="A6350" t="s">
        <v>6356</v>
      </c>
      <c r="B6350">
        <v>20104</v>
      </c>
      <c r="C6350">
        <v>7891024174036</v>
      </c>
      <c r="D6350">
        <v>9.2899999999999991</v>
      </c>
      <c r="E6350">
        <v>8.23</v>
      </c>
      <c r="F6350" s="3">
        <v>0.11380000000000001</v>
      </c>
      <c r="G6350">
        <v>8.2331000000000003</v>
      </c>
      <c r="H6350">
        <v>6.7000000000000004E-2</v>
      </c>
    </row>
    <row r="6351" spans="1:8" x14ac:dyDescent="0.25">
      <c r="A6351" t="s">
        <v>6357</v>
      </c>
      <c r="B6351">
        <v>20101</v>
      </c>
      <c r="C6351">
        <v>7891024172230</v>
      </c>
      <c r="D6351">
        <v>9.2899999999999991</v>
      </c>
      <c r="E6351">
        <v>8.18</v>
      </c>
      <c r="F6351" s="3">
        <v>0.1176</v>
      </c>
      <c r="G6351">
        <v>8.1973000000000003</v>
      </c>
      <c r="H6351">
        <v>1.867</v>
      </c>
    </row>
    <row r="6352" spans="1:8" x14ac:dyDescent="0.25">
      <c r="A6352" t="s">
        <v>6358</v>
      </c>
      <c r="B6352">
        <v>20102</v>
      </c>
      <c r="C6352">
        <v>7891024161913</v>
      </c>
      <c r="D6352">
        <v>9.2899999999999991</v>
      </c>
      <c r="E6352">
        <v>8.16</v>
      </c>
      <c r="F6352" s="3">
        <v>0.12029999999999999</v>
      </c>
      <c r="G6352">
        <v>8.1724999999999994</v>
      </c>
      <c r="H6352">
        <v>1.167</v>
      </c>
    </row>
    <row r="6353" spans="1:8" x14ac:dyDescent="0.25">
      <c r="A6353" t="s">
        <v>6359</v>
      </c>
      <c r="B6353">
        <v>65385</v>
      </c>
      <c r="C6353">
        <v>7509546689944</v>
      </c>
      <c r="D6353">
        <v>15.9</v>
      </c>
      <c r="E6353">
        <v>11.29</v>
      </c>
      <c r="F6353" s="3">
        <v>0.2616</v>
      </c>
      <c r="G6353">
        <v>11.740600000000001</v>
      </c>
      <c r="H6353">
        <v>3.3000000000000002E-2</v>
      </c>
    </row>
    <row r="6354" spans="1:8" x14ac:dyDescent="0.25">
      <c r="A6354" t="s">
        <v>6360</v>
      </c>
      <c r="B6354">
        <v>20103</v>
      </c>
      <c r="C6354">
        <v>7891024171639</v>
      </c>
      <c r="D6354">
        <v>9.2899999999999991</v>
      </c>
      <c r="E6354">
        <v>8.23</v>
      </c>
      <c r="F6354" s="3">
        <v>0.1137</v>
      </c>
      <c r="G6354">
        <v>8.2333999999999996</v>
      </c>
      <c r="H6354">
        <v>6.7000000000000004E-2</v>
      </c>
    </row>
    <row r="6355" spans="1:8" x14ac:dyDescent="0.25">
      <c r="A6355" t="s">
        <v>6361</v>
      </c>
      <c r="B6355">
        <v>20117</v>
      </c>
      <c r="C6355">
        <v>7891024158609</v>
      </c>
      <c r="D6355">
        <v>9.2899999999999991</v>
      </c>
      <c r="E6355">
        <v>8.0299999999999994</v>
      </c>
      <c r="F6355" s="3">
        <v>0.1358</v>
      </c>
      <c r="G6355">
        <v>8.0282999999999998</v>
      </c>
      <c r="H6355">
        <v>0.1</v>
      </c>
    </row>
    <row r="6356" spans="1:8" x14ac:dyDescent="0.25">
      <c r="A6356" t="s">
        <v>6362</v>
      </c>
      <c r="B6356">
        <v>61728</v>
      </c>
      <c r="C6356">
        <v>7509546674957</v>
      </c>
      <c r="D6356">
        <v>13.99</v>
      </c>
      <c r="E6356">
        <v>12.56</v>
      </c>
      <c r="F6356" s="3">
        <v>0.1048</v>
      </c>
      <c r="G6356">
        <v>12.523899999999999</v>
      </c>
      <c r="H6356">
        <v>0.7</v>
      </c>
    </row>
    <row r="6357" spans="1:8" x14ac:dyDescent="0.25">
      <c r="A6357" t="s">
        <v>6363</v>
      </c>
      <c r="B6357">
        <v>61729</v>
      </c>
      <c r="C6357">
        <v>7509546673851</v>
      </c>
      <c r="D6357">
        <v>13.99</v>
      </c>
      <c r="E6357">
        <v>12.9</v>
      </c>
      <c r="F6357" s="3">
        <v>7.5199999999999989E-2</v>
      </c>
      <c r="G6357">
        <v>12.938599999999999</v>
      </c>
      <c r="H6357">
        <v>1</v>
      </c>
    </row>
    <row r="6358" spans="1:8" x14ac:dyDescent="0.25">
      <c r="A6358" t="s">
        <v>6364</v>
      </c>
      <c r="B6358">
        <v>61730</v>
      </c>
      <c r="C6358">
        <v>7509546674940</v>
      </c>
      <c r="D6358">
        <v>13.99</v>
      </c>
      <c r="E6358">
        <v>12.93</v>
      </c>
      <c r="F6358" s="3">
        <v>7.4999999999999997E-2</v>
      </c>
      <c r="G6358">
        <v>12.9411</v>
      </c>
      <c r="H6358">
        <v>0.86699999999999999</v>
      </c>
    </row>
    <row r="6359" spans="1:8" x14ac:dyDescent="0.25">
      <c r="A6359" t="s">
        <v>6365</v>
      </c>
      <c r="B6359">
        <v>20120</v>
      </c>
      <c r="C6359">
        <v>7891024174180</v>
      </c>
      <c r="D6359">
        <v>16.899999999999999</v>
      </c>
      <c r="E6359">
        <v>11.27</v>
      </c>
      <c r="F6359" s="3">
        <v>0.33200000000000002</v>
      </c>
      <c r="G6359">
        <v>11.289099999999999</v>
      </c>
      <c r="H6359">
        <v>0.2</v>
      </c>
    </row>
    <row r="6360" spans="1:8" x14ac:dyDescent="0.25">
      <c r="A6360" t="s">
        <v>6366</v>
      </c>
      <c r="B6360">
        <v>56729</v>
      </c>
      <c r="C6360">
        <v>7891024042113</v>
      </c>
      <c r="D6360">
        <v>16.899999999999999</v>
      </c>
      <c r="E6360">
        <v>11.21</v>
      </c>
      <c r="F6360" s="3">
        <v>0.33610000000000001</v>
      </c>
      <c r="G6360">
        <v>11.220700000000001</v>
      </c>
      <c r="H6360">
        <v>0.4</v>
      </c>
    </row>
    <row r="6361" spans="1:8" x14ac:dyDescent="0.25">
      <c r="A6361" t="s">
        <v>6367</v>
      </c>
      <c r="B6361">
        <v>20121</v>
      </c>
      <c r="C6361">
        <v>7891024174135</v>
      </c>
      <c r="D6361">
        <v>16.899999999999999</v>
      </c>
      <c r="E6361">
        <v>11.23</v>
      </c>
      <c r="F6361" s="3">
        <v>0.33560000000000001</v>
      </c>
      <c r="G6361">
        <v>11.2285</v>
      </c>
      <c r="H6361">
        <v>0.9</v>
      </c>
    </row>
    <row r="6362" spans="1:8" x14ac:dyDescent="0.25">
      <c r="A6362" t="s">
        <v>6368</v>
      </c>
      <c r="B6362">
        <v>65387</v>
      </c>
      <c r="C6362">
        <v>7509546689876</v>
      </c>
      <c r="D6362">
        <v>16.899999999999999</v>
      </c>
      <c r="E6362">
        <v>11.14</v>
      </c>
      <c r="F6362" s="3">
        <v>0.34009999999999996</v>
      </c>
      <c r="G6362">
        <v>11.153</v>
      </c>
      <c r="H6362">
        <v>0.2</v>
      </c>
    </row>
    <row r="6363" spans="1:8" x14ac:dyDescent="0.25">
      <c r="A6363" t="s">
        <v>6369</v>
      </c>
      <c r="B6363">
        <v>20098</v>
      </c>
      <c r="C6363">
        <v>7891024160718</v>
      </c>
      <c r="D6363">
        <v>19.899999999999999</v>
      </c>
      <c r="E6363">
        <v>13.56</v>
      </c>
      <c r="F6363" s="3">
        <v>0.31879999999999997</v>
      </c>
      <c r="G6363">
        <v>13.555</v>
      </c>
      <c r="H6363">
        <v>0.1</v>
      </c>
    </row>
    <row r="6364" spans="1:8" x14ac:dyDescent="0.25">
      <c r="A6364" t="s">
        <v>6370</v>
      </c>
      <c r="B6364">
        <v>64254</v>
      </c>
      <c r="C6364">
        <v>7509546686202</v>
      </c>
      <c r="D6364">
        <v>17.899999999999999</v>
      </c>
      <c r="E6364">
        <v>13.05</v>
      </c>
      <c r="F6364" s="3">
        <v>0.2712</v>
      </c>
      <c r="G6364">
        <v>13.0456</v>
      </c>
      <c r="H6364">
        <v>3.3000000000000002E-2</v>
      </c>
    </row>
    <row r="6365" spans="1:8" x14ac:dyDescent="0.25">
      <c r="A6365" t="s">
        <v>6371</v>
      </c>
      <c r="B6365">
        <v>61911</v>
      </c>
      <c r="C6365">
        <v>7509546680590</v>
      </c>
      <c r="D6365">
        <v>25.9</v>
      </c>
      <c r="E6365">
        <v>19.93</v>
      </c>
      <c r="F6365" s="3">
        <v>0.23</v>
      </c>
      <c r="G6365">
        <v>19.942399999999999</v>
      </c>
      <c r="H6365">
        <v>0.4</v>
      </c>
    </row>
    <row r="6366" spans="1:8" x14ac:dyDescent="0.25">
      <c r="A6366" t="s">
        <v>6372</v>
      </c>
      <c r="B6366">
        <v>54210</v>
      </c>
      <c r="C6366">
        <v>7891024042908</v>
      </c>
      <c r="D6366">
        <v>9.2899999999999991</v>
      </c>
      <c r="E6366">
        <v>8.1300000000000008</v>
      </c>
      <c r="F6366" s="3">
        <v>0.12189999999999999</v>
      </c>
      <c r="G6366">
        <v>8.1571999999999996</v>
      </c>
      <c r="H6366">
        <v>1.6</v>
      </c>
    </row>
    <row r="6367" spans="1:8" x14ac:dyDescent="0.25">
      <c r="A6367" t="s">
        <v>6373</v>
      </c>
      <c r="B6367">
        <v>62351</v>
      </c>
      <c r="C6367">
        <v>7509546681139</v>
      </c>
      <c r="D6367">
        <v>9.2899999999999991</v>
      </c>
      <c r="E6367">
        <v>8.1199999999999992</v>
      </c>
      <c r="F6367" s="3">
        <v>0.12390000000000001</v>
      </c>
      <c r="G6367">
        <v>8.1393000000000004</v>
      </c>
      <c r="H6367">
        <v>2.133</v>
      </c>
    </row>
    <row r="6368" spans="1:8" x14ac:dyDescent="0.25">
      <c r="A6368" t="s">
        <v>6374</v>
      </c>
      <c r="B6368">
        <v>62350</v>
      </c>
      <c r="C6368">
        <v>7509546681153</v>
      </c>
      <c r="D6368">
        <v>9.2899999999999991</v>
      </c>
      <c r="E6368">
        <v>8.17</v>
      </c>
      <c r="F6368" s="3">
        <v>0.11900000000000001</v>
      </c>
      <c r="G6368">
        <v>8.1844000000000001</v>
      </c>
      <c r="H6368">
        <v>1.9</v>
      </c>
    </row>
    <row r="6369" spans="1:8" x14ac:dyDescent="0.25">
      <c r="A6369" t="s">
        <v>6375</v>
      </c>
      <c r="B6369">
        <v>68404</v>
      </c>
      <c r="C6369">
        <v>7891033522309</v>
      </c>
      <c r="D6369">
        <v>21.9</v>
      </c>
      <c r="E6369">
        <v>15.35</v>
      </c>
      <c r="F6369" s="3">
        <v>0.29880000000000001</v>
      </c>
      <c r="G6369">
        <v>15.356</v>
      </c>
      <c r="H6369">
        <v>0.1</v>
      </c>
    </row>
    <row r="6370" spans="1:8" x14ac:dyDescent="0.25">
      <c r="A6370" t="s">
        <v>6376</v>
      </c>
      <c r="B6370">
        <v>68406</v>
      </c>
      <c r="C6370">
        <v>7891033519347</v>
      </c>
      <c r="D6370">
        <v>24.9</v>
      </c>
      <c r="E6370">
        <v>18.11</v>
      </c>
      <c r="F6370" s="3">
        <v>0.2727</v>
      </c>
      <c r="G6370">
        <v>18.11</v>
      </c>
      <c r="H6370">
        <v>0.1</v>
      </c>
    </row>
    <row r="6371" spans="1:8" x14ac:dyDescent="0.25">
      <c r="A6371" t="s">
        <v>6377</v>
      </c>
      <c r="B6371">
        <v>68405</v>
      </c>
      <c r="C6371">
        <v>7891033519330</v>
      </c>
      <c r="D6371">
        <v>29.9</v>
      </c>
      <c r="E6371">
        <v>20.91</v>
      </c>
      <c r="F6371" s="3">
        <v>0.30070000000000002</v>
      </c>
      <c r="G6371">
        <v>20.91</v>
      </c>
      <c r="H6371">
        <v>0.2</v>
      </c>
    </row>
    <row r="6372" spans="1:8" x14ac:dyDescent="0.25">
      <c r="A6372" t="s">
        <v>6378</v>
      </c>
      <c r="B6372">
        <v>68425</v>
      </c>
      <c r="C6372">
        <v>7891150099845</v>
      </c>
      <c r="D6372">
        <v>16.899999999999999</v>
      </c>
      <c r="E6372">
        <v>10.96</v>
      </c>
      <c r="F6372" s="3">
        <v>0.31879999999999997</v>
      </c>
      <c r="G6372">
        <v>9.9498999999999995</v>
      </c>
      <c r="H6372">
        <v>0.23300000000000001</v>
      </c>
    </row>
    <row r="6373" spans="1:8" x14ac:dyDescent="0.25">
      <c r="A6373" t="s">
        <v>6379</v>
      </c>
      <c r="B6373">
        <v>32495</v>
      </c>
      <c r="C6373">
        <v>7891150037458</v>
      </c>
      <c r="D6373">
        <v>15.9</v>
      </c>
      <c r="E6373">
        <v>10.57</v>
      </c>
      <c r="F6373" s="3">
        <v>0.33020000000000005</v>
      </c>
      <c r="G6373">
        <v>10.6492</v>
      </c>
      <c r="H6373">
        <v>1.2669999999999999</v>
      </c>
    </row>
    <row r="6374" spans="1:8" x14ac:dyDescent="0.25">
      <c r="A6374" t="s">
        <v>6380</v>
      </c>
      <c r="B6374">
        <v>49322</v>
      </c>
      <c r="C6374">
        <v>7891150060685</v>
      </c>
      <c r="D6374">
        <v>15.9</v>
      </c>
      <c r="E6374">
        <v>10.39</v>
      </c>
      <c r="F6374" s="3">
        <v>0.34450000000000003</v>
      </c>
      <c r="G6374">
        <v>10.422700000000001</v>
      </c>
      <c r="H6374">
        <v>0.76700000000000002</v>
      </c>
    </row>
    <row r="6375" spans="1:8" x14ac:dyDescent="0.25">
      <c r="A6375" t="s">
        <v>6381</v>
      </c>
      <c r="B6375">
        <v>56140</v>
      </c>
      <c r="C6375">
        <v>7891150070301</v>
      </c>
      <c r="D6375">
        <v>15.9</v>
      </c>
      <c r="E6375">
        <v>10.72</v>
      </c>
      <c r="F6375" s="3">
        <v>0.32590000000000002</v>
      </c>
      <c r="G6375">
        <v>10.718299999999999</v>
      </c>
      <c r="H6375">
        <v>2.9670000000000001</v>
      </c>
    </row>
    <row r="6376" spans="1:8" x14ac:dyDescent="0.25">
      <c r="A6376" t="s">
        <v>6382</v>
      </c>
      <c r="B6376">
        <v>56006</v>
      </c>
      <c r="C6376">
        <v>7891150067509</v>
      </c>
      <c r="D6376">
        <v>15.9</v>
      </c>
      <c r="E6376">
        <v>10.25</v>
      </c>
      <c r="F6376" s="3">
        <v>0.34909999999999997</v>
      </c>
      <c r="G6376">
        <v>10.3485</v>
      </c>
      <c r="H6376">
        <v>0.4</v>
      </c>
    </row>
    <row r="6377" spans="1:8" x14ac:dyDescent="0.25">
      <c r="A6377" t="s">
        <v>6383</v>
      </c>
      <c r="B6377">
        <v>7145</v>
      </c>
      <c r="C6377">
        <v>7891150037595</v>
      </c>
      <c r="D6377">
        <v>15.9</v>
      </c>
      <c r="E6377">
        <v>10.34</v>
      </c>
      <c r="F6377" s="3">
        <v>0.33079999999999998</v>
      </c>
      <c r="G6377">
        <v>10.641</v>
      </c>
      <c r="H6377">
        <v>0.53300000000000003</v>
      </c>
    </row>
    <row r="6378" spans="1:8" x14ac:dyDescent="0.25">
      <c r="A6378" t="s">
        <v>6384</v>
      </c>
      <c r="B6378">
        <v>7144</v>
      </c>
      <c r="C6378">
        <v>7891150037397</v>
      </c>
      <c r="D6378">
        <v>15.9</v>
      </c>
      <c r="E6378">
        <v>10.73</v>
      </c>
      <c r="F6378" s="3">
        <v>0.32390000000000002</v>
      </c>
      <c r="G6378">
        <v>10.7493</v>
      </c>
      <c r="H6378">
        <v>1.9330000000000001</v>
      </c>
    </row>
    <row r="6379" spans="1:8" x14ac:dyDescent="0.25">
      <c r="A6379" t="s">
        <v>6385</v>
      </c>
      <c r="B6379">
        <v>59314</v>
      </c>
      <c r="C6379">
        <v>7891150080089</v>
      </c>
      <c r="D6379">
        <v>15.9</v>
      </c>
      <c r="E6379">
        <v>10.41</v>
      </c>
      <c r="F6379" s="3">
        <v>0.33700000000000002</v>
      </c>
      <c r="G6379">
        <v>10.542</v>
      </c>
      <c r="H6379">
        <v>0.33300000000000002</v>
      </c>
    </row>
    <row r="6380" spans="1:8" x14ac:dyDescent="0.25">
      <c r="A6380" t="s">
        <v>6386</v>
      </c>
      <c r="B6380">
        <v>19707</v>
      </c>
      <c r="C6380">
        <v>7891150037588</v>
      </c>
      <c r="D6380">
        <v>15.9</v>
      </c>
      <c r="E6380">
        <v>9.77</v>
      </c>
      <c r="F6380" s="3">
        <v>0.38530000000000003</v>
      </c>
      <c r="G6380">
        <v>9.7744</v>
      </c>
      <c r="H6380">
        <v>0.2</v>
      </c>
    </row>
    <row r="6381" spans="1:8" x14ac:dyDescent="0.25">
      <c r="A6381" t="s">
        <v>6387</v>
      </c>
      <c r="B6381">
        <v>19706</v>
      </c>
      <c r="C6381">
        <v>7891150037601</v>
      </c>
      <c r="D6381">
        <v>15.9</v>
      </c>
      <c r="E6381">
        <v>9.8699999999999992</v>
      </c>
      <c r="F6381" s="3">
        <v>0.3785</v>
      </c>
      <c r="G6381">
        <v>9.8818999999999999</v>
      </c>
      <c r="H6381">
        <v>0.16700000000000001</v>
      </c>
    </row>
    <row r="6382" spans="1:8" x14ac:dyDescent="0.25">
      <c r="A6382" t="s">
        <v>6388</v>
      </c>
      <c r="B6382">
        <v>18552</v>
      </c>
      <c r="C6382">
        <v>7891150037502</v>
      </c>
      <c r="D6382">
        <v>15.9</v>
      </c>
      <c r="E6382">
        <v>10.95</v>
      </c>
      <c r="F6382" s="3">
        <v>0.30590000000000001</v>
      </c>
      <c r="G6382">
        <v>11.0357</v>
      </c>
      <c r="H6382">
        <v>0.63300000000000001</v>
      </c>
    </row>
    <row r="6383" spans="1:8" x14ac:dyDescent="0.25">
      <c r="A6383" t="s">
        <v>6389</v>
      </c>
      <c r="B6383">
        <v>7141</v>
      </c>
      <c r="C6383">
        <v>7891150037519</v>
      </c>
      <c r="D6383">
        <v>15.9</v>
      </c>
      <c r="E6383">
        <v>10.53</v>
      </c>
      <c r="F6383" s="3">
        <v>0.3342</v>
      </c>
      <c r="G6383">
        <v>10.5863</v>
      </c>
      <c r="H6383">
        <v>1.2</v>
      </c>
    </row>
    <row r="6384" spans="1:8" x14ac:dyDescent="0.25">
      <c r="A6384" t="s">
        <v>6390</v>
      </c>
      <c r="B6384">
        <v>52141</v>
      </c>
      <c r="C6384">
        <v>7891150063440</v>
      </c>
      <c r="D6384">
        <v>31.8</v>
      </c>
      <c r="E6384">
        <v>10.16</v>
      </c>
      <c r="F6384" s="3">
        <v>0.68049999999999999</v>
      </c>
      <c r="G6384">
        <v>10.1595</v>
      </c>
      <c r="H6384">
        <v>0.33300000000000002</v>
      </c>
    </row>
    <row r="6385" spans="1:8" x14ac:dyDescent="0.25">
      <c r="A6385" t="s">
        <v>6391</v>
      </c>
      <c r="B6385">
        <v>17583</v>
      </c>
      <c r="C6385">
        <v>7891150037540</v>
      </c>
      <c r="D6385">
        <v>15.9</v>
      </c>
      <c r="E6385">
        <v>10.039999999999999</v>
      </c>
      <c r="F6385" s="3">
        <v>0.36430000000000001</v>
      </c>
      <c r="G6385">
        <v>10.1075</v>
      </c>
      <c r="H6385">
        <v>0.23300000000000001</v>
      </c>
    </row>
    <row r="6386" spans="1:8" x14ac:dyDescent="0.25">
      <c r="A6386" t="s">
        <v>6392</v>
      </c>
      <c r="B6386">
        <v>64265</v>
      </c>
      <c r="C6386">
        <v>7891150091467</v>
      </c>
      <c r="D6386">
        <v>15.9</v>
      </c>
      <c r="E6386">
        <v>10.55</v>
      </c>
      <c r="F6386" s="3">
        <v>0.33649999999999997</v>
      </c>
      <c r="G6386">
        <v>10.5496</v>
      </c>
      <c r="H6386">
        <v>3.3000000000000002E-2</v>
      </c>
    </row>
    <row r="6387" spans="1:8" x14ac:dyDescent="0.25">
      <c r="A6387" t="s">
        <v>6393</v>
      </c>
      <c r="B6387">
        <v>32488</v>
      </c>
      <c r="C6387">
        <v>7891150037526</v>
      </c>
      <c r="D6387">
        <v>15.9</v>
      </c>
      <c r="E6387">
        <v>10.99</v>
      </c>
      <c r="F6387" s="3">
        <v>0.29339999999999999</v>
      </c>
      <c r="G6387">
        <v>11.235200000000001</v>
      </c>
      <c r="H6387">
        <v>1</v>
      </c>
    </row>
    <row r="6388" spans="1:8" x14ac:dyDescent="0.25">
      <c r="A6388" t="s">
        <v>6394</v>
      </c>
      <c r="B6388">
        <v>18580</v>
      </c>
      <c r="C6388">
        <v>7891150037564</v>
      </c>
      <c r="D6388">
        <v>18.190000000000001</v>
      </c>
      <c r="E6388">
        <v>10.57</v>
      </c>
      <c r="F6388" s="3">
        <v>0.41840000000000005</v>
      </c>
      <c r="G6388">
        <v>10.5792</v>
      </c>
      <c r="H6388">
        <v>2.7330000000000001</v>
      </c>
    </row>
    <row r="6389" spans="1:8" x14ac:dyDescent="0.25">
      <c r="A6389" t="s">
        <v>6395</v>
      </c>
      <c r="B6389">
        <v>32489</v>
      </c>
      <c r="C6389">
        <v>7891150037571</v>
      </c>
      <c r="D6389">
        <v>15.9</v>
      </c>
      <c r="E6389">
        <v>10.25</v>
      </c>
      <c r="F6389" s="3">
        <v>0.33250000000000002</v>
      </c>
      <c r="G6389">
        <v>10.612500000000001</v>
      </c>
      <c r="H6389">
        <v>0.5</v>
      </c>
    </row>
    <row r="6390" spans="1:8" x14ac:dyDescent="0.25">
      <c r="A6390" t="s">
        <v>6396</v>
      </c>
      <c r="B6390">
        <v>66932</v>
      </c>
      <c r="C6390">
        <v>7891150096288</v>
      </c>
      <c r="D6390">
        <v>14.9</v>
      </c>
      <c r="E6390">
        <v>13.02</v>
      </c>
      <c r="F6390" s="3">
        <v>0.1211</v>
      </c>
      <c r="G6390">
        <v>13.0961</v>
      </c>
      <c r="H6390">
        <v>6.7000000000000004E-2</v>
      </c>
    </row>
    <row r="6391" spans="1:8" x14ac:dyDescent="0.25">
      <c r="A6391" t="s">
        <v>6397</v>
      </c>
      <c r="B6391">
        <v>66933</v>
      </c>
      <c r="C6391">
        <v>7891150096318</v>
      </c>
      <c r="D6391">
        <v>14.9</v>
      </c>
      <c r="E6391">
        <v>13.28</v>
      </c>
      <c r="F6391" s="3">
        <v>0.1042</v>
      </c>
      <c r="G6391">
        <v>13.3476</v>
      </c>
      <c r="H6391">
        <v>0.33300000000000002</v>
      </c>
    </row>
    <row r="6392" spans="1:8" x14ac:dyDescent="0.25">
      <c r="A6392" t="s">
        <v>6398</v>
      </c>
      <c r="B6392">
        <v>62371</v>
      </c>
      <c r="C6392">
        <v>7891150088467</v>
      </c>
      <c r="D6392">
        <v>14.9</v>
      </c>
      <c r="E6392">
        <v>9.9600000000000009</v>
      </c>
      <c r="F6392" s="3">
        <v>0.33130000000000004</v>
      </c>
      <c r="G6392">
        <v>9.9640000000000004</v>
      </c>
      <c r="H6392">
        <v>6.7000000000000004E-2</v>
      </c>
    </row>
    <row r="6393" spans="1:8" x14ac:dyDescent="0.25">
      <c r="A6393" t="s">
        <v>6399</v>
      </c>
      <c r="B6393">
        <v>60657</v>
      </c>
      <c r="C6393">
        <v>7891150083561</v>
      </c>
      <c r="D6393">
        <v>15.9</v>
      </c>
      <c r="E6393">
        <v>10.56</v>
      </c>
      <c r="F6393" s="3">
        <v>0.33360000000000001</v>
      </c>
      <c r="G6393">
        <v>10.5951</v>
      </c>
      <c r="H6393">
        <v>1</v>
      </c>
    </row>
    <row r="6394" spans="1:8" x14ac:dyDescent="0.25">
      <c r="A6394" t="s">
        <v>6400</v>
      </c>
      <c r="B6394">
        <v>60663</v>
      </c>
      <c r="C6394">
        <v>7891150083585</v>
      </c>
      <c r="D6394">
        <v>15.9</v>
      </c>
      <c r="E6394">
        <v>10.55</v>
      </c>
      <c r="F6394" s="3">
        <v>0.32219999999999999</v>
      </c>
      <c r="G6394">
        <v>10.7773</v>
      </c>
      <c r="H6394">
        <v>0.56699999999999995</v>
      </c>
    </row>
    <row r="6395" spans="1:8" x14ac:dyDescent="0.25">
      <c r="A6395" t="s">
        <v>6401</v>
      </c>
      <c r="B6395">
        <v>60005</v>
      </c>
      <c r="C6395">
        <v>7891150078253</v>
      </c>
      <c r="D6395">
        <v>24.8</v>
      </c>
      <c r="E6395">
        <v>16.07</v>
      </c>
      <c r="F6395" s="3">
        <v>0.32579999999999998</v>
      </c>
      <c r="G6395">
        <v>16.7193</v>
      </c>
      <c r="H6395">
        <v>0.63300000000000001</v>
      </c>
    </row>
    <row r="6396" spans="1:8" x14ac:dyDescent="0.25">
      <c r="A6396" t="s">
        <v>6402</v>
      </c>
      <c r="B6396">
        <v>60554</v>
      </c>
      <c r="C6396">
        <v>7891150078246</v>
      </c>
      <c r="D6396">
        <v>24.8</v>
      </c>
      <c r="E6396">
        <v>17.239999999999998</v>
      </c>
      <c r="F6396" s="3">
        <v>0.29339999999999999</v>
      </c>
      <c r="G6396">
        <v>17.524899999999999</v>
      </c>
      <c r="H6396">
        <v>1.2330000000000001</v>
      </c>
    </row>
    <row r="6397" spans="1:8" x14ac:dyDescent="0.25">
      <c r="A6397" t="s">
        <v>6403</v>
      </c>
      <c r="B6397">
        <v>60669</v>
      </c>
      <c r="C6397">
        <v>7891150083592</v>
      </c>
      <c r="D6397">
        <v>14.9</v>
      </c>
      <c r="E6397">
        <v>10.31</v>
      </c>
      <c r="F6397" s="3">
        <v>0.30829999999999996</v>
      </c>
      <c r="G6397">
        <v>10.306699999999999</v>
      </c>
      <c r="H6397">
        <v>3.3000000000000002E-2</v>
      </c>
    </row>
    <row r="6398" spans="1:8" x14ac:dyDescent="0.25">
      <c r="A6398" t="s">
        <v>6404</v>
      </c>
      <c r="B6398">
        <v>7156</v>
      </c>
      <c r="C6398">
        <v>7891150018846</v>
      </c>
      <c r="D6398">
        <v>26.9</v>
      </c>
      <c r="E6398">
        <v>19.5</v>
      </c>
      <c r="F6398" s="3">
        <v>0.27289999999999998</v>
      </c>
      <c r="G6398">
        <v>19.558199999999999</v>
      </c>
      <c r="H6398">
        <v>1.167</v>
      </c>
    </row>
    <row r="6399" spans="1:8" x14ac:dyDescent="0.25">
      <c r="A6399" t="s">
        <v>6405</v>
      </c>
      <c r="B6399">
        <v>69569</v>
      </c>
      <c r="C6399">
        <v>7891150100336</v>
      </c>
      <c r="D6399">
        <v>30.9</v>
      </c>
      <c r="E6399">
        <v>21.43</v>
      </c>
      <c r="F6399" s="3">
        <v>0.30649999999999999</v>
      </c>
      <c r="G6399">
        <v>21.4298</v>
      </c>
      <c r="H6399">
        <v>0</v>
      </c>
    </row>
    <row r="6400" spans="1:8" x14ac:dyDescent="0.25">
      <c r="A6400" t="s">
        <v>6406</v>
      </c>
      <c r="B6400">
        <v>33274</v>
      </c>
      <c r="C6400">
        <v>7891150041714</v>
      </c>
      <c r="D6400">
        <v>26.9</v>
      </c>
      <c r="E6400">
        <v>19.21</v>
      </c>
      <c r="F6400" s="3">
        <v>0.28010000000000002</v>
      </c>
      <c r="G6400">
        <v>19.364799999999999</v>
      </c>
      <c r="H6400">
        <v>0.56699999999999995</v>
      </c>
    </row>
    <row r="6401" spans="1:8" x14ac:dyDescent="0.25">
      <c r="A6401" t="s">
        <v>6407</v>
      </c>
      <c r="B6401">
        <v>65228</v>
      </c>
      <c r="C6401">
        <v>7891150093058</v>
      </c>
      <c r="D6401">
        <v>36.9</v>
      </c>
      <c r="E6401">
        <v>24.24</v>
      </c>
      <c r="F6401" s="3">
        <v>0.35310000000000002</v>
      </c>
      <c r="G6401">
        <v>23.872199999999999</v>
      </c>
      <c r="H6401">
        <v>0.3</v>
      </c>
    </row>
    <row r="6402" spans="1:8" x14ac:dyDescent="0.25">
      <c r="A6402" t="s">
        <v>6408</v>
      </c>
      <c r="B6402">
        <v>69530</v>
      </c>
      <c r="C6402">
        <v>7891150100312</v>
      </c>
      <c r="D6402">
        <v>43.9</v>
      </c>
      <c r="E6402">
        <v>30.69</v>
      </c>
      <c r="F6402" s="3">
        <v>0.3009</v>
      </c>
      <c r="G6402">
        <v>30.689800000000002</v>
      </c>
      <c r="H6402">
        <v>0</v>
      </c>
    </row>
    <row r="6403" spans="1:8" x14ac:dyDescent="0.25">
      <c r="A6403" t="s">
        <v>6409</v>
      </c>
      <c r="B6403">
        <v>65198</v>
      </c>
      <c r="C6403">
        <v>7891150091207</v>
      </c>
      <c r="D6403">
        <v>36.9</v>
      </c>
      <c r="E6403">
        <v>24.85</v>
      </c>
      <c r="F6403" s="3">
        <v>0.30840000000000001</v>
      </c>
      <c r="G6403">
        <v>25.518799999999999</v>
      </c>
      <c r="H6403">
        <v>0.63300000000000001</v>
      </c>
    </row>
    <row r="6404" spans="1:8" x14ac:dyDescent="0.25">
      <c r="A6404" t="s">
        <v>6410</v>
      </c>
      <c r="B6404">
        <v>65200</v>
      </c>
      <c r="C6404">
        <v>7891150091191</v>
      </c>
      <c r="D6404">
        <v>36.9</v>
      </c>
      <c r="E6404">
        <v>25.96</v>
      </c>
      <c r="F6404" s="3">
        <v>0.28239999999999998</v>
      </c>
      <c r="G6404">
        <v>26.479500000000002</v>
      </c>
      <c r="H6404">
        <v>0.63300000000000001</v>
      </c>
    </row>
    <row r="6405" spans="1:8" x14ac:dyDescent="0.25">
      <c r="A6405" t="s">
        <v>6411</v>
      </c>
      <c r="B6405">
        <v>65225</v>
      </c>
      <c r="C6405">
        <v>7891150091184</v>
      </c>
      <c r="D6405">
        <v>36.9</v>
      </c>
      <c r="E6405">
        <v>25.89</v>
      </c>
      <c r="F6405" s="3">
        <v>0.2923</v>
      </c>
      <c r="G6405">
        <v>26.114899999999999</v>
      </c>
      <c r="H6405">
        <v>0.7</v>
      </c>
    </row>
    <row r="6406" spans="1:8" x14ac:dyDescent="0.25">
      <c r="A6406" t="s">
        <v>6412</v>
      </c>
      <c r="B6406">
        <v>65199</v>
      </c>
      <c r="C6406">
        <v>7891150091122</v>
      </c>
      <c r="D6406">
        <v>36.9</v>
      </c>
      <c r="E6406">
        <v>25.36</v>
      </c>
      <c r="F6406" s="3">
        <v>0.30790000000000001</v>
      </c>
      <c r="G6406">
        <v>25.5381</v>
      </c>
      <c r="H6406">
        <v>1.3</v>
      </c>
    </row>
    <row r="6407" spans="1:8" x14ac:dyDescent="0.25">
      <c r="A6407" t="s">
        <v>6413</v>
      </c>
      <c r="B6407">
        <v>59313</v>
      </c>
      <c r="C6407">
        <v>7891150079793</v>
      </c>
      <c r="D6407">
        <v>26.9</v>
      </c>
      <c r="E6407">
        <v>18.75</v>
      </c>
      <c r="F6407" s="3">
        <v>0.30230000000000001</v>
      </c>
      <c r="G6407">
        <v>18.7681</v>
      </c>
      <c r="H6407">
        <v>0.2</v>
      </c>
    </row>
    <row r="6408" spans="1:8" x14ac:dyDescent="0.25">
      <c r="A6408" t="s">
        <v>6414</v>
      </c>
      <c r="B6408">
        <v>65195</v>
      </c>
      <c r="C6408">
        <v>7891150091214</v>
      </c>
      <c r="D6408">
        <v>26.9</v>
      </c>
      <c r="E6408">
        <v>17.22</v>
      </c>
      <c r="F6408" s="3">
        <v>0.34639999999999999</v>
      </c>
      <c r="G6408">
        <v>17.582100000000001</v>
      </c>
      <c r="H6408">
        <v>0.56699999999999995</v>
      </c>
    </row>
    <row r="6409" spans="1:8" x14ac:dyDescent="0.25">
      <c r="A6409" t="s">
        <v>6415</v>
      </c>
      <c r="B6409">
        <v>7160</v>
      </c>
      <c r="C6409">
        <v>7891150018877</v>
      </c>
      <c r="D6409">
        <v>26.9</v>
      </c>
      <c r="E6409">
        <v>18.489999999999998</v>
      </c>
      <c r="F6409" s="3">
        <v>0.31670000000000004</v>
      </c>
      <c r="G6409">
        <v>18.3809</v>
      </c>
      <c r="H6409">
        <v>0.4</v>
      </c>
    </row>
    <row r="6410" spans="1:8" x14ac:dyDescent="0.25">
      <c r="A6410" t="s">
        <v>6416</v>
      </c>
      <c r="B6410">
        <v>17689</v>
      </c>
      <c r="C6410">
        <v>7891150029606</v>
      </c>
      <c r="D6410">
        <v>26.9</v>
      </c>
      <c r="E6410">
        <v>17.68</v>
      </c>
      <c r="F6410" s="3">
        <v>0.34179999999999999</v>
      </c>
      <c r="G6410">
        <v>17.706700000000001</v>
      </c>
      <c r="H6410">
        <v>0.33300000000000002</v>
      </c>
    </row>
    <row r="6411" spans="1:8" x14ac:dyDescent="0.25">
      <c r="A6411" t="s">
        <v>6417</v>
      </c>
      <c r="B6411">
        <v>65210</v>
      </c>
      <c r="C6411">
        <v>7891150093034</v>
      </c>
      <c r="D6411">
        <v>36.9</v>
      </c>
      <c r="E6411">
        <v>24.3</v>
      </c>
      <c r="F6411" s="3">
        <v>0.32770000000000005</v>
      </c>
      <c r="G6411">
        <v>24.808700000000002</v>
      </c>
      <c r="H6411">
        <v>0.2</v>
      </c>
    </row>
    <row r="6412" spans="1:8" x14ac:dyDescent="0.25">
      <c r="A6412" t="s">
        <v>6418</v>
      </c>
      <c r="B6412">
        <v>68334</v>
      </c>
      <c r="C6412">
        <v>7899852025513</v>
      </c>
      <c r="D6412">
        <v>19.989999999999998</v>
      </c>
      <c r="E6412">
        <v>13.98</v>
      </c>
      <c r="F6412" s="3">
        <v>0.30070000000000002</v>
      </c>
      <c r="G6412">
        <v>13.98</v>
      </c>
      <c r="H6412">
        <v>0.3</v>
      </c>
    </row>
    <row r="6413" spans="1:8" x14ac:dyDescent="0.25">
      <c r="A6413" t="s">
        <v>6419</v>
      </c>
      <c r="B6413">
        <v>68332</v>
      </c>
      <c r="C6413">
        <v>7899852025070</v>
      </c>
      <c r="D6413">
        <v>19.989999999999998</v>
      </c>
      <c r="E6413">
        <v>13.98</v>
      </c>
      <c r="F6413" s="3">
        <v>0.30070000000000002</v>
      </c>
      <c r="G6413">
        <v>13.98</v>
      </c>
      <c r="H6413">
        <v>1.667</v>
      </c>
    </row>
    <row r="6414" spans="1:8" x14ac:dyDescent="0.25">
      <c r="A6414" t="s">
        <v>6420</v>
      </c>
      <c r="B6414">
        <v>68335</v>
      </c>
      <c r="C6414">
        <v>7899852025452</v>
      </c>
      <c r="D6414">
        <v>19.989999999999998</v>
      </c>
      <c r="E6414">
        <v>13.98</v>
      </c>
      <c r="F6414" s="3">
        <v>0.30070000000000002</v>
      </c>
      <c r="G6414">
        <v>13.98</v>
      </c>
      <c r="H6414">
        <v>0.73299999999999998</v>
      </c>
    </row>
    <row r="6415" spans="1:8" x14ac:dyDescent="0.25">
      <c r="A6415" t="s">
        <v>6421</v>
      </c>
      <c r="B6415">
        <v>68329</v>
      </c>
      <c r="C6415">
        <v>7899852025063</v>
      </c>
      <c r="D6415">
        <v>19.989999999999998</v>
      </c>
      <c r="E6415">
        <v>13.98</v>
      </c>
      <c r="F6415" s="3">
        <v>0.30070000000000002</v>
      </c>
      <c r="G6415">
        <v>13.98</v>
      </c>
      <c r="H6415">
        <v>1</v>
      </c>
    </row>
    <row r="6416" spans="1:8" x14ac:dyDescent="0.25">
      <c r="A6416" t="s">
        <v>6422</v>
      </c>
      <c r="B6416">
        <v>43601</v>
      </c>
      <c r="C6416">
        <v>4901497475332</v>
      </c>
      <c r="D6416">
        <v>27.9</v>
      </c>
      <c r="E6416">
        <v>12.59</v>
      </c>
      <c r="F6416" s="3">
        <v>0.39689999999999998</v>
      </c>
      <c r="G6416">
        <v>9.2241</v>
      </c>
      <c r="H6416">
        <v>0.1</v>
      </c>
    </row>
    <row r="6417" spans="1:8" x14ac:dyDescent="0.25">
      <c r="A6417" t="s">
        <v>6423</v>
      </c>
      <c r="B6417">
        <v>54061</v>
      </c>
      <c r="C6417">
        <v>7896423480894</v>
      </c>
      <c r="D6417">
        <v>4.99</v>
      </c>
      <c r="E6417">
        <v>2.65</v>
      </c>
      <c r="F6417" s="3">
        <v>0.34100000000000003</v>
      </c>
      <c r="G6417">
        <v>1.9288000000000001</v>
      </c>
      <c r="H6417">
        <v>10</v>
      </c>
    </row>
    <row r="6418" spans="1:8" x14ac:dyDescent="0.25">
      <c r="A6418" t="s">
        <v>6424</v>
      </c>
      <c r="B6418">
        <v>54062</v>
      </c>
      <c r="C6418">
        <v>7896423481020</v>
      </c>
      <c r="D6418">
        <v>4.99</v>
      </c>
      <c r="E6418">
        <v>2.66</v>
      </c>
      <c r="F6418" s="3">
        <v>0.3407</v>
      </c>
      <c r="G6418">
        <v>1.9302999999999999</v>
      </c>
      <c r="H6418">
        <v>6.7329999999999997</v>
      </c>
    </row>
    <row r="6419" spans="1:8" x14ac:dyDescent="0.25">
      <c r="A6419" t="s">
        <v>6425</v>
      </c>
      <c r="B6419">
        <v>54063</v>
      </c>
      <c r="C6419">
        <v>7896423481037</v>
      </c>
      <c r="D6419">
        <v>9.9</v>
      </c>
      <c r="E6419">
        <v>5.77</v>
      </c>
      <c r="F6419" s="3">
        <v>0.30370000000000003</v>
      </c>
      <c r="G6419">
        <v>4.1959999999999997</v>
      </c>
      <c r="H6419">
        <v>8.2330000000000005</v>
      </c>
    </row>
    <row r="6420" spans="1:8" x14ac:dyDescent="0.25">
      <c r="A6420" t="s">
        <v>6426</v>
      </c>
      <c r="B6420">
        <v>57573</v>
      </c>
      <c r="C6420">
        <v>7893218003610</v>
      </c>
      <c r="D6420">
        <v>7.9</v>
      </c>
      <c r="E6420">
        <v>4.4400000000000004</v>
      </c>
      <c r="F6420" s="3">
        <v>0.39729999999999999</v>
      </c>
      <c r="G6420">
        <v>4.0303000000000004</v>
      </c>
      <c r="H6420">
        <v>85.433000000000007</v>
      </c>
    </row>
    <row r="6421" spans="1:8" x14ac:dyDescent="0.25">
      <c r="A6421" t="s">
        <v>6427</v>
      </c>
      <c r="B6421">
        <v>25442</v>
      </c>
      <c r="C6421">
        <v>7893218003603</v>
      </c>
      <c r="D6421">
        <v>8.9</v>
      </c>
      <c r="E6421">
        <v>6.12</v>
      </c>
      <c r="F6421" s="3">
        <v>0.28420000000000001</v>
      </c>
      <c r="G6421">
        <v>5.5473999999999997</v>
      </c>
      <c r="H6421">
        <v>73.566999999999993</v>
      </c>
    </row>
    <row r="6422" spans="1:8" x14ac:dyDescent="0.25">
      <c r="A6422" t="s">
        <v>6428</v>
      </c>
      <c r="B6422">
        <v>69245</v>
      </c>
      <c r="C6422">
        <v>7898994217930</v>
      </c>
      <c r="D6422">
        <v>8.99</v>
      </c>
      <c r="E6422">
        <v>4.42</v>
      </c>
      <c r="F6422" s="3">
        <v>0.36959999999999998</v>
      </c>
      <c r="G6422">
        <v>3.2172999999999998</v>
      </c>
      <c r="H6422">
        <v>8.6</v>
      </c>
    </row>
    <row r="6423" spans="1:8" x14ac:dyDescent="0.25">
      <c r="A6423" t="s">
        <v>6429</v>
      </c>
      <c r="B6423">
        <v>69242</v>
      </c>
      <c r="C6423">
        <v>7898994217916</v>
      </c>
      <c r="D6423">
        <v>8.99</v>
      </c>
      <c r="E6423">
        <v>4.42</v>
      </c>
      <c r="F6423" s="3">
        <v>0.36959999999999998</v>
      </c>
      <c r="G6423">
        <v>3.2172000000000001</v>
      </c>
      <c r="H6423">
        <v>21.933</v>
      </c>
    </row>
    <row r="6424" spans="1:8" x14ac:dyDescent="0.25">
      <c r="A6424" t="s">
        <v>6430</v>
      </c>
      <c r="B6424">
        <v>69244</v>
      </c>
      <c r="C6424">
        <v>7898994217923</v>
      </c>
      <c r="D6424">
        <v>8.99</v>
      </c>
      <c r="E6424">
        <v>4.42</v>
      </c>
      <c r="F6424" s="3">
        <v>0.36959999999999998</v>
      </c>
      <c r="G6424">
        <v>3.2172999999999998</v>
      </c>
      <c r="H6424">
        <v>7.6669999999999998</v>
      </c>
    </row>
    <row r="6425" spans="1:8" x14ac:dyDescent="0.25">
      <c r="A6425" t="s">
        <v>6431</v>
      </c>
      <c r="B6425">
        <v>69248</v>
      </c>
      <c r="C6425">
        <v>7898642110996</v>
      </c>
      <c r="D6425">
        <v>9.99</v>
      </c>
      <c r="E6425">
        <v>5.97</v>
      </c>
      <c r="F6425" s="3">
        <v>0.36520000000000002</v>
      </c>
      <c r="G6425">
        <v>5.4172000000000002</v>
      </c>
      <c r="H6425">
        <v>0.96699999999999997</v>
      </c>
    </row>
    <row r="6426" spans="1:8" x14ac:dyDescent="0.25">
      <c r="A6426" t="s">
        <v>6432</v>
      </c>
      <c r="B6426">
        <v>69250</v>
      </c>
      <c r="C6426">
        <v>7898642111016</v>
      </c>
      <c r="D6426">
        <v>9.99</v>
      </c>
      <c r="E6426">
        <v>5.97</v>
      </c>
      <c r="F6426" s="3">
        <v>0.36520000000000002</v>
      </c>
      <c r="G6426">
        <v>5.4172000000000002</v>
      </c>
      <c r="H6426">
        <v>0.56699999999999995</v>
      </c>
    </row>
    <row r="6427" spans="1:8" x14ac:dyDescent="0.25">
      <c r="A6427" t="s">
        <v>6433</v>
      </c>
      <c r="B6427">
        <v>69249</v>
      </c>
      <c r="C6427">
        <v>7898642111009</v>
      </c>
      <c r="D6427">
        <v>9.99</v>
      </c>
      <c r="E6427">
        <v>5.97</v>
      </c>
      <c r="F6427" s="3">
        <v>0.36520000000000002</v>
      </c>
      <c r="G6427">
        <v>5.4172000000000002</v>
      </c>
      <c r="H6427">
        <v>0.7</v>
      </c>
    </row>
    <row r="6428" spans="1:8" x14ac:dyDescent="0.25">
      <c r="A6428" t="s">
        <v>6434</v>
      </c>
      <c r="B6428">
        <v>65843</v>
      </c>
      <c r="C6428">
        <v>7898643940523</v>
      </c>
      <c r="D6428">
        <v>4.99</v>
      </c>
      <c r="E6428">
        <v>2.98</v>
      </c>
      <c r="F6428" s="3">
        <v>0.36509999999999998</v>
      </c>
      <c r="G6428">
        <v>2.7063999999999999</v>
      </c>
      <c r="H6428">
        <v>0.1</v>
      </c>
    </row>
    <row r="6429" spans="1:8" x14ac:dyDescent="0.25">
      <c r="A6429" t="s">
        <v>6435</v>
      </c>
      <c r="B6429">
        <v>58771</v>
      </c>
      <c r="C6429">
        <v>7896004007021</v>
      </c>
      <c r="D6429">
        <v>3.99</v>
      </c>
      <c r="E6429">
        <v>2.27</v>
      </c>
      <c r="F6429" s="3">
        <v>0.39090000000000003</v>
      </c>
      <c r="G6429">
        <v>2.0609999999999999</v>
      </c>
      <c r="H6429">
        <v>2.7</v>
      </c>
    </row>
    <row r="6430" spans="1:8" x14ac:dyDescent="0.25">
      <c r="A6430" t="s">
        <v>6436</v>
      </c>
      <c r="B6430">
        <v>58772</v>
      </c>
      <c r="C6430">
        <v>7896004007045</v>
      </c>
      <c r="D6430">
        <v>3.99</v>
      </c>
      <c r="E6430">
        <v>2.27</v>
      </c>
      <c r="F6430" s="3">
        <v>0.39100000000000001</v>
      </c>
      <c r="G6430">
        <v>2.0608</v>
      </c>
      <c r="H6430">
        <v>7.7</v>
      </c>
    </row>
    <row r="6431" spans="1:8" x14ac:dyDescent="0.25">
      <c r="A6431" t="s">
        <v>6437</v>
      </c>
      <c r="B6431">
        <v>66047</v>
      </c>
      <c r="C6431">
        <v>7622210574671</v>
      </c>
      <c r="D6431">
        <v>5.99</v>
      </c>
      <c r="E6431">
        <v>4.7</v>
      </c>
      <c r="F6431" s="3">
        <v>0.19010000000000002</v>
      </c>
      <c r="G6431">
        <v>4.2969999999999997</v>
      </c>
      <c r="H6431">
        <v>1.133</v>
      </c>
    </row>
    <row r="6432" spans="1:8" x14ac:dyDescent="0.25">
      <c r="A6432" t="s">
        <v>6438</v>
      </c>
      <c r="B6432">
        <v>66048</v>
      </c>
      <c r="C6432">
        <v>7622210574695</v>
      </c>
      <c r="D6432">
        <v>5.99</v>
      </c>
      <c r="E6432">
        <v>4.72</v>
      </c>
      <c r="F6432" s="3">
        <v>0.19239999999999999</v>
      </c>
      <c r="G6432">
        <v>4.2834000000000003</v>
      </c>
      <c r="H6432">
        <v>0.8</v>
      </c>
    </row>
    <row r="6433" spans="1:8" x14ac:dyDescent="0.25">
      <c r="A6433" t="s">
        <v>6439</v>
      </c>
      <c r="B6433">
        <v>39652</v>
      </c>
      <c r="C6433">
        <v>88863880304</v>
      </c>
      <c r="D6433">
        <v>16.899999999999999</v>
      </c>
      <c r="E6433">
        <v>7.98</v>
      </c>
      <c r="F6433" s="3">
        <v>0.38400000000000001</v>
      </c>
      <c r="G6433">
        <v>5.8042999999999996</v>
      </c>
      <c r="H6433">
        <v>1.2</v>
      </c>
    </row>
    <row r="6434" spans="1:8" x14ac:dyDescent="0.25">
      <c r="A6434" t="s">
        <v>6440</v>
      </c>
      <c r="B6434">
        <v>39653</v>
      </c>
      <c r="C6434">
        <v>88863880298</v>
      </c>
      <c r="D6434">
        <v>16.899999999999999</v>
      </c>
      <c r="E6434">
        <v>7.98</v>
      </c>
      <c r="F6434" s="3">
        <v>0.38400000000000001</v>
      </c>
      <c r="G6434">
        <v>5.8042999999999996</v>
      </c>
      <c r="H6434">
        <v>0.73299999999999998</v>
      </c>
    </row>
    <row r="6435" spans="1:8" x14ac:dyDescent="0.25">
      <c r="A6435" t="s">
        <v>6441</v>
      </c>
      <c r="B6435">
        <v>59384</v>
      </c>
      <c r="C6435">
        <v>7896024760586</v>
      </c>
      <c r="D6435">
        <v>5.99</v>
      </c>
      <c r="E6435">
        <v>3.42</v>
      </c>
      <c r="F6435" s="3">
        <v>0.38950000000000001</v>
      </c>
      <c r="G6435">
        <v>3.1031</v>
      </c>
      <c r="H6435">
        <v>3.1669999999999998</v>
      </c>
    </row>
    <row r="6436" spans="1:8" x14ac:dyDescent="0.25">
      <c r="A6436" t="s">
        <v>6442</v>
      </c>
      <c r="B6436">
        <v>36923</v>
      </c>
      <c r="C6436">
        <v>7896002302449</v>
      </c>
      <c r="D6436">
        <v>2.99</v>
      </c>
      <c r="E6436">
        <v>2.79</v>
      </c>
      <c r="F6436" s="3">
        <v>5.9400000000000001E-2</v>
      </c>
      <c r="G6436">
        <v>2.5358000000000001</v>
      </c>
      <c r="H6436">
        <v>21</v>
      </c>
    </row>
    <row r="6437" spans="1:8" x14ac:dyDescent="0.25">
      <c r="A6437" t="s">
        <v>6443</v>
      </c>
      <c r="B6437">
        <v>4329</v>
      </c>
      <c r="C6437">
        <v>7896002365963</v>
      </c>
      <c r="D6437">
        <v>2.99</v>
      </c>
      <c r="E6437">
        <v>2.79</v>
      </c>
      <c r="F6437" s="3">
        <v>5.9400000000000001E-2</v>
      </c>
      <c r="G6437">
        <v>2.5358000000000001</v>
      </c>
      <c r="H6437">
        <v>34.966999999999999</v>
      </c>
    </row>
    <row r="6438" spans="1:8" x14ac:dyDescent="0.25">
      <c r="A6438" t="s">
        <v>6444</v>
      </c>
      <c r="B6438">
        <v>4332</v>
      </c>
      <c r="C6438">
        <v>7896002364768</v>
      </c>
      <c r="D6438">
        <v>2.99</v>
      </c>
      <c r="E6438">
        <v>2.79</v>
      </c>
      <c r="F6438" s="3">
        <v>5.9400000000000001E-2</v>
      </c>
      <c r="G6438">
        <v>2.5356999999999998</v>
      </c>
      <c r="H6438">
        <v>19.867000000000001</v>
      </c>
    </row>
    <row r="6439" spans="1:8" x14ac:dyDescent="0.25">
      <c r="A6439" t="s">
        <v>6445</v>
      </c>
      <c r="B6439">
        <v>35648</v>
      </c>
      <c r="C6439">
        <v>7896002301398</v>
      </c>
      <c r="D6439">
        <v>2.99</v>
      </c>
      <c r="E6439">
        <v>2.79</v>
      </c>
      <c r="F6439" s="3">
        <v>5.9400000000000001E-2</v>
      </c>
      <c r="G6439">
        <v>2.5356999999999998</v>
      </c>
      <c r="H6439">
        <v>16.8</v>
      </c>
    </row>
    <row r="6440" spans="1:8" x14ac:dyDescent="0.25">
      <c r="A6440" t="s">
        <v>6446</v>
      </c>
      <c r="B6440">
        <v>62765</v>
      </c>
      <c r="C6440">
        <v>7898697540908</v>
      </c>
      <c r="D6440">
        <v>11.9</v>
      </c>
      <c r="E6440">
        <v>7.81</v>
      </c>
      <c r="F6440" s="3">
        <v>0.31180000000000002</v>
      </c>
      <c r="G6440">
        <v>7.0885999999999996</v>
      </c>
      <c r="H6440">
        <v>0.3</v>
      </c>
    </row>
    <row r="6441" spans="1:8" x14ac:dyDescent="0.25">
      <c r="A6441" t="s">
        <v>6447</v>
      </c>
      <c r="B6441">
        <v>33289</v>
      </c>
      <c r="C6441">
        <v>7896053800581</v>
      </c>
      <c r="D6441">
        <v>19.899999999999999</v>
      </c>
      <c r="E6441">
        <v>14.02</v>
      </c>
      <c r="F6441" s="3">
        <v>0.25829999999999997</v>
      </c>
      <c r="G6441">
        <v>12.92</v>
      </c>
      <c r="H6441">
        <v>1.5</v>
      </c>
    </row>
    <row r="6442" spans="1:8" x14ac:dyDescent="0.25">
      <c r="A6442" t="s">
        <v>6448</v>
      </c>
      <c r="B6442">
        <v>14607</v>
      </c>
      <c r="C6442">
        <v>7896053800468</v>
      </c>
      <c r="D6442">
        <v>19.899999999999999</v>
      </c>
      <c r="E6442">
        <v>13.58</v>
      </c>
      <c r="F6442" s="3">
        <v>0.26929999999999998</v>
      </c>
      <c r="G6442">
        <v>12.699400000000001</v>
      </c>
      <c r="H6442">
        <v>2.1669999999999998</v>
      </c>
    </row>
    <row r="6443" spans="1:8" x14ac:dyDescent="0.25">
      <c r="A6443" t="s">
        <v>6449</v>
      </c>
      <c r="B6443">
        <v>14605</v>
      </c>
      <c r="C6443">
        <v>7896053800444</v>
      </c>
      <c r="D6443">
        <v>19.899999999999999</v>
      </c>
      <c r="E6443">
        <v>14.08</v>
      </c>
      <c r="F6443" s="3">
        <v>0.24149999999999999</v>
      </c>
      <c r="G6443">
        <v>13.2529</v>
      </c>
      <c r="H6443">
        <v>5.4669999999999996</v>
      </c>
    </row>
    <row r="6444" spans="1:8" x14ac:dyDescent="0.25">
      <c r="A6444" t="s">
        <v>6450</v>
      </c>
      <c r="B6444">
        <v>42992</v>
      </c>
      <c r="C6444">
        <v>7896053800932</v>
      </c>
      <c r="D6444">
        <v>19.899999999999999</v>
      </c>
      <c r="E6444">
        <v>14.18</v>
      </c>
      <c r="F6444" s="3">
        <v>0.24929999999999999</v>
      </c>
      <c r="G6444">
        <v>13.0976</v>
      </c>
      <c r="H6444">
        <v>1.333</v>
      </c>
    </row>
    <row r="6445" spans="1:8" x14ac:dyDescent="0.25">
      <c r="A6445" t="s">
        <v>6451</v>
      </c>
      <c r="B6445">
        <v>14606</v>
      </c>
      <c r="C6445">
        <v>7896053800451</v>
      </c>
      <c r="D6445">
        <v>19.899999999999999</v>
      </c>
      <c r="E6445">
        <v>14.37</v>
      </c>
      <c r="F6445" s="3">
        <v>0.2495</v>
      </c>
      <c r="G6445">
        <v>13.0943</v>
      </c>
      <c r="H6445">
        <v>3.2669999999999999</v>
      </c>
    </row>
    <row r="6446" spans="1:8" x14ac:dyDescent="0.25">
      <c r="A6446" t="s">
        <v>6452</v>
      </c>
      <c r="B6446">
        <v>27751</v>
      </c>
      <c r="C6446">
        <v>7896053800574</v>
      </c>
      <c r="D6446">
        <v>19.899999999999999</v>
      </c>
      <c r="E6446">
        <v>14.28</v>
      </c>
      <c r="F6446" s="3">
        <v>0.25659999999999999</v>
      </c>
      <c r="G6446">
        <v>12.952500000000001</v>
      </c>
      <c r="H6446">
        <v>0.86699999999999999</v>
      </c>
    </row>
    <row r="6447" spans="1:8" x14ac:dyDescent="0.25">
      <c r="A6447" t="s">
        <v>6453</v>
      </c>
      <c r="B6447">
        <v>7851</v>
      </c>
      <c r="C6447">
        <v>7896006794394</v>
      </c>
      <c r="D6447">
        <v>9.9</v>
      </c>
      <c r="E6447">
        <v>6.7</v>
      </c>
      <c r="F6447" s="3">
        <v>0.26539999999999997</v>
      </c>
      <c r="G6447">
        <v>5.4908000000000001</v>
      </c>
      <c r="H6447">
        <v>3.3000000000000002E-2</v>
      </c>
    </row>
    <row r="6448" spans="1:8" x14ac:dyDescent="0.25">
      <c r="A6448" t="s">
        <v>6454</v>
      </c>
      <c r="B6448">
        <v>7823</v>
      </c>
      <c r="C6448">
        <v>7896293805001</v>
      </c>
      <c r="D6448">
        <v>18.899999999999999</v>
      </c>
      <c r="E6448">
        <v>11.83</v>
      </c>
      <c r="F6448" s="3">
        <v>0.30690000000000001</v>
      </c>
      <c r="G6448">
        <v>9.6983999999999995</v>
      </c>
      <c r="H6448">
        <v>1.0669999999999999</v>
      </c>
    </row>
    <row r="6449" spans="1:8" x14ac:dyDescent="0.25">
      <c r="A6449" t="s">
        <v>6455</v>
      </c>
      <c r="B6449">
        <v>68191</v>
      </c>
      <c r="C6449">
        <v>7891132161287</v>
      </c>
      <c r="D6449">
        <v>12.99</v>
      </c>
      <c r="E6449">
        <v>8.2100000000000009</v>
      </c>
      <c r="F6449" s="3">
        <v>0.2676</v>
      </c>
      <c r="G6449">
        <v>5.9741999999999997</v>
      </c>
      <c r="H6449">
        <v>0.40500000000000003</v>
      </c>
    </row>
    <row r="6450" spans="1:8" x14ac:dyDescent="0.25">
      <c r="A6450" t="s">
        <v>6456</v>
      </c>
      <c r="B6450">
        <v>68192</v>
      </c>
      <c r="C6450">
        <v>7891132161294</v>
      </c>
      <c r="D6450">
        <v>12.99</v>
      </c>
      <c r="E6450">
        <v>8.2100000000000009</v>
      </c>
      <c r="F6450" s="3">
        <v>0.2676</v>
      </c>
      <c r="G6450">
        <v>5.9741</v>
      </c>
      <c r="H6450">
        <v>0.66700000000000004</v>
      </c>
    </row>
    <row r="6451" spans="1:8" x14ac:dyDescent="0.25">
      <c r="A6451" t="s">
        <v>6457</v>
      </c>
      <c r="B6451">
        <v>68190</v>
      </c>
      <c r="C6451">
        <v>7891132161317</v>
      </c>
      <c r="D6451">
        <v>12.99</v>
      </c>
      <c r="E6451">
        <v>8.2100000000000009</v>
      </c>
      <c r="F6451" s="3">
        <v>0.2676</v>
      </c>
      <c r="G6451">
        <v>5.9740000000000002</v>
      </c>
      <c r="H6451">
        <v>0.53300000000000003</v>
      </c>
    </row>
    <row r="6452" spans="1:8" x14ac:dyDescent="0.25">
      <c r="A6452" t="s">
        <v>6458</v>
      </c>
      <c r="B6452">
        <v>3552</v>
      </c>
      <c r="C6452">
        <v>7891150030596</v>
      </c>
      <c r="D6452">
        <v>9.99</v>
      </c>
      <c r="E6452">
        <v>7.71</v>
      </c>
      <c r="F6452" s="3">
        <v>0.1661</v>
      </c>
      <c r="G6452">
        <v>5.6087999999999996</v>
      </c>
      <c r="H6452">
        <v>7.867</v>
      </c>
    </row>
    <row r="6453" spans="1:8" x14ac:dyDescent="0.25">
      <c r="A6453" t="s">
        <v>6459</v>
      </c>
      <c r="B6453">
        <v>3517</v>
      </c>
      <c r="C6453">
        <v>7891000544402</v>
      </c>
      <c r="D6453">
        <v>6.99</v>
      </c>
      <c r="E6453">
        <v>4.18</v>
      </c>
      <c r="F6453" s="3">
        <v>0.29199999999999998</v>
      </c>
      <c r="G6453">
        <v>3.0438999999999998</v>
      </c>
      <c r="H6453">
        <v>0.63300000000000001</v>
      </c>
    </row>
    <row r="6454" spans="1:8" x14ac:dyDescent="0.25">
      <c r="A6454" t="s">
        <v>6460</v>
      </c>
      <c r="B6454">
        <v>3518</v>
      </c>
      <c r="C6454">
        <v>7891000530610</v>
      </c>
      <c r="D6454">
        <v>6.99</v>
      </c>
      <c r="E6454">
        <v>4.22</v>
      </c>
      <c r="F6454" s="3">
        <v>0.28859999999999997</v>
      </c>
      <c r="G6454">
        <v>3.0678999999999998</v>
      </c>
      <c r="H6454">
        <v>4.8330000000000002</v>
      </c>
    </row>
    <row r="6455" spans="1:8" x14ac:dyDescent="0.25">
      <c r="A6455" t="s">
        <v>6461</v>
      </c>
      <c r="B6455">
        <v>13201</v>
      </c>
      <c r="C6455">
        <v>7891132007554</v>
      </c>
      <c r="D6455">
        <v>3.29</v>
      </c>
      <c r="E6455">
        <v>2.0699999999999998</v>
      </c>
      <c r="F6455" s="3">
        <v>0.26679999999999998</v>
      </c>
      <c r="G6455">
        <v>1.5156000000000001</v>
      </c>
      <c r="H6455">
        <v>3</v>
      </c>
    </row>
    <row r="6456" spans="1:8" x14ac:dyDescent="0.25">
      <c r="A6456" t="s">
        <v>6462</v>
      </c>
      <c r="B6456">
        <v>61195</v>
      </c>
      <c r="C6456">
        <v>7891132110254</v>
      </c>
      <c r="D6456">
        <v>3.99</v>
      </c>
      <c r="E6456">
        <v>2.96</v>
      </c>
      <c r="F6456" s="3">
        <v>0.184</v>
      </c>
      <c r="G6456">
        <v>2.1686999999999999</v>
      </c>
      <c r="H6456">
        <v>0.7</v>
      </c>
    </row>
    <row r="6457" spans="1:8" x14ac:dyDescent="0.25">
      <c r="A6457" t="s">
        <v>6463</v>
      </c>
      <c r="B6457">
        <v>44160</v>
      </c>
      <c r="C6457">
        <v>7891132009374</v>
      </c>
      <c r="D6457">
        <v>3.29</v>
      </c>
      <c r="E6457">
        <v>2.08</v>
      </c>
      <c r="F6457" s="3">
        <v>0.26850000000000002</v>
      </c>
      <c r="G6457">
        <v>1.5102</v>
      </c>
      <c r="H6457">
        <v>2.2330000000000001</v>
      </c>
    </row>
    <row r="6458" spans="1:8" x14ac:dyDescent="0.25">
      <c r="A6458" t="s">
        <v>6464</v>
      </c>
      <c r="B6458">
        <v>13199</v>
      </c>
      <c r="C6458">
        <v>7891132007509</v>
      </c>
      <c r="D6458">
        <v>3.29</v>
      </c>
      <c r="E6458">
        <v>2.06</v>
      </c>
      <c r="F6458" s="3">
        <v>0.27089999999999997</v>
      </c>
      <c r="G6458">
        <v>1.5023</v>
      </c>
      <c r="H6458">
        <v>2.7330000000000001</v>
      </c>
    </row>
    <row r="6459" spans="1:8" x14ac:dyDescent="0.25">
      <c r="A6459" t="s">
        <v>6465</v>
      </c>
      <c r="B6459">
        <v>61198</v>
      </c>
      <c r="C6459">
        <v>7891132110285</v>
      </c>
      <c r="D6459">
        <v>3.99</v>
      </c>
      <c r="E6459">
        <v>2.93</v>
      </c>
      <c r="F6459" s="3">
        <v>0.1913</v>
      </c>
      <c r="G6459">
        <v>2.1395</v>
      </c>
      <c r="H6459">
        <v>2.2999999999999998</v>
      </c>
    </row>
    <row r="6460" spans="1:8" x14ac:dyDescent="0.25">
      <c r="A6460" t="s">
        <v>6466</v>
      </c>
      <c r="B6460">
        <v>3529</v>
      </c>
      <c r="C6460">
        <v>7891132007561</v>
      </c>
      <c r="D6460">
        <v>3.29</v>
      </c>
      <c r="E6460">
        <v>2.0699999999999998</v>
      </c>
      <c r="F6460" s="3">
        <v>0.26750000000000002</v>
      </c>
      <c r="G6460">
        <v>1.5133000000000001</v>
      </c>
      <c r="H6460">
        <v>3.1669999999999998</v>
      </c>
    </row>
    <row r="6461" spans="1:8" x14ac:dyDescent="0.25">
      <c r="A6461" t="s">
        <v>6467</v>
      </c>
      <c r="B6461">
        <v>44170</v>
      </c>
      <c r="C6461">
        <v>7891132009626</v>
      </c>
      <c r="D6461">
        <v>7.99</v>
      </c>
      <c r="E6461">
        <v>4.5999999999999996</v>
      </c>
      <c r="F6461" s="3">
        <v>0.30879999999999996</v>
      </c>
      <c r="G6461">
        <v>3.3456999999999999</v>
      </c>
      <c r="H6461">
        <v>3.1</v>
      </c>
    </row>
    <row r="6462" spans="1:8" x14ac:dyDescent="0.25">
      <c r="A6462" t="s">
        <v>6468</v>
      </c>
      <c r="B6462">
        <v>44173</v>
      </c>
      <c r="C6462">
        <v>7891132009688</v>
      </c>
      <c r="D6462">
        <v>7.99</v>
      </c>
      <c r="E6462">
        <v>4.5999999999999996</v>
      </c>
      <c r="F6462" s="3">
        <v>0.30879999999999996</v>
      </c>
      <c r="G6462">
        <v>3.3458000000000001</v>
      </c>
      <c r="H6462">
        <v>0.5</v>
      </c>
    </row>
    <row r="6463" spans="1:8" x14ac:dyDescent="0.25">
      <c r="A6463" t="s">
        <v>6469</v>
      </c>
      <c r="B6463">
        <v>61640</v>
      </c>
      <c r="C6463">
        <v>7891132083039</v>
      </c>
      <c r="D6463">
        <v>8.2899999999999991</v>
      </c>
      <c r="E6463">
        <v>4.78</v>
      </c>
      <c r="F6463" s="3">
        <v>0.30840000000000001</v>
      </c>
      <c r="G6463">
        <v>3.4746000000000001</v>
      </c>
      <c r="H6463">
        <v>0.1</v>
      </c>
    </row>
    <row r="6464" spans="1:8" x14ac:dyDescent="0.25">
      <c r="A6464" t="s">
        <v>6470</v>
      </c>
      <c r="B6464">
        <v>3532</v>
      </c>
      <c r="C6464">
        <v>7891132007523</v>
      </c>
      <c r="D6464">
        <v>3.29</v>
      </c>
      <c r="E6464">
        <v>2.08</v>
      </c>
      <c r="F6464" s="3">
        <v>0.26469999999999999</v>
      </c>
      <c r="G6464">
        <v>1.5226</v>
      </c>
      <c r="H6464">
        <v>3.7669999999999999</v>
      </c>
    </row>
    <row r="6465" spans="1:8" x14ac:dyDescent="0.25">
      <c r="A6465" t="s">
        <v>6471</v>
      </c>
      <c r="B6465">
        <v>61196</v>
      </c>
      <c r="C6465">
        <v>7891132110551</v>
      </c>
      <c r="D6465">
        <v>3.99</v>
      </c>
      <c r="E6465">
        <v>2.98</v>
      </c>
      <c r="F6465" s="3">
        <v>0.18460000000000001</v>
      </c>
      <c r="G6465">
        <v>2.1661999999999999</v>
      </c>
      <c r="H6465">
        <v>2.633</v>
      </c>
    </row>
    <row r="6466" spans="1:8" x14ac:dyDescent="0.25">
      <c r="A6466" t="s">
        <v>6472</v>
      </c>
      <c r="B6466">
        <v>13197</v>
      </c>
      <c r="C6466">
        <v>7891132007530</v>
      </c>
      <c r="D6466">
        <v>3.29</v>
      </c>
      <c r="E6466">
        <v>2.11</v>
      </c>
      <c r="F6466" s="3">
        <v>0.26170000000000004</v>
      </c>
      <c r="G6466">
        <v>1.5324</v>
      </c>
      <c r="H6466">
        <v>2.6</v>
      </c>
    </row>
    <row r="6467" spans="1:8" x14ac:dyDescent="0.25">
      <c r="A6467" t="s">
        <v>6473</v>
      </c>
      <c r="B6467">
        <v>13202</v>
      </c>
      <c r="C6467">
        <v>7891132007486</v>
      </c>
      <c r="D6467">
        <v>3.29</v>
      </c>
      <c r="E6467">
        <v>2.08</v>
      </c>
      <c r="F6467" s="3">
        <v>0.26229999999999998</v>
      </c>
      <c r="G6467">
        <v>1.5304</v>
      </c>
      <c r="H6467">
        <v>3.8330000000000002</v>
      </c>
    </row>
    <row r="6468" spans="1:8" x14ac:dyDescent="0.25">
      <c r="A6468" t="s">
        <v>6474</v>
      </c>
      <c r="B6468">
        <v>19823</v>
      </c>
      <c r="C6468">
        <v>7891150027312</v>
      </c>
      <c r="D6468">
        <v>13.9</v>
      </c>
      <c r="E6468">
        <v>9.14</v>
      </c>
      <c r="F6468" s="3">
        <v>0.24890000000000001</v>
      </c>
      <c r="G6468">
        <v>6.6524999999999999</v>
      </c>
      <c r="H6468">
        <v>1.367</v>
      </c>
    </row>
    <row r="6469" spans="1:8" x14ac:dyDescent="0.25">
      <c r="A6469" t="s">
        <v>6475</v>
      </c>
      <c r="B6469">
        <v>9437</v>
      </c>
      <c r="C6469">
        <v>7891150027329</v>
      </c>
      <c r="D6469">
        <v>13.9</v>
      </c>
      <c r="E6469">
        <v>9.1</v>
      </c>
      <c r="F6469" s="3">
        <v>0.25650000000000001</v>
      </c>
      <c r="G6469">
        <v>6.5467000000000004</v>
      </c>
      <c r="H6469">
        <v>0.66700000000000004</v>
      </c>
    </row>
    <row r="6470" spans="1:8" x14ac:dyDescent="0.25">
      <c r="A6470" t="s">
        <v>6476</v>
      </c>
      <c r="B6470">
        <v>4314</v>
      </c>
      <c r="C6470">
        <v>7891150027350</v>
      </c>
      <c r="D6470">
        <v>13.9</v>
      </c>
      <c r="E6470">
        <v>8.99</v>
      </c>
      <c r="F6470" s="3">
        <v>0.25670000000000004</v>
      </c>
      <c r="G6470">
        <v>6.5437000000000003</v>
      </c>
      <c r="H6470">
        <v>0.63300000000000001</v>
      </c>
    </row>
    <row r="6471" spans="1:8" x14ac:dyDescent="0.25">
      <c r="A6471" t="s">
        <v>6477</v>
      </c>
      <c r="B6471">
        <v>3570</v>
      </c>
      <c r="C6471">
        <v>7891000582107</v>
      </c>
      <c r="D6471">
        <v>11.9</v>
      </c>
      <c r="E6471">
        <v>7.42</v>
      </c>
      <c r="F6471" s="3">
        <v>0.27360000000000001</v>
      </c>
      <c r="G6471">
        <v>5.4019000000000004</v>
      </c>
      <c r="H6471">
        <v>1.4330000000000001</v>
      </c>
    </row>
    <row r="6472" spans="1:8" x14ac:dyDescent="0.25">
      <c r="A6472" t="s">
        <v>6478</v>
      </c>
      <c r="B6472">
        <v>24564</v>
      </c>
      <c r="C6472">
        <v>7891000097694</v>
      </c>
      <c r="D6472">
        <v>11.9</v>
      </c>
      <c r="E6472">
        <v>7.39</v>
      </c>
      <c r="F6472" s="3">
        <v>0.27560000000000001</v>
      </c>
      <c r="G6472">
        <v>5.3771000000000004</v>
      </c>
      <c r="H6472">
        <v>0.56699999999999995</v>
      </c>
    </row>
    <row r="6473" spans="1:8" x14ac:dyDescent="0.25">
      <c r="A6473" t="s">
        <v>6479</v>
      </c>
      <c r="B6473">
        <v>3585</v>
      </c>
      <c r="C6473">
        <v>7891000049891</v>
      </c>
      <c r="D6473">
        <v>11.9</v>
      </c>
      <c r="E6473">
        <v>7.26</v>
      </c>
      <c r="F6473" s="3">
        <v>0.27589999999999998</v>
      </c>
      <c r="G6473">
        <v>5.3746</v>
      </c>
      <c r="H6473">
        <v>0.96699999999999997</v>
      </c>
    </row>
    <row r="6474" spans="1:8" x14ac:dyDescent="0.25">
      <c r="A6474" t="s">
        <v>6480</v>
      </c>
      <c r="B6474">
        <v>3582</v>
      </c>
      <c r="C6474">
        <v>7891000582008</v>
      </c>
      <c r="D6474">
        <v>11.9</v>
      </c>
      <c r="E6474">
        <v>7.44</v>
      </c>
      <c r="F6474" s="3">
        <v>0.27350000000000002</v>
      </c>
      <c r="G6474">
        <v>5.4024999999999999</v>
      </c>
      <c r="H6474">
        <v>1.633</v>
      </c>
    </row>
    <row r="6475" spans="1:8" x14ac:dyDescent="0.25">
      <c r="A6475" t="s">
        <v>6481</v>
      </c>
      <c r="B6475">
        <v>67803</v>
      </c>
      <c r="C6475">
        <v>7891000275108</v>
      </c>
      <c r="D6475">
        <v>12.9</v>
      </c>
      <c r="E6475">
        <v>7.48</v>
      </c>
      <c r="F6475" s="3">
        <v>0.30620000000000003</v>
      </c>
      <c r="G6475">
        <v>5.4348000000000001</v>
      </c>
      <c r="H6475">
        <v>0.4</v>
      </c>
    </row>
    <row r="6476" spans="1:8" x14ac:dyDescent="0.25">
      <c r="A6476" t="s">
        <v>6482</v>
      </c>
      <c r="B6476">
        <v>67804</v>
      </c>
      <c r="C6476">
        <v>7891000275122</v>
      </c>
      <c r="D6476">
        <v>12.9</v>
      </c>
      <c r="E6476">
        <v>7.46</v>
      </c>
      <c r="F6476" s="3">
        <v>0.30649999999999999</v>
      </c>
      <c r="G6476">
        <v>5.4309000000000003</v>
      </c>
      <c r="H6476">
        <v>0.6</v>
      </c>
    </row>
    <row r="6477" spans="1:8" x14ac:dyDescent="0.25">
      <c r="A6477" t="s">
        <v>6483</v>
      </c>
      <c r="B6477">
        <v>66937</v>
      </c>
      <c r="C6477">
        <v>7891150096219</v>
      </c>
      <c r="D6477">
        <v>19.899999999999999</v>
      </c>
      <c r="E6477">
        <v>18.68</v>
      </c>
      <c r="F6477" s="3">
        <v>6.1200000000000004E-2</v>
      </c>
      <c r="G6477">
        <v>18.682700000000001</v>
      </c>
      <c r="H6477">
        <v>6.7000000000000004E-2</v>
      </c>
    </row>
    <row r="6478" spans="1:8" x14ac:dyDescent="0.25">
      <c r="A6478" t="s">
        <v>6484</v>
      </c>
      <c r="B6478">
        <v>9780</v>
      </c>
      <c r="C6478">
        <v>7898247311309</v>
      </c>
      <c r="D6478">
        <v>12.9</v>
      </c>
      <c r="E6478">
        <v>10.27</v>
      </c>
      <c r="F6478" s="3">
        <v>0.13400000000000001</v>
      </c>
      <c r="G6478">
        <v>7.6559999999999997</v>
      </c>
      <c r="H6478">
        <v>0.66700000000000004</v>
      </c>
    </row>
    <row r="6479" spans="1:8" x14ac:dyDescent="0.25">
      <c r="A6479" t="s">
        <v>6485</v>
      </c>
      <c r="B6479">
        <v>9778</v>
      </c>
      <c r="C6479">
        <v>7898247311286</v>
      </c>
      <c r="D6479">
        <v>12.9</v>
      </c>
      <c r="E6479">
        <v>10.02</v>
      </c>
      <c r="F6479" s="3">
        <v>0.1583</v>
      </c>
      <c r="G6479">
        <v>7.3429000000000002</v>
      </c>
      <c r="H6479">
        <v>0.86699999999999999</v>
      </c>
    </row>
    <row r="6480" spans="1:8" x14ac:dyDescent="0.25">
      <c r="A6480" t="s">
        <v>6486</v>
      </c>
      <c r="B6480">
        <v>9779</v>
      </c>
      <c r="C6480">
        <v>7898247311293</v>
      </c>
      <c r="D6480">
        <v>12.9</v>
      </c>
      <c r="E6480">
        <v>10.07</v>
      </c>
      <c r="F6480" s="3">
        <v>0.13900000000000001</v>
      </c>
      <c r="G6480">
        <v>7.5911999999999997</v>
      </c>
      <c r="H6480">
        <v>0.3</v>
      </c>
    </row>
    <row r="6481" spans="1:8" x14ac:dyDescent="0.25">
      <c r="A6481" t="s">
        <v>6487</v>
      </c>
      <c r="B6481">
        <v>64707</v>
      </c>
      <c r="C6481">
        <v>7893753603054</v>
      </c>
      <c r="D6481">
        <v>22.9</v>
      </c>
      <c r="E6481">
        <v>12.07</v>
      </c>
      <c r="F6481" s="3">
        <v>0.34389999999999998</v>
      </c>
      <c r="G6481">
        <v>8.7840000000000007</v>
      </c>
      <c r="H6481">
        <v>0.16700000000000001</v>
      </c>
    </row>
    <row r="6482" spans="1:8" x14ac:dyDescent="0.25">
      <c r="A6482" t="s">
        <v>6488</v>
      </c>
      <c r="B6482">
        <v>69572</v>
      </c>
      <c r="C6482">
        <v>7891150100343</v>
      </c>
      <c r="D6482">
        <v>43.9</v>
      </c>
      <c r="E6482">
        <v>28.38</v>
      </c>
      <c r="F6482" s="3">
        <v>0.35350000000000004</v>
      </c>
      <c r="G6482">
        <v>28.380099999999999</v>
      </c>
      <c r="H6482">
        <v>0.14299999999999999</v>
      </c>
    </row>
    <row r="6483" spans="1:8" x14ac:dyDescent="0.25">
      <c r="A6483" t="s">
        <v>6489</v>
      </c>
      <c r="B6483">
        <v>65401</v>
      </c>
      <c r="C6483">
        <v>7891150095236</v>
      </c>
      <c r="D6483">
        <v>40.9</v>
      </c>
      <c r="E6483">
        <v>27.2</v>
      </c>
      <c r="F6483" s="3">
        <v>0.33500000000000002</v>
      </c>
      <c r="G6483">
        <v>27.198699999999999</v>
      </c>
      <c r="H6483">
        <v>6.7000000000000004E-2</v>
      </c>
    </row>
    <row r="6484" spans="1:8" x14ac:dyDescent="0.25">
      <c r="A6484" t="s">
        <v>6490</v>
      </c>
      <c r="B6484">
        <v>69570</v>
      </c>
      <c r="C6484">
        <v>7891150100107</v>
      </c>
      <c r="D6484">
        <v>57.9</v>
      </c>
      <c r="E6484">
        <v>37.19</v>
      </c>
      <c r="F6484" s="3">
        <v>0.35759999999999997</v>
      </c>
      <c r="G6484">
        <v>37.192500000000003</v>
      </c>
      <c r="H6484">
        <v>0</v>
      </c>
    </row>
    <row r="6485" spans="1:8" x14ac:dyDescent="0.25">
      <c r="A6485" t="s">
        <v>6491</v>
      </c>
      <c r="B6485">
        <v>66681</v>
      </c>
      <c r="C6485">
        <v>7898692300439</v>
      </c>
      <c r="D6485">
        <v>7.99</v>
      </c>
      <c r="E6485">
        <v>4.28</v>
      </c>
      <c r="F6485" s="3">
        <v>0.33810000000000001</v>
      </c>
      <c r="G6485">
        <v>3.1113</v>
      </c>
      <c r="H6485">
        <v>4.7670000000000003</v>
      </c>
    </row>
    <row r="6486" spans="1:8" x14ac:dyDescent="0.25">
      <c r="A6486" t="s">
        <v>6492</v>
      </c>
      <c r="B6486">
        <v>66680</v>
      </c>
      <c r="C6486">
        <v>7898692300422</v>
      </c>
      <c r="D6486">
        <v>7.99</v>
      </c>
      <c r="E6486">
        <v>4.32</v>
      </c>
      <c r="F6486" s="3">
        <v>0.33329999999999999</v>
      </c>
      <c r="G6486">
        <v>3.1499000000000001</v>
      </c>
      <c r="H6486">
        <v>3.4670000000000001</v>
      </c>
    </row>
    <row r="6487" spans="1:8" x14ac:dyDescent="0.25">
      <c r="A6487" t="s">
        <v>6493</v>
      </c>
      <c r="B6487">
        <v>47122</v>
      </c>
      <c r="C6487">
        <v>7896931614156</v>
      </c>
      <c r="D6487">
        <v>7.99</v>
      </c>
      <c r="E6487">
        <v>5.36</v>
      </c>
      <c r="F6487" s="3">
        <v>0.29849999999999999</v>
      </c>
      <c r="G6487">
        <v>4.8658000000000001</v>
      </c>
      <c r="H6487">
        <v>1.2330000000000001</v>
      </c>
    </row>
    <row r="6488" spans="1:8" x14ac:dyDescent="0.25">
      <c r="A6488" t="s">
        <v>6494</v>
      </c>
      <c r="B6488">
        <v>47120</v>
      </c>
      <c r="C6488">
        <v>7896931614125</v>
      </c>
      <c r="D6488">
        <v>5.49</v>
      </c>
      <c r="E6488">
        <v>3.66</v>
      </c>
      <c r="F6488" s="3">
        <v>0.30230000000000001</v>
      </c>
      <c r="G6488">
        <v>3.3227000000000002</v>
      </c>
      <c r="H6488">
        <v>18.367000000000001</v>
      </c>
    </row>
    <row r="6489" spans="1:8" x14ac:dyDescent="0.25">
      <c r="A6489" t="s">
        <v>6495</v>
      </c>
      <c r="B6489">
        <v>67807</v>
      </c>
      <c r="C6489">
        <v>7896931615788</v>
      </c>
      <c r="D6489">
        <v>12.49</v>
      </c>
      <c r="E6489">
        <v>8.19</v>
      </c>
      <c r="F6489" s="3">
        <v>0.31230000000000002</v>
      </c>
      <c r="G6489">
        <v>7.4337999999999997</v>
      </c>
      <c r="H6489">
        <v>24.233000000000001</v>
      </c>
    </row>
    <row r="6490" spans="1:8" x14ac:dyDescent="0.25">
      <c r="A6490" t="s">
        <v>6496</v>
      </c>
      <c r="B6490">
        <v>67808</v>
      </c>
      <c r="C6490">
        <v>7896931615795</v>
      </c>
      <c r="D6490">
        <v>12.49</v>
      </c>
      <c r="E6490">
        <v>8.19</v>
      </c>
      <c r="F6490" s="3">
        <v>0.31230000000000002</v>
      </c>
      <c r="G6490">
        <v>7.4337</v>
      </c>
      <c r="H6490">
        <v>44.6</v>
      </c>
    </row>
    <row r="6491" spans="1:8" x14ac:dyDescent="0.25">
      <c r="A6491" t="s">
        <v>6497</v>
      </c>
      <c r="B6491">
        <v>69780</v>
      </c>
      <c r="C6491">
        <v>7896931615917</v>
      </c>
      <c r="D6491">
        <v>12.49</v>
      </c>
      <c r="E6491">
        <v>7.98</v>
      </c>
      <c r="F6491" s="3">
        <v>0.3201</v>
      </c>
      <c r="G6491">
        <v>7.3371000000000004</v>
      </c>
      <c r="H6491">
        <v>4.3330000000000002</v>
      </c>
    </row>
    <row r="6492" spans="1:8" x14ac:dyDescent="0.25">
      <c r="A6492" t="s">
        <v>6498</v>
      </c>
      <c r="B6492">
        <v>67809</v>
      </c>
      <c r="C6492">
        <v>7896931615801</v>
      </c>
      <c r="D6492">
        <v>11.49</v>
      </c>
      <c r="E6492">
        <v>8.19</v>
      </c>
      <c r="F6492" s="3">
        <v>0.26050000000000001</v>
      </c>
      <c r="G6492">
        <v>7.4337</v>
      </c>
      <c r="H6492">
        <v>99.7</v>
      </c>
    </row>
    <row r="6493" spans="1:8" x14ac:dyDescent="0.25">
      <c r="A6493" t="s">
        <v>6499</v>
      </c>
      <c r="B6493">
        <v>9466</v>
      </c>
      <c r="C6493">
        <v>7891141032059</v>
      </c>
      <c r="D6493">
        <v>22.9</v>
      </c>
      <c r="E6493">
        <v>14.59</v>
      </c>
      <c r="F6493" s="3">
        <v>0.32939999999999997</v>
      </c>
      <c r="G6493">
        <v>13.2377</v>
      </c>
      <c r="H6493">
        <v>6</v>
      </c>
    </row>
    <row r="6494" spans="1:8" x14ac:dyDescent="0.25">
      <c r="A6494" t="s">
        <v>6500</v>
      </c>
      <c r="B6494">
        <v>26622</v>
      </c>
      <c r="C6494">
        <v>7894900610017</v>
      </c>
      <c r="D6494">
        <v>16.899999999999999</v>
      </c>
      <c r="E6494">
        <v>13.52</v>
      </c>
      <c r="F6494" s="3">
        <v>0.18179999999999999</v>
      </c>
      <c r="G6494">
        <v>12.2643</v>
      </c>
      <c r="H6494">
        <v>4.0999999999999996</v>
      </c>
    </row>
    <row r="6495" spans="1:8" x14ac:dyDescent="0.25">
      <c r="A6495" t="s">
        <v>6501</v>
      </c>
      <c r="B6495">
        <v>43307</v>
      </c>
      <c r="C6495">
        <v>7894900612004</v>
      </c>
      <c r="D6495">
        <v>13.9</v>
      </c>
      <c r="E6495">
        <v>9.85</v>
      </c>
      <c r="F6495" s="3">
        <v>0.26519999999999999</v>
      </c>
      <c r="G6495">
        <v>8.9282000000000004</v>
      </c>
      <c r="H6495">
        <v>12.467000000000001</v>
      </c>
    </row>
    <row r="6496" spans="1:8" x14ac:dyDescent="0.25">
      <c r="A6496" t="s">
        <v>6502</v>
      </c>
      <c r="B6496">
        <v>26621</v>
      </c>
      <c r="C6496">
        <v>7894900611014</v>
      </c>
      <c r="D6496">
        <v>16.899999999999999</v>
      </c>
      <c r="E6496">
        <v>13.47</v>
      </c>
      <c r="F6496" s="3">
        <v>0.18420000000000003</v>
      </c>
      <c r="G6496">
        <v>12.2241</v>
      </c>
      <c r="H6496">
        <v>12.1</v>
      </c>
    </row>
    <row r="6497" spans="1:8" x14ac:dyDescent="0.25">
      <c r="A6497" t="s">
        <v>6503</v>
      </c>
      <c r="B6497">
        <v>55341</v>
      </c>
      <c r="C6497">
        <v>7894900612059</v>
      </c>
      <c r="D6497">
        <v>3.49</v>
      </c>
      <c r="E6497">
        <v>2.48</v>
      </c>
      <c r="F6497" s="3">
        <v>0.26530000000000004</v>
      </c>
      <c r="G6497">
        <v>2.2412000000000001</v>
      </c>
      <c r="H6497">
        <v>60.033000000000001</v>
      </c>
    </row>
    <row r="6498" spans="1:8" x14ac:dyDescent="0.25">
      <c r="A6498" t="s">
        <v>6504</v>
      </c>
      <c r="B6498">
        <v>5501</v>
      </c>
      <c r="C6498">
        <v>7898164662669</v>
      </c>
      <c r="D6498">
        <v>8.9</v>
      </c>
      <c r="E6498">
        <v>5.0999999999999996</v>
      </c>
      <c r="F6498" s="3">
        <v>0.38740000000000002</v>
      </c>
      <c r="G6498">
        <v>4.6287000000000003</v>
      </c>
      <c r="H6498">
        <v>33</v>
      </c>
    </row>
    <row r="6499" spans="1:8" x14ac:dyDescent="0.25">
      <c r="A6499" t="s">
        <v>6505</v>
      </c>
      <c r="B6499">
        <v>5484</v>
      </c>
      <c r="C6499">
        <v>7898341430111</v>
      </c>
      <c r="D6499">
        <v>8.9</v>
      </c>
      <c r="E6499">
        <v>5.91</v>
      </c>
      <c r="F6499" s="3">
        <v>0.2954</v>
      </c>
      <c r="G6499">
        <v>5.4481000000000002</v>
      </c>
      <c r="H6499">
        <v>50.966999999999999</v>
      </c>
    </row>
    <row r="6500" spans="1:8" x14ac:dyDescent="0.25">
      <c r="A6500" t="s">
        <v>6506</v>
      </c>
      <c r="B6500">
        <v>5489</v>
      </c>
      <c r="C6500">
        <v>7898341430074</v>
      </c>
      <c r="D6500">
        <v>8.9</v>
      </c>
      <c r="E6500">
        <v>6.97</v>
      </c>
      <c r="F6500" s="3">
        <v>0.1966</v>
      </c>
      <c r="G6500">
        <v>6.3270999999999997</v>
      </c>
      <c r="H6500">
        <v>75.233000000000004</v>
      </c>
    </row>
    <row r="6501" spans="1:8" x14ac:dyDescent="0.25">
      <c r="A6501" t="s">
        <v>6507</v>
      </c>
      <c r="B6501">
        <v>68131</v>
      </c>
      <c r="C6501">
        <v>7894900660555</v>
      </c>
      <c r="D6501">
        <v>8.9</v>
      </c>
      <c r="E6501">
        <v>6.11</v>
      </c>
      <c r="F6501" s="3">
        <v>0.31180000000000002</v>
      </c>
      <c r="G6501">
        <v>5.3018999999999998</v>
      </c>
      <c r="H6501">
        <v>24.266999999999999</v>
      </c>
    </row>
    <row r="6502" spans="1:8" x14ac:dyDescent="0.25">
      <c r="A6502" t="s">
        <v>6508</v>
      </c>
      <c r="B6502">
        <v>5490</v>
      </c>
      <c r="C6502">
        <v>7898341430036</v>
      </c>
      <c r="D6502">
        <v>8.9</v>
      </c>
      <c r="E6502">
        <v>6.19</v>
      </c>
      <c r="F6502" s="3">
        <v>0.27600000000000002</v>
      </c>
      <c r="G6502">
        <v>5.6208</v>
      </c>
      <c r="H6502">
        <v>53.567</v>
      </c>
    </row>
    <row r="6503" spans="1:8" x14ac:dyDescent="0.25">
      <c r="A6503" t="s">
        <v>6509</v>
      </c>
      <c r="B6503">
        <v>5504</v>
      </c>
      <c r="C6503">
        <v>7898341431279</v>
      </c>
      <c r="D6503">
        <v>8.9</v>
      </c>
      <c r="E6503">
        <v>5.0999999999999996</v>
      </c>
      <c r="F6503" s="3">
        <v>0.38770000000000004</v>
      </c>
      <c r="G6503">
        <v>4.6264000000000003</v>
      </c>
      <c r="H6503">
        <v>33.167000000000002</v>
      </c>
    </row>
    <row r="6504" spans="1:8" x14ac:dyDescent="0.25">
      <c r="A6504" t="s">
        <v>6510</v>
      </c>
      <c r="B6504">
        <v>5485</v>
      </c>
      <c r="C6504">
        <v>7898341430012</v>
      </c>
      <c r="D6504">
        <v>8.9</v>
      </c>
      <c r="E6504">
        <v>5.0999999999999996</v>
      </c>
      <c r="F6504" s="3">
        <v>0.38740000000000002</v>
      </c>
      <c r="G6504">
        <v>4.6289999999999996</v>
      </c>
      <c r="H6504">
        <v>42.966999999999999</v>
      </c>
    </row>
    <row r="6505" spans="1:8" x14ac:dyDescent="0.25">
      <c r="A6505" t="s">
        <v>6511</v>
      </c>
      <c r="B6505">
        <v>5552</v>
      </c>
      <c r="C6505">
        <v>7898341430043</v>
      </c>
      <c r="D6505">
        <v>8.9</v>
      </c>
      <c r="E6505">
        <v>5.93</v>
      </c>
      <c r="F6505" s="3">
        <v>0.28339999999999999</v>
      </c>
      <c r="G6505">
        <v>5.5545</v>
      </c>
      <c r="H6505">
        <v>29.132999999999999</v>
      </c>
    </row>
    <row r="6506" spans="1:8" x14ac:dyDescent="0.25">
      <c r="A6506" t="s">
        <v>6512</v>
      </c>
      <c r="B6506">
        <v>5491</v>
      </c>
      <c r="C6506">
        <v>7898341430098</v>
      </c>
      <c r="D6506">
        <v>8.9</v>
      </c>
      <c r="E6506">
        <v>6.97</v>
      </c>
      <c r="F6506" s="3">
        <v>0.1966</v>
      </c>
      <c r="G6506">
        <v>6.3270999999999997</v>
      </c>
      <c r="H6506">
        <v>82.832999999999998</v>
      </c>
    </row>
    <row r="6507" spans="1:8" x14ac:dyDescent="0.25">
      <c r="A6507" t="s">
        <v>6513</v>
      </c>
      <c r="B6507">
        <v>5384</v>
      </c>
      <c r="C6507">
        <v>7894900660418</v>
      </c>
      <c r="D6507">
        <v>3.19</v>
      </c>
      <c r="E6507">
        <v>2.11</v>
      </c>
      <c r="F6507" s="3">
        <v>0.30760000000000004</v>
      </c>
      <c r="G6507">
        <v>1.9136</v>
      </c>
      <c r="H6507">
        <v>55.732999999999997</v>
      </c>
    </row>
    <row r="6508" spans="1:8" x14ac:dyDescent="0.25">
      <c r="A6508" t="s">
        <v>6514</v>
      </c>
      <c r="B6508">
        <v>5499</v>
      </c>
      <c r="C6508">
        <v>7898341430142</v>
      </c>
      <c r="D6508">
        <v>3.19</v>
      </c>
      <c r="E6508">
        <v>2.11</v>
      </c>
      <c r="F6508" s="3">
        <v>0.30829999999999996</v>
      </c>
      <c r="G6508">
        <v>1.9115</v>
      </c>
      <c r="H6508">
        <v>48.267000000000003</v>
      </c>
    </row>
    <row r="6509" spans="1:8" x14ac:dyDescent="0.25">
      <c r="A6509" t="s">
        <v>6515</v>
      </c>
      <c r="B6509">
        <v>5500</v>
      </c>
      <c r="C6509">
        <v>7898341430203</v>
      </c>
      <c r="D6509">
        <v>3.19</v>
      </c>
      <c r="E6509">
        <v>2.11</v>
      </c>
      <c r="F6509" s="3">
        <v>0.30760000000000004</v>
      </c>
      <c r="G6509">
        <v>1.9137999999999999</v>
      </c>
      <c r="H6509">
        <v>150.03299999999999</v>
      </c>
    </row>
    <row r="6510" spans="1:8" x14ac:dyDescent="0.25">
      <c r="A6510" t="s">
        <v>6516</v>
      </c>
      <c r="B6510">
        <v>58088</v>
      </c>
      <c r="C6510">
        <v>7894900666502</v>
      </c>
      <c r="D6510">
        <v>3.63</v>
      </c>
      <c r="E6510">
        <v>2.33</v>
      </c>
      <c r="F6510" s="3">
        <v>0.34850000000000003</v>
      </c>
      <c r="G6510">
        <v>2.3624000000000001</v>
      </c>
      <c r="H6510">
        <v>2.9</v>
      </c>
    </row>
    <row r="6511" spans="1:8" x14ac:dyDescent="0.25">
      <c r="A6511" t="s">
        <v>6517</v>
      </c>
      <c r="B6511">
        <v>50283</v>
      </c>
      <c r="C6511">
        <v>7894900556032</v>
      </c>
      <c r="D6511">
        <v>5.44</v>
      </c>
      <c r="E6511">
        <v>3.79</v>
      </c>
      <c r="F6511" s="3">
        <v>0.30309999999999998</v>
      </c>
      <c r="G6511">
        <v>3.7883</v>
      </c>
      <c r="H6511">
        <v>25.8</v>
      </c>
    </row>
    <row r="6512" spans="1:8" x14ac:dyDescent="0.25">
      <c r="A6512" t="s">
        <v>6518</v>
      </c>
      <c r="B6512">
        <v>15645</v>
      </c>
      <c r="C6512">
        <v>7894900550030</v>
      </c>
      <c r="D6512">
        <v>5.42</v>
      </c>
      <c r="E6512">
        <v>3.81</v>
      </c>
      <c r="F6512" s="3">
        <v>0.29710000000000003</v>
      </c>
      <c r="G6512">
        <v>3.8083999999999998</v>
      </c>
      <c r="H6512">
        <v>43.433</v>
      </c>
    </row>
    <row r="6513" spans="1:8" x14ac:dyDescent="0.25">
      <c r="A6513" t="s">
        <v>6519</v>
      </c>
      <c r="B6513">
        <v>5951</v>
      </c>
      <c r="C6513">
        <v>7894900556056</v>
      </c>
      <c r="D6513">
        <v>3.29</v>
      </c>
      <c r="E6513">
        <v>2.38</v>
      </c>
      <c r="F6513" s="3">
        <v>0.27489999999999998</v>
      </c>
      <c r="G6513">
        <v>2.3855</v>
      </c>
      <c r="H6513">
        <v>5.7329999999999997</v>
      </c>
    </row>
    <row r="6514" spans="1:8" x14ac:dyDescent="0.25">
      <c r="A6514" t="s">
        <v>6520</v>
      </c>
      <c r="B6514">
        <v>5956</v>
      </c>
      <c r="C6514">
        <v>7894900550054</v>
      </c>
      <c r="D6514">
        <v>3.49</v>
      </c>
      <c r="E6514">
        <v>2.39</v>
      </c>
      <c r="F6514" s="3">
        <v>0.31590000000000001</v>
      </c>
      <c r="G6514">
        <v>2.3875000000000002</v>
      </c>
      <c r="H6514">
        <v>8.7669999999999995</v>
      </c>
    </row>
    <row r="6515" spans="1:8" x14ac:dyDescent="0.25">
      <c r="A6515" t="s">
        <v>6521</v>
      </c>
      <c r="B6515">
        <v>5398</v>
      </c>
      <c r="C6515">
        <v>7898341430777</v>
      </c>
      <c r="D6515">
        <v>8.9</v>
      </c>
      <c r="E6515">
        <v>6.67</v>
      </c>
      <c r="F6515" s="3">
        <v>0.20569999999999999</v>
      </c>
      <c r="G6515">
        <v>6.2458999999999998</v>
      </c>
      <c r="H6515">
        <v>33.1</v>
      </c>
    </row>
    <row r="6516" spans="1:8" x14ac:dyDescent="0.25">
      <c r="A6516" t="s">
        <v>6522</v>
      </c>
      <c r="B6516">
        <v>1040</v>
      </c>
      <c r="C6516">
        <v>8801105912708</v>
      </c>
      <c r="D6516">
        <v>13.9</v>
      </c>
      <c r="E6516">
        <v>8</v>
      </c>
      <c r="F6516" s="3">
        <v>0.38520000000000004</v>
      </c>
      <c r="G6516">
        <v>7.26</v>
      </c>
      <c r="H6516">
        <v>0.73299999999999998</v>
      </c>
    </row>
    <row r="6517" spans="1:8" x14ac:dyDescent="0.25">
      <c r="A6517" t="s">
        <v>6523</v>
      </c>
      <c r="B6517">
        <v>19189</v>
      </c>
      <c r="C6517">
        <v>8801105907117</v>
      </c>
      <c r="D6517">
        <v>13.9</v>
      </c>
      <c r="E6517">
        <v>8</v>
      </c>
      <c r="F6517" s="3">
        <v>0.38520000000000004</v>
      </c>
      <c r="G6517">
        <v>7.26</v>
      </c>
      <c r="H6517">
        <v>2.4670000000000001</v>
      </c>
    </row>
    <row r="6518" spans="1:8" x14ac:dyDescent="0.25">
      <c r="A6518" t="s">
        <v>6524</v>
      </c>
      <c r="B6518">
        <v>19230</v>
      </c>
      <c r="C6518">
        <v>8801105000535</v>
      </c>
      <c r="D6518">
        <v>13.9</v>
      </c>
      <c r="E6518">
        <v>8</v>
      </c>
      <c r="F6518" s="3">
        <v>0.38520000000000004</v>
      </c>
      <c r="G6518">
        <v>7.26</v>
      </c>
      <c r="H6518">
        <v>0.4</v>
      </c>
    </row>
    <row r="6519" spans="1:8" x14ac:dyDescent="0.25">
      <c r="A6519" t="s">
        <v>6525</v>
      </c>
      <c r="B6519">
        <v>7880</v>
      </c>
      <c r="C6519">
        <v>8809276286024</v>
      </c>
      <c r="D6519">
        <v>13.9</v>
      </c>
      <c r="E6519">
        <v>7.38</v>
      </c>
      <c r="F6519" s="3">
        <v>0.47340000000000004</v>
      </c>
      <c r="G6519">
        <v>7.3194999999999997</v>
      </c>
      <c r="H6519">
        <v>15.132999999999999</v>
      </c>
    </row>
    <row r="6520" spans="1:8" x14ac:dyDescent="0.25">
      <c r="A6520" t="s">
        <v>6526</v>
      </c>
      <c r="B6520">
        <v>64756</v>
      </c>
      <c r="C6520">
        <v>8801105915761</v>
      </c>
      <c r="D6520">
        <v>18.899999999999999</v>
      </c>
      <c r="E6520">
        <v>11</v>
      </c>
      <c r="F6520" s="3">
        <v>0.37929999999999997</v>
      </c>
      <c r="G6520">
        <v>9.9824999999999999</v>
      </c>
      <c r="H6520">
        <v>0.73299999999999998</v>
      </c>
    </row>
    <row r="6521" spans="1:8" x14ac:dyDescent="0.25">
      <c r="A6521" t="s">
        <v>6527</v>
      </c>
      <c r="B6521">
        <v>7881</v>
      </c>
      <c r="C6521">
        <v>8801105117578</v>
      </c>
      <c r="D6521">
        <v>13.9</v>
      </c>
      <c r="E6521">
        <v>8</v>
      </c>
      <c r="F6521" s="3">
        <v>0.38520000000000004</v>
      </c>
      <c r="G6521">
        <v>7.26</v>
      </c>
      <c r="H6521">
        <v>0.2</v>
      </c>
    </row>
    <row r="6522" spans="1:8" x14ac:dyDescent="0.25">
      <c r="A6522" t="s">
        <v>6528</v>
      </c>
      <c r="B6522">
        <v>68713</v>
      </c>
      <c r="C6522">
        <v>90087011</v>
      </c>
      <c r="D6522">
        <v>16.899999999999999</v>
      </c>
      <c r="E6522">
        <v>16</v>
      </c>
      <c r="F6522" s="3">
        <v>4.8300000000000003E-2</v>
      </c>
      <c r="G6522">
        <v>14.52</v>
      </c>
      <c r="H6522">
        <v>1.2330000000000001</v>
      </c>
    </row>
    <row r="6523" spans="1:8" x14ac:dyDescent="0.25">
      <c r="A6523" t="s">
        <v>6529</v>
      </c>
      <c r="B6523">
        <v>63007</v>
      </c>
      <c r="C6523">
        <v>7891141036194</v>
      </c>
      <c r="D6523">
        <v>17.899999999999999</v>
      </c>
      <c r="E6523">
        <v>14.19</v>
      </c>
      <c r="F6523" s="3">
        <v>0.18539999999999998</v>
      </c>
      <c r="G6523">
        <v>12.9255</v>
      </c>
      <c r="H6523">
        <v>53</v>
      </c>
    </row>
    <row r="6524" spans="1:8" x14ac:dyDescent="0.25">
      <c r="A6524" t="s">
        <v>6530</v>
      </c>
      <c r="B6524">
        <v>63006</v>
      </c>
      <c r="C6524">
        <v>7891141036170</v>
      </c>
      <c r="D6524">
        <v>17.899999999999999</v>
      </c>
      <c r="E6524">
        <v>15.09</v>
      </c>
      <c r="F6524" s="3">
        <v>0.1391</v>
      </c>
      <c r="G6524">
        <v>13.7539</v>
      </c>
      <c r="H6524">
        <v>95.5</v>
      </c>
    </row>
    <row r="6525" spans="1:8" x14ac:dyDescent="0.25">
      <c r="A6525" t="s">
        <v>6531</v>
      </c>
      <c r="B6525">
        <v>5777</v>
      </c>
      <c r="C6525">
        <v>7891141019838</v>
      </c>
      <c r="D6525">
        <v>25.9</v>
      </c>
      <c r="E6525">
        <v>16.739999999999998</v>
      </c>
      <c r="F6525" s="3">
        <v>0.31929999999999997</v>
      </c>
      <c r="G6525">
        <v>15.2354</v>
      </c>
      <c r="H6525">
        <v>244.733</v>
      </c>
    </row>
    <row r="6526" spans="1:8" x14ac:dyDescent="0.25">
      <c r="A6526" t="s">
        <v>6532</v>
      </c>
      <c r="B6526">
        <v>9462</v>
      </c>
      <c r="C6526">
        <v>7891141025570</v>
      </c>
      <c r="D6526">
        <v>24.9</v>
      </c>
      <c r="E6526">
        <v>15.55</v>
      </c>
      <c r="F6526" s="3">
        <v>0.3226</v>
      </c>
      <c r="G6526">
        <v>14.5648</v>
      </c>
      <c r="H6526">
        <v>23.733000000000001</v>
      </c>
    </row>
    <row r="6527" spans="1:8" x14ac:dyDescent="0.25">
      <c r="A6527" t="s">
        <v>6533</v>
      </c>
      <c r="B6527">
        <v>68839</v>
      </c>
      <c r="C6527">
        <v>7891141038754</v>
      </c>
      <c r="D6527">
        <v>16.899999999999999</v>
      </c>
      <c r="E6527">
        <v>12.46</v>
      </c>
      <c r="F6527" s="3">
        <v>0.23829999999999998</v>
      </c>
      <c r="G6527">
        <v>11.3089</v>
      </c>
      <c r="H6527">
        <v>28.367000000000001</v>
      </c>
    </row>
    <row r="6528" spans="1:8" x14ac:dyDescent="0.25">
      <c r="A6528" t="s">
        <v>6534</v>
      </c>
      <c r="B6528">
        <v>5475</v>
      </c>
      <c r="C6528">
        <v>7896931611940</v>
      </c>
      <c r="D6528">
        <v>25.9</v>
      </c>
      <c r="E6528">
        <v>17.07</v>
      </c>
      <c r="F6528" s="3">
        <v>0.30469999999999997</v>
      </c>
      <c r="G6528">
        <v>15.611700000000001</v>
      </c>
      <c r="H6528">
        <v>2.9329999999999998</v>
      </c>
    </row>
    <row r="6529" spans="1:8" x14ac:dyDescent="0.25">
      <c r="A6529" t="s">
        <v>6535</v>
      </c>
      <c r="B6529">
        <v>47537</v>
      </c>
      <c r="C6529">
        <v>7896931614170</v>
      </c>
      <c r="D6529">
        <v>25.9</v>
      </c>
      <c r="E6529">
        <v>17.309999999999999</v>
      </c>
      <c r="F6529" s="3">
        <v>0.30109999999999998</v>
      </c>
      <c r="G6529">
        <v>15.7064</v>
      </c>
      <c r="H6529">
        <v>3.7669999999999999</v>
      </c>
    </row>
    <row r="6530" spans="1:8" x14ac:dyDescent="0.25">
      <c r="A6530" t="s">
        <v>6536</v>
      </c>
      <c r="B6530">
        <v>52477</v>
      </c>
      <c r="C6530">
        <v>7896931614200</v>
      </c>
      <c r="D6530">
        <v>17.489999999999998</v>
      </c>
      <c r="E6530">
        <v>11.49</v>
      </c>
      <c r="F6530" s="3">
        <v>0.32950000000000002</v>
      </c>
      <c r="G6530">
        <v>10.1084</v>
      </c>
      <c r="H6530">
        <v>73.933000000000007</v>
      </c>
    </row>
    <row r="6531" spans="1:8" x14ac:dyDescent="0.25">
      <c r="A6531" t="s">
        <v>6537</v>
      </c>
      <c r="B6531">
        <v>52476</v>
      </c>
      <c r="C6531">
        <v>7896931614149</v>
      </c>
      <c r="D6531">
        <v>17.489999999999998</v>
      </c>
      <c r="E6531">
        <v>11.17</v>
      </c>
      <c r="F6531" s="3">
        <v>0.32919999999999999</v>
      </c>
      <c r="G6531">
        <v>10.1153</v>
      </c>
      <c r="H6531">
        <v>29.233000000000001</v>
      </c>
    </row>
    <row r="6532" spans="1:8" x14ac:dyDescent="0.25">
      <c r="A6532" t="s">
        <v>6538</v>
      </c>
      <c r="B6532">
        <v>35372</v>
      </c>
      <c r="C6532">
        <v>7896931613845</v>
      </c>
      <c r="D6532">
        <v>4.99</v>
      </c>
      <c r="E6532">
        <v>4.3600000000000003</v>
      </c>
      <c r="F6532" s="3">
        <v>0.1137</v>
      </c>
      <c r="G6532">
        <v>3.9609999999999999</v>
      </c>
      <c r="H6532">
        <v>7.0330000000000004</v>
      </c>
    </row>
    <row r="6533" spans="1:8" x14ac:dyDescent="0.25">
      <c r="A6533" t="s">
        <v>6539</v>
      </c>
      <c r="B6533">
        <v>30857</v>
      </c>
      <c r="C6533">
        <v>7896931613685</v>
      </c>
      <c r="D6533">
        <v>4.99</v>
      </c>
      <c r="E6533">
        <v>3.12</v>
      </c>
      <c r="F6533" s="3">
        <v>0.34570000000000001</v>
      </c>
      <c r="G6533">
        <v>2.8035000000000001</v>
      </c>
      <c r="H6533">
        <v>19.899999999999999</v>
      </c>
    </row>
    <row r="6534" spans="1:8" x14ac:dyDescent="0.25">
      <c r="A6534" t="s">
        <v>6540</v>
      </c>
      <c r="B6534">
        <v>30856</v>
      </c>
      <c r="C6534">
        <v>7896931613678</v>
      </c>
      <c r="D6534">
        <v>4.99</v>
      </c>
      <c r="E6534">
        <v>3.01</v>
      </c>
      <c r="F6534" s="3">
        <v>0.36219999999999997</v>
      </c>
      <c r="G6534">
        <v>2.7212999999999998</v>
      </c>
      <c r="H6534">
        <v>50.533000000000001</v>
      </c>
    </row>
    <row r="6535" spans="1:8" x14ac:dyDescent="0.25">
      <c r="A6535" t="s">
        <v>6541</v>
      </c>
      <c r="B6535">
        <v>43046</v>
      </c>
      <c r="C6535">
        <v>7896931614163</v>
      </c>
      <c r="D6535">
        <v>18.899999999999999</v>
      </c>
      <c r="E6535">
        <v>12.58</v>
      </c>
      <c r="F6535" s="3">
        <v>0.30320000000000003</v>
      </c>
      <c r="G6535">
        <v>11.4214</v>
      </c>
      <c r="H6535">
        <v>5.4329999999999998</v>
      </c>
    </row>
    <row r="6536" spans="1:8" x14ac:dyDescent="0.25">
      <c r="A6536" t="s">
        <v>6542</v>
      </c>
      <c r="B6536">
        <v>43044</v>
      </c>
      <c r="C6536">
        <v>7896931614194</v>
      </c>
      <c r="D6536">
        <v>11.49</v>
      </c>
      <c r="E6536">
        <v>8.19</v>
      </c>
      <c r="F6536" s="3">
        <v>0.2606</v>
      </c>
      <c r="G6536">
        <v>7.4332000000000003</v>
      </c>
      <c r="H6536">
        <v>19.7</v>
      </c>
    </row>
    <row r="6537" spans="1:8" x14ac:dyDescent="0.25">
      <c r="A6537" t="s">
        <v>6543</v>
      </c>
      <c r="B6537">
        <v>43043</v>
      </c>
      <c r="C6537">
        <v>7896931614132</v>
      </c>
      <c r="D6537">
        <v>12.49</v>
      </c>
      <c r="E6537">
        <v>8.19</v>
      </c>
      <c r="F6537" s="3">
        <v>0.31230000000000002</v>
      </c>
      <c r="G6537">
        <v>7.4337</v>
      </c>
      <c r="H6537">
        <v>22.033000000000001</v>
      </c>
    </row>
    <row r="6538" spans="1:8" x14ac:dyDescent="0.25">
      <c r="A6538" t="s">
        <v>6544</v>
      </c>
      <c r="B6538">
        <v>51198</v>
      </c>
      <c r="C6538">
        <v>7898070110841</v>
      </c>
      <c r="D6538">
        <v>26.9</v>
      </c>
      <c r="E6538">
        <v>18.25</v>
      </c>
      <c r="F6538" s="3">
        <v>0.25079999999999997</v>
      </c>
      <c r="G6538">
        <v>17.666</v>
      </c>
      <c r="H6538">
        <v>8.3330000000000002</v>
      </c>
    </row>
    <row r="6539" spans="1:8" x14ac:dyDescent="0.25">
      <c r="A6539" t="s">
        <v>6545</v>
      </c>
      <c r="B6539">
        <v>66693</v>
      </c>
      <c r="C6539">
        <v>7898097891846</v>
      </c>
      <c r="D6539">
        <v>32.9</v>
      </c>
      <c r="E6539">
        <v>17.87</v>
      </c>
      <c r="F6539" s="3">
        <v>0.33240000000000003</v>
      </c>
      <c r="G6539">
        <v>13</v>
      </c>
      <c r="H6539">
        <v>0.3</v>
      </c>
    </row>
    <row r="6540" spans="1:8" x14ac:dyDescent="0.25">
      <c r="A6540" t="s">
        <v>6546</v>
      </c>
      <c r="B6540">
        <v>66694</v>
      </c>
      <c r="C6540">
        <v>7898097891884</v>
      </c>
      <c r="D6540">
        <v>32.9</v>
      </c>
      <c r="E6540">
        <v>17.87</v>
      </c>
      <c r="F6540" s="3">
        <v>0.33229999999999998</v>
      </c>
      <c r="G6540">
        <v>13.0007</v>
      </c>
      <c r="H6540">
        <v>0.2</v>
      </c>
    </row>
    <row r="6541" spans="1:8" x14ac:dyDescent="0.25">
      <c r="A6541" t="s">
        <v>6547</v>
      </c>
      <c r="B6541">
        <v>67658</v>
      </c>
      <c r="C6541">
        <v>7898097891198</v>
      </c>
      <c r="D6541">
        <v>15.9</v>
      </c>
      <c r="E6541">
        <v>8.25</v>
      </c>
      <c r="F6541" s="3">
        <v>0.35009999999999997</v>
      </c>
      <c r="G6541">
        <v>6.0011000000000001</v>
      </c>
      <c r="H6541">
        <v>6.7000000000000004E-2</v>
      </c>
    </row>
    <row r="6542" spans="1:8" x14ac:dyDescent="0.25">
      <c r="A6542" t="s">
        <v>6548</v>
      </c>
      <c r="B6542">
        <v>67657</v>
      </c>
      <c r="C6542">
        <v>7898097891006</v>
      </c>
      <c r="D6542">
        <v>15.9</v>
      </c>
      <c r="E6542">
        <v>8.25</v>
      </c>
      <c r="F6542" s="3">
        <v>0.35009999999999997</v>
      </c>
      <c r="G6542">
        <v>6.0014000000000003</v>
      </c>
      <c r="H6542">
        <v>0.1</v>
      </c>
    </row>
    <row r="6543" spans="1:8" x14ac:dyDescent="0.25">
      <c r="A6543" t="s">
        <v>6549</v>
      </c>
      <c r="B6543">
        <v>5744</v>
      </c>
      <c r="C6543">
        <v>7896024872913</v>
      </c>
      <c r="D6543">
        <v>23.9</v>
      </c>
      <c r="E6543">
        <v>16.809999999999999</v>
      </c>
      <c r="F6543" s="3">
        <v>0.26910000000000001</v>
      </c>
      <c r="G6543">
        <v>15.2569</v>
      </c>
      <c r="H6543">
        <v>3.0329999999999999</v>
      </c>
    </row>
    <row r="6544" spans="1:8" x14ac:dyDescent="0.25">
      <c r="A6544" t="s">
        <v>6550</v>
      </c>
      <c r="B6544">
        <v>58142</v>
      </c>
      <c r="C6544">
        <v>7896024872975</v>
      </c>
      <c r="D6544">
        <v>23.9</v>
      </c>
      <c r="E6544">
        <v>17.38</v>
      </c>
      <c r="F6544" s="3">
        <v>0.2288</v>
      </c>
      <c r="G6544">
        <v>16.221299999999999</v>
      </c>
      <c r="H6544">
        <v>1.0329999999999999</v>
      </c>
    </row>
    <row r="6545" spans="1:8" x14ac:dyDescent="0.25">
      <c r="A6545" t="s">
        <v>6551</v>
      </c>
      <c r="B6545">
        <v>66698</v>
      </c>
      <c r="C6545">
        <v>7290120170001</v>
      </c>
      <c r="D6545">
        <v>11.9</v>
      </c>
      <c r="E6545">
        <v>7.45</v>
      </c>
      <c r="F6545" s="3">
        <v>0.37909999999999999</v>
      </c>
      <c r="G6545">
        <v>7.3886000000000003</v>
      </c>
      <c r="H6545">
        <v>3.1</v>
      </c>
    </row>
    <row r="6546" spans="1:8" x14ac:dyDescent="0.25">
      <c r="A6546" t="s">
        <v>6552</v>
      </c>
      <c r="B6546">
        <v>5383</v>
      </c>
      <c r="C6546">
        <v>7894900603705</v>
      </c>
      <c r="D6546">
        <v>2.69</v>
      </c>
      <c r="E6546">
        <v>1.86</v>
      </c>
      <c r="F6546" s="3">
        <v>0.30680000000000002</v>
      </c>
      <c r="G6546">
        <v>1.8646</v>
      </c>
      <c r="H6546">
        <v>49.2</v>
      </c>
    </row>
    <row r="6547" spans="1:8" x14ac:dyDescent="0.25">
      <c r="A6547" t="s">
        <v>6553</v>
      </c>
      <c r="B6547">
        <v>58683</v>
      </c>
      <c r="C6547">
        <v>7894900650006</v>
      </c>
      <c r="D6547">
        <v>2.69</v>
      </c>
      <c r="E6547">
        <v>1.86</v>
      </c>
      <c r="F6547" s="3">
        <v>0.30809999999999998</v>
      </c>
      <c r="G6547">
        <v>1.8611</v>
      </c>
      <c r="H6547">
        <v>28.167000000000002</v>
      </c>
    </row>
    <row r="6548" spans="1:8" x14ac:dyDescent="0.25">
      <c r="A6548" t="s">
        <v>6554</v>
      </c>
      <c r="B6548">
        <v>9020</v>
      </c>
      <c r="C6548">
        <v>7894900563702</v>
      </c>
      <c r="D6548">
        <v>2.69</v>
      </c>
      <c r="E6548">
        <v>1.86</v>
      </c>
      <c r="F6548" s="3">
        <v>0.31</v>
      </c>
      <c r="G6548">
        <v>1.8561000000000001</v>
      </c>
      <c r="H6548">
        <v>84.933000000000007</v>
      </c>
    </row>
    <row r="6549" spans="1:8" x14ac:dyDescent="0.25">
      <c r="A6549" t="s">
        <v>6555</v>
      </c>
      <c r="B6549">
        <v>56029</v>
      </c>
      <c r="C6549">
        <v>7894900650013</v>
      </c>
      <c r="D6549">
        <v>2.69</v>
      </c>
      <c r="E6549">
        <v>1.81</v>
      </c>
      <c r="F6549" s="3">
        <v>0.32840000000000003</v>
      </c>
      <c r="G6549">
        <v>1.8065</v>
      </c>
      <c r="H6549">
        <v>53.667000000000002</v>
      </c>
    </row>
    <row r="6550" spans="1:8" x14ac:dyDescent="0.25">
      <c r="A6550" t="s">
        <v>6556</v>
      </c>
      <c r="B6550">
        <v>5385</v>
      </c>
      <c r="C6550">
        <v>7894900573701</v>
      </c>
      <c r="D6550">
        <v>2.69</v>
      </c>
      <c r="E6550">
        <v>1.85</v>
      </c>
      <c r="F6550" s="3">
        <v>0.31240000000000001</v>
      </c>
      <c r="G6550">
        <v>1.8496999999999999</v>
      </c>
      <c r="H6550">
        <v>109.133</v>
      </c>
    </row>
    <row r="6551" spans="1:8" x14ac:dyDescent="0.25">
      <c r="A6551" t="s">
        <v>6557</v>
      </c>
      <c r="B6551">
        <v>5386</v>
      </c>
      <c r="C6551">
        <v>7894900583700</v>
      </c>
      <c r="D6551">
        <v>2.69</v>
      </c>
      <c r="E6551">
        <v>1.84</v>
      </c>
      <c r="F6551" s="3">
        <v>0.31670000000000004</v>
      </c>
      <c r="G6551">
        <v>1.8381000000000001</v>
      </c>
      <c r="H6551">
        <v>121.8</v>
      </c>
    </row>
    <row r="6552" spans="1:8" x14ac:dyDescent="0.25">
      <c r="A6552" t="s">
        <v>6558</v>
      </c>
      <c r="B6552">
        <v>5387</v>
      </c>
      <c r="C6552">
        <v>7894900593709</v>
      </c>
      <c r="D6552">
        <v>2.69</v>
      </c>
      <c r="E6552">
        <v>1.86</v>
      </c>
      <c r="F6552" s="3">
        <v>0.30870000000000003</v>
      </c>
      <c r="G6552">
        <v>1.8595999999999999</v>
      </c>
      <c r="H6552">
        <v>164.7</v>
      </c>
    </row>
    <row r="6553" spans="1:8" x14ac:dyDescent="0.25">
      <c r="A6553" t="s">
        <v>6559</v>
      </c>
      <c r="B6553">
        <v>5391</v>
      </c>
      <c r="C6553">
        <v>7896000557056</v>
      </c>
      <c r="D6553">
        <v>9.49</v>
      </c>
      <c r="E6553">
        <v>5.31</v>
      </c>
      <c r="F6553" s="3">
        <v>0.32179999999999997</v>
      </c>
      <c r="G6553">
        <v>3.8498999999999999</v>
      </c>
      <c r="H6553">
        <v>5.7</v>
      </c>
    </row>
    <row r="6554" spans="1:8" x14ac:dyDescent="0.25">
      <c r="A6554" t="s">
        <v>6560</v>
      </c>
      <c r="B6554">
        <v>5392</v>
      </c>
      <c r="C6554">
        <v>7896000554369</v>
      </c>
      <c r="D6554">
        <v>7.99</v>
      </c>
      <c r="E6554">
        <v>3.47</v>
      </c>
      <c r="F6554" s="3">
        <v>0.41200000000000003</v>
      </c>
      <c r="G6554">
        <v>2.5207000000000002</v>
      </c>
      <c r="H6554">
        <v>19.067</v>
      </c>
    </row>
    <row r="6555" spans="1:8" x14ac:dyDescent="0.25">
      <c r="A6555" t="s">
        <v>6561</v>
      </c>
      <c r="B6555">
        <v>5393</v>
      </c>
      <c r="C6555">
        <v>7896000559265</v>
      </c>
      <c r="D6555">
        <v>8.99</v>
      </c>
      <c r="E6555">
        <v>5.28</v>
      </c>
      <c r="F6555" s="3">
        <v>0.307</v>
      </c>
      <c r="G6555">
        <v>3.7805</v>
      </c>
      <c r="H6555">
        <v>5.6</v>
      </c>
    </row>
    <row r="6556" spans="1:8" x14ac:dyDescent="0.25">
      <c r="A6556" t="s">
        <v>6562</v>
      </c>
      <c r="B6556">
        <v>5395</v>
      </c>
      <c r="C6556">
        <v>7896000558381</v>
      </c>
      <c r="D6556">
        <v>9.49</v>
      </c>
      <c r="E6556">
        <v>5.39</v>
      </c>
      <c r="F6556" s="3">
        <v>0.31459999999999999</v>
      </c>
      <c r="G6556">
        <v>3.9180000000000001</v>
      </c>
      <c r="H6556">
        <v>5.367</v>
      </c>
    </row>
    <row r="6557" spans="1:8" x14ac:dyDescent="0.25">
      <c r="A6557" t="s">
        <v>6563</v>
      </c>
      <c r="B6557">
        <v>5396</v>
      </c>
      <c r="C6557">
        <v>7896000555359</v>
      </c>
      <c r="D6557">
        <v>12.9</v>
      </c>
      <c r="E6557">
        <v>8.5299999999999994</v>
      </c>
      <c r="F6557" s="3">
        <v>0.24640000000000001</v>
      </c>
      <c r="G6557">
        <v>6.2060000000000004</v>
      </c>
      <c r="H6557">
        <v>12.6</v>
      </c>
    </row>
    <row r="6558" spans="1:8" x14ac:dyDescent="0.25">
      <c r="A6558" t="s">
        <v>6564</v>
      </c>
      <c r="B6558">
        <v>5397</v>
      </c>
      <c r="C6558">
        <v>7896000556066</v>
      </c>
      <c r="D6558">
        <v>8.99</v>
      </c>
      <c r="E6558">
        <v>5.24</v>
      </c>
      <c r="F6558" s="3">
        <v>0.30709999999999998</v>
      </c>
      <c r="G6558">
        <v>3.7795000000000001</v>
      </c>
      <c r="H6558">
        <v>3.1669999999999998</v>
      </c>
    </row>
    <row r="6559" spans="1:8" x14ac:dyDescent="0.25">
      <c r="A6559" t="s">
        <v>6565</v>
      </c>
      <c r="B6559">
        <v>68840</v>
      </c>
      <c r="C6559">
        <v>7891141039157</v>
      </c>
      <c r="D6559">
        <v>21.9</v>
      </c>
      <c r="E6559">
        <v>13.71</v>
      </c>
      <c r="F6559" s="3">
        <v>0.3488</v>
      </c>
      <c r="G6559">
        <v>12.2348</v>
      </c>
      <c r="H6559">
        <v>1.0329999999999999</v>
      </c>
    </row>
    <row r="6560" spans="1:8" x14ac:dyDescent="0.25">
      <c r="A6560" t="s">
        <v>6566</v>
      </c>
      <c r="B6560">
        <v>30458</v>
      </c>
      <c r="C6560">
        <v>7898206501499</v>
      </c>
      <c r="D6560">
        <v>19.899999999999999</v>
      </c>
      <c r="E6560">
        <v>12.38</v>
      </c>
      <c r="F6560" s="3">
        <v>0.32819999999999999</v>
      </c>
      <c r="G6560">
        <v>11.529</v>
      </c>
      <c r="H6560">
        <v>1.1000000000000001</v>
      </c>
    </row>
    <row r="6561" spans="1:8" x14ac:dyDescent="0.25">
      <c r="A6561" t="s">
        <v>6567</v>
      </c>
      <c r="B6561">
        <v>30450</v>
      </c>
      <c r="C6561">
        <v>7898206500232</v>
      </c>
      <c r="D6561">
        <v>19.899999999999999</v>
      </c>
      <c r="E6561">
        <v>16.920000000000002</v>
      </c>
      <c r="F6561" s="3">
        <v>0.10630000000000001</v>
      </c>
      <c r="G6561">
        <v>15.9445</v>
      </c>
      <c r="H6561">
        <v>1.2669999999999999</v>
      </c>
    </row>
    <row r="6562" spans="1:8" x14ac:dyDescent="0.25">
      <c r="A6562" t="s">
        <v>6568</v>
      </c>
      <c r="B6562">
        <v>30451</v>
      </c>
      <c r="C6562">
        <v>7898206501475</v>
      </c>
      <c r="D6562">
        <v>19.899999999999999</v>
      </c>
      <c r="E6562">
        <v>13.77</v>
      </c>
      <c r="F6562" s="3">
        <v>0.26669999999999999</v>
      </c>
      <c r="G6562">
        <v>12.7522</v>
      </c>
      <c r="H6562">
        <v>2.7</v>
      </c>
    </row>
    <row r="6563" spans="1:8" x14ac:dyDescent="0.25">
      <c r="A6563" t="s">
        <v>6569</v>
      </c>
      <c r="B6563">
        <v>30459</v>
      </c>
      <c r="C6563">
        <v>7898206501505</v>
      </c>
      <c r="D6563">
        <v>4.99</v>
      </c>
      <c r="E6563">
        <v>3.1</v>
      </c>
      <c r="F6563" s="3">
        <v>0.33110000000000001</v>
      </c>
      <c r="G6563">
        <v>2.8763999999999998</v>
      </c>
      <c r="H6563">
        <v>14.532999999999999</v>
      </c>
    </row>
    <row r="6564" spans="1:8" x14ac:dyDescent="0.25">
      <c r="A6564" t="s">
        <v>6570</v>
      </c>
      <c r="B6564">
        <v>30449</v>
      </c>
      <c r="C6564">
        <v>7898206500393</v>
      </c>
      <c r="D6564">
        <v>4.99</v>
      </c>
      <c r="E6564">
        <v>4.63</v>
      </c>
      <c r="F6564" s="3">
        <v>5.3800000000000001E-2</v>
      </c>
      <c r="G6564">
        <v>4.2599</v>
      </c>
      <c r="H6564">
        <v>11.132999999999999</v>
      </c>
    </row>
    <row r="6565" spans="1:8" x14ac:dyDescent="0.25">
      <c r="A6565" t="s">
        <v>6571</v>
      </c>
      <c r="B6565">
        <v>30457</v>
      </c>
      <c r="C6565">
        <v>7898206501482</v>
      </c>
      <c r="D6565">
        <v>4.99</v>
      </c>
      <c r="E6565">
        <v>3.43</v>
      </c>
      <c r="F6565" s="3">
        <v>0.28260000000000002</v>
      </c>
      <c r="G6565">
        <v>3.1183999999999998</v>
      </c>
      <c r="H6565">
        <v>11.7</v>
      </c>
    </row>
    <row r="6566" spans="1:8" x14ac:dyDescent="0.25">
      <c r="A6566" t="s">
        <v>6572</v>
      </c>
      <c r="B6566">
        <v>30465</v>
      </c>
      <c r="C6566">
        <v>7898206500706</v>
      </c>
      <c r="D6566">
        <v>4.99</v>
      </c>
      <c r="E6566">
        <v>4.32</v>
      </c>
      <c r="F6566" s="3">
        <v>0.1164</v>
      </c>
      <c r="G6566">
        <v>3.9474</v>
      </c>
      <c r="H6566">
        <v>15.9</v>
      </c>
    </row>
    <row r="6567" spans="1:8" x14ac:dyDescent="0.25">
      <c r="A6567" t="s">
        <v>6573</v>
      </c>
      <c r="B6567">
        <v>61827</v>
      </c>
      <c r="C6567">
        <v>7898206503318</v>
      </c>
      <c r="D6567">
        <v>7.29</v>
      </c>
      <c r="E6567">
        <v>5.75</v>
      </c>
      <c r="F6567" s="3">
        <v>0.1925</v>
      </c>
      <c r="G6567">
        <v>5.2126000000000001</v>
      </c>
      <c r="H6567">
        <v>13.532999999999999</v>
      </c>
    </row>
    <row r="6568" spans="1:8" x14ac:dyDescent="0.25">
      <c r="A6568" t="s">
        <v>6574</v>
      </c>
      <c r="B6568">
        <v>30466</v>
      </c>
      <c r="C6568">
        <v>7898206502175</v>
      </c>
      <c r="D6568">
        <v>19.899999999999999</v>
      </c>
      <c r="E6568">
        <v>12.73</v>
      </c>
      <c r="F6568" s="3">
        <v>0.32619999999999999</v>
      </c>
      <c r="G6568">
        <v>11.568199999999999</v>
      </c>
      <c r="H6568">
        <v>2.367</v>
      </c>
    </row>
    <row r="6569" spans="1:8" x14ac:dyDescent="0.25">
      <c r="A6569" t="s">
        <v>6575</v>
      </c>
      <c r="B6569">
        <v>67020</v>
      </c>
      <c r="C6569">
        <v>7898206502182</v>
      </c>
      <c r="D6569">
        <v>4.99</v>
      </c>
      <c r="E6569">
        <v>3.15</v>
      </c>
      <c r="F6569" s="3">
        <v>0.31530000000000002</v>
      </c>
      <c r="G6569">
        <v>2.9550999999999998</v>
      </c>
      <c r="H6569">
        <v>13.532999999999999</v>
      </c>
    </row>
    <row r="6570" spans="1:8" x14ac:dyDescent="0.25">
      <c r="A6570" t="s">
        <v>6576</v>
      </c>
      <c r="B6570">
        <v>30464</v>
      </c>
      <c r="C6570">
        <v>7898206500683</v>
      </c>
      <c r="D6570">
        <v>19.899999999999999</v>
      </c>
      <c r="E6570">
        <v>15.71</v>
      </c>
      <c r="F6570" s="3">
        <v>0.17550000000000002</v>
      </c>
      <c r="G6570">
        <v>14.5663</v>
      </c>
      <c r="H6570">
        <v>5.133</v>
      </c>
    </row>
    <row r="6571" spans="1:8" x14ac:dyDescent="0.25">
      <c r="A6571" t="s">
        <v>6577</v>
      </c>
      <c r="B6571">
        <v>30468</v>
      </c>
      <c r="C6571">
        <v>7898206502199</v>
      </c>
      <c r="D6571">
        <v>19.899999999999999</v>
      </c>
      <c r="E6571">
        <v>12.03</v>
      </c>
      <c r="F6571" s="3">
        <v>0.35520000000000002</v>
      </c>
      <c r="G6571">
        <v>10.989800000000001</v>
      </c>
      <c r="H6571">
        <v>5.7329999999999997</v>
      </c>
    </row>
    <row r="6572" spans="1:8" x14ac:dyDescent="0.25">
      <c r="A6572" t="s">
        <v>6578</v>
      </c>
      <c r="B6572">
        <v>30469</v>
      </c>
      <c r="C6572">
        <v>7898206502205</v>
      </c>
      <c r="D6572">
        <v>4.99</v>
      </c>
      <c r="E6572">
        <v>3.41</v>
      </c>
      <c r="F6572" s="3">
        <v>0.28550000000000003</v>
      </c>
      <c r="G6572">
        <v>3.1040000000000001</v>
      </c>
      <c r="H6572">
        <v>16.332999999999998</v>
      </c>
    </row>
    <row r="6573" spans="1:8" x14ac:dyDescent="0.25">
      <c r="A6573" t="s">
        <v>6579</v>
      </c>
      <c r="B6573">
        <v>9936</v>
      </c>
      <c r="C6573">
        <v>7898097891112</v>
      </c>
      <c r="D6573">
        <v>17.899999999999999</v>
      </c>
      <c r="E6573">
        <v>11.34</v>
      </c>
      <c r="F6573" s="3">
        <v>0.33299999999999996</v>
      </c>
      <c r="G6573">
        <v>10.2835</v>
      </c>
      <c r="H6573">
        <v>1.0329999999999999</v>
      </c>
    </row>
    <row r="6574" spans="1:8" x14ac:dyDescent="0.25">
      <c r="A6574" t="s">
        <v>6580</v>
      </c>
      <c r="B6574">
        <v>41063</v>
      </c>
      <c r="C6574">
        <v>7898097891143</v>
      </c>
      <c r="D6574">
        <v>36.9</v>
      </c>
      <c r="E6574">
        <v>26.42</v>
      </c>
      <c r="F6574" s="3">
        <v>0.25309999999999999</v>
      </c>
      <c r="G6574">
        <v>24.146100000000001</v>
      </c>
      <c r="H6574">
        <v>1.9330000000000001</v>
      </c>
    </row>
    <row r="6575" spans="1:8" x14ac:dyDescent="0.25">
      <c r="A6575" t="s">
        <v>6581</v>
      </c>
      <c r="B6575">
        <v>36275</v>
      </c>
      <c r="C6575">
        <v>8410280207037</v>
      </c>
      <c r="D6575">
        <v>26.9</v>
      </c>
      <c r="E6575">
        <v>19.010000000000002</v>
      </c>
      <c r="F6575" s="3">
        <v>0.2661</v>
      </c>
      <c r="G6575">
        <v>17.253299999999999</v>
      </c>
      <c r="H6575">
        <v>1.867</v>
      </c>
    </row>
    <row r="6576" spans="1:8" x14ac:dyDescent="0.25">
      <c r="A6576" t="s">
        <v>6582</v>
      </c>
      <c r="B6576">
        <v>36274</v>
      </c>
      <c r="C6576">
        <v>7896237900861</v>
      </c>
      <c r="D6576">
        <v>10.9</v>
      </c>
      <c r="E6576">
        <v>7.32</v>
      </c>
      <c r="F6576" s="3">
        <v>0.29809999999999998</v>
      </c>
      <c r="G6576">
        <v>6.6425999999999998</v>
      </c>
      <c r="H6576">
        <v>1.9</v>
      </c>
    </row>
    <row r="6577" spans="1:8" x14ac:dyDescent="0.25">
      <c r="A6577" t="s">
        <v>6583</v>
      </c>
      <c r="B6577">
        <v>5762</v>
      </c>
      <c r="C6577">
        <v>7894900087123</v>
      </c>
      <c r="D6577">
        <v>7.99</v>
      </c>
      <c r="E6577">
        <v>5.0999999999999996</v>
      </c>
      <c r="F6577" s="3">
        <v>0.32799999999999996</v>
      </c>
      <c r="G6577">
        <v>4.6300999999999997</v>
      </c>
      <c r="H6577">
        <v>4.7329999999999997</v>
      </c>
    </row>
    <row r="6578" spans="1:8" x14ac:dyDescent="0.25">
      <c r="A6578" t="s">
        <v>6584</v>
      </c>
      <c r="B6578">
        <v>5555</v>
      </c>
      <c r="C6578">
        <v>7894900087017</v>
      </c>
      <c r="D6578">
        <v>3.19</v>
      </c>
      <c r="E6578">
        <v>2.11</v>
      </c>
      <c r="F6578" s="3">
        <v>0.30760000000000004</v>
      </c>
      <c r="G6578">
        <v>1.9137</v>
      </c>
      <c r="H6578">
        <v>3.5</v>
      </c>
    </row>
    <row r="6579" spans="1:8" x14ac:dyDescent="0.25">
      <c r="A6579" t="s">
        <v>6585</v>
      </c>
      <c r="B6579">
        <v>5556</v>
      </c>
      <c r="C6579">
        <v>7894900087055</v>
      </c>
      <c r="D6579">
        <v>3.19</v>
      </c>
      <c r="E6579">
        <v>2.11</v>
      </c>
      <c r="F6579" s="3">
        <v>0.30760000000000004</v>
      </c>
      <c r="G6579">
        <v>1.9137</v>
      </c>
      <c r="H6579">
        <v>5.7670000000000003</v>
      </c>
    </row>
    <row r="6580" spans="1:8" x14ac:dyDescent="0.25">
      <c r="A6580" t="s">
        <v>6586</v>
      </c>
      <c r="B6580">
        <v>5765</v>
      </c>
      <c r="C6580">
        <v>7894900087079</v>
      </c>
      <c r="D6580">
        <v>3.19</v>
      </c>
      <c r="E6580">
        <v>2.11</v>
      </c>
      <c r="F6580" s="3">
        <v>0.30760000000000004</v>
      </c>
      <c r="G6580">
        <v>1.9137</v>
      </c>
      <c r="H6580">
        <v>5.2</v>
      </c>
    </row>
    <row r="6581" spans="1:8" x14ac:dyDescent="0.25">
      <c r="A6581" t="s">
        <v>6587</v>
      </c>
      <c r="B6581">
        <v>5767</v>
      </c>
      <c r="C6581">
        <v>7894900087116</v>
      </c>
      <c r="D6581">
        <v>3.19</v>
      </c>
      <c r="E6581">
        <v>2.11</v>
      </c>
      <c r="F6581" s="3">
        <v>0.30879999999999996</v>
      </c>
      <c r="G6581">
        <v>1.9098999999999999</v>
      </c>
      <c r="H6581">
        <v>3.133</v>
      </c>
    </row>
    <row r="6582" spans="1:8" x14ac:dyDescent="0.25">
      <c r="A6582" t="s">
        <v>6588</v>
      </c>
      <c r="B6582">
        <v>5768</v>
      </c>
      <c r="C6582">
        <v>7894900087130</v>
      </c>
      <c r="D6582">
        <v>3.19</v>
      </c>
      <c r="E6582">
        <v>2.27</v>
      </c>
      <c r="F6582" s="3">
        <v>0.21479999999999999</v>
      </c>
      <c r="G6582">
        <v>2.2097000000000002</v>
      </c>
      <c r="H6582">
        <v>22.966999999999999</v>
      </c>
    </row>
    <row r="6583" spans="1:8" x14ac:dyDescent="0.25">
      <c r="A6583" t="s">
        <v>6589</v>
      </c>
      <c r="B6583">
        <v>5478</v>
      </c>
      <c r="C6583">
        <v>7896293806145</v>
      </c>
      <c r="D6583">
        <v>8.49</v>
      </c>
      <c r="E6583">
        <v>6.47</v>
      </c>
      <c r="F6583" s="3">
        <v>0.23329999999999998</v>
      </c>
      <c r="G6583">
        <v>5.7237</v>
      </c>
      <c r="H6583">
        <v>6.5670000000000002</v>
      </c>
    </row>
    <row r="6584" spans="1:8" x14ac:dyDescent="0.25">
      <c r="A6584" t="s">
        <v>6590</v>
      </c>
      <c r="B6584">
        <v>65868</v>
      </c>
      <c r="C6584">
        <v>7896293808194</v>
      </c>
      <c r="D6584">
        <v>8.49</v>
      </c>
      <c r="E6584">
        <v>6.09</v>
      </c>
      <c r="F6584" s="3">
        <v>0.25780000000000003</v>
      </c>
      <c r="G6584">
        <v>5.5162000000000004</v>
      </c>
      <c r="H6584">
        <v>6.6669999999999998</v>
      </c>
    </row>
    <row r="6585" spans="1:8" x14ac:dyDescent="0.25">
      <c r="A6585" t="s">
        <v>6591</v>
      </c>
      <c r="B6585">
        <v>5479</v>
      </c>
      <c r="C6585">
        <v>7896293806183</v>
      </c>
      <c r="D6585">
        <v>8.49</v>
      </c>
      <c r="E6585">
        <v>6.85</v>
      </c>
      <c r="F6585" s="3">
        <v>0.17620000000000002</v>
      </c>
      <c r="G6585">
        <v>6.2091000000000003</v>
      </c>
      <c r="H6585">
        <v>29.132999999999999</v>
      </c>
    </row>
    <row r="6586" spans="1:8" x14ac:dyDescent="0.25">
      <c r="A6586" t="s">
        <v>6592</v>
      </c>
      <c r="B6586">
        <v>5480</v>
      </c>
      <c r="C6586">
        <v>7896293806169</v>
      </c>
      <c r="D6586">
        <v>8.49</v>
      </c>
      <c r="E6586">
        <v>6.24</v>
      </c>
      <c r="F6586" s="3">
        <v>0.25059999999999999</v>
      </c>
      <c r="G6586">
        <v>5.5774999999999997</v>
      </c>
      <c r="H6586">
        <v>11.7</v>
      </c>
    </row>
    <row r="6587" spans="1:8" x14ac:dyDescent="0.25">
      <c r="A6587" t="s">
        <v>6593</v>
      </c>
      <c r="B6587">
        <v>5481</v>
      </c>
      <c r="C6587">
        <v>7896293806176</v>
      </c>
      <c r="D6587">
        <v>8.49</v>
      </c>
      <c r="E6587">
        <v>6.27</v>
      </c>
      <c r="F6587" s="3">
        <v>0.27350000000000002</v>
      </c>
      <c r="G6587">
        <v>5.3825000000000003</v>
      </c>
      <c r="H6587">
        <v>17.2</v>
      </c>
    </row>
    <row r="6588" spans="1:8" x14ac:dyDescent="0.25">
      <c r="A6588" t="s">
        <v>6594</v>
      </c>
      <c r="B6588">
        <v>12899</v>
      </c>
      <c r="C6588">
        <v>7896293806190</v>
      </c>
      <c r="D6588">
        <v>8.49</v>
      </c>
      <c r="E6588">
        <v>6.78</v>
      </c>
      <c r="F6588" s="3">
        <v>0.18559999999999999</v>
      </c>
      <c r="G6588">
        <v>6.1288999999999998</v>
      </c>
      <c r="H6588">
        <v>5.7329999999999997</v>
      </c>
    </row>
    <row r="6589" spans="1:8" x14ac:dyDescent="0.25">
      <c r="A6589" t="s">
        <v>6595</v>
      </c>
      <c r="B6589">
        <v>5482</v>
      </c>
      <c r="C6589">
        <v>7896293806206</v>
      </c>
      <c r="D6589">
        <v>8.49</v>
      </c>
      <c r="E6589">
        <v>6.19</v>
      </c>
      <c r="F6589" s="3">
        <v>0.24480000000000002</v>
      </c>
      <c r="G6589">
        <v>5.6261999999999999</v>
      </c>
      <c r="H6589">
        <v>8.1329999999999991</v>
      </c>
    </row>
    <row r="6590" spans="1:8" x14ac:dyDescent="0.25">
      <c r="A6590" t="s">
        <v>6596</v>
      </c>
      <c r="B6590">
        <v>5553</v>
      </c>
      <c r="C6590">
        <v>7896293808132</v>
      </c>
      <c r="D6590">
        <v>2.89</v>
      </c>
      <c r="E6590">
        <v>1.95</v>
      </c>
      <c r="F6590" s="3">
        <v>0.30049999999999999</v>
      </c>
      <c r="G6590">
        <v>1.7542</v>
      </c>
      <c r="H6590">
        <v>24.567</v>
      </c>
    </row>
    <row r="6591" spans="1:8" x14ac:dyDescent="0.25">
      <c r="A6591" t="s">
        <v>6597</v>
      </c>
      <c r="B6591">
        <v>65869</v>
      </c>
      <c r="C6591">
        <v>7896293808187</v>
      </c>
      <c r="D6591">
        <v>2.89</v>
      </c>
      <c r="E6591">
        <v>2</v>
      </c>
      <c r="F6591" s="3">
        <v>0.27360000000000001</v>
      </c>
      <c r="G6591">
        <v>1.8320000000000001</v>
      </c>
      <c r="H6591">
        <v>17.5</v>
      </c>
    </row>
    <row r="6592" spans="1:8" x14ac:dyDescent="0.25">
      <c r="A6592" t="s">
        <v>6598</v>
      </c>
      <c r="B6592">
        <v>5554</v>
      </c>
      <c r="C6592">
        <v>7896293808101</v>
      </c>
      <c r="D6592">
        <v>2.89</v>
      </c>
      <c r="E6592">
        <v>2.0099999999999998</v>
      </c>
      <c r="F6592" s="3">
        <v>0.29520000000000002</v>
      </c>
      <c r="G6592">
        <v>1.7694000000000001</v>
      </c>
      <c r="H6592">
        <v>74.667000000000002</v>
      </c>
    </row>
    <row r="6593" spans="1:8" x14ac:dyDescent="0.25">
      <c r="A6593" t="s">
        <v>6599</v>
      </c>
      <c r="B6593">
        <v>5506</v>
      </c>
      <c r="C6593">
        <v>7896293808118</v>
      </c>
      <c r="D6593">
        <v>2.89</v>
      </c>
      <c r="E6593">
        <v>1.96</v>
      </c>
      <c r="F6593" s="3">
        <v>0.29719999999999996</v>
      </c>
      <c r="G6593">
        <v>1.7639</v>
      </c>
      <c r="H6593">
        <v>43</v>
      </c>
    </row>
    <row r="6594" spans="1:8" x14ac:dyDescent="0.25">
      <c r="A6594" t="s">
        <v>6600</v>
      </c>
      <c r="B6594">
        <v>5508</v>
      </c>
      <c r="C6594">
        <v>7896293808095</v>
      </c>
      <c r="D6594">
        <v>2.89</v>
      </c>
      <c r="E6594">
        <v>1.99</v>
      </c>
      <c r="F6594" s="3">
        <v>0.40850000000000003</v>
      </c>
      <c r="G6594">
        <v>1.4420999999999999</v>
      </c>
      <c r="H6594">
        <v>39.866999999999997</v>
      </c>
    </row>
    <row r="6595" spans="1:8" x14ac:dyDescent="0.25">
      <c r="A6595" t="s">
        <v>6601</v>
      </c>
      <c r="B6595">
        <v>13040</v>
      </c>
      <c r="C6595">
        <v>7896293806121</v>
      </c>
      <c r="D6595">
        <v>2.89</v>
      </c>
      <c r="E6595">
        <v>2.0299999999999998</v>
      </c>
      <c r="F6595" s="3">
        <v>0.25</v>
      </c>
      <c r="G6595">
        <v>1.9000999999999999</v>
      </c>
      <c r="H6595">
        <v>15.766999999999999</v>
      </c>
    </row>
    <row r="6596" spans="1:8" x14ac:dyDescent="0.25">
      <c r="A6596" t="s">
        <v>6602</v>
      </c>
      <c r="B6596">
        <v>5509</v>
      </c>
      <c r="C6596">
        <v>7896293808125</v>
      </c>
      <c r="D6596">
        <v>2.89</v>
      </c>
      <c r="E6596">
        <v>2.12</v>
      </c>
      <c r="F6596" s="3">
        <v>0.2334</v>
      </c>
      <c r="G6596">
        <v>1.9480999999999999</v>
      </c>
      <c r="H6596">
        <v>44.9</v>
      </c>
    </row>
    <row r="6597" spans="1:8" x14ac:dyDescent="0.25">
      <c r="A6597" t="s">
        <v>6603</v>
      </c>
      <c r="B6597">
        <v>5750</v>
      </c>
      <c r="C6597">
        <v>7896024870964</v>
      </c>
      <c r="D6597">
        <v>21.9</v>
      </c>
      <c r="E6597">
        <v>14.53</v>
      </c>
      <c r="F6597" s="3">
        <v>0.30579999999999996</v>
      </c>
      <c r="G6597">
        <v>13.177899999999999</v>
      </c>
      <c r="H6597">
        <v>2.5329999999999999</v>
      </c>
    </row>
    <row r="6598" spans="1:8" x14ac:dyDescent="0.25">
      <c r="A6598" t="s">
        <v>6604</v>
      </c>
      <c r="B6598">
        <v>62344</v>
      </c>
      <c r="C6598">
        <v>7891156076093</v>
      </c>
      <c r="D6598">
        <v>3.79</v>
      </c>
      <c r="E6598">
        <v>2.73</v>
      </c>
      <c r="F6598" s="3">
        <v>0.25519999999999998</v>
      </c>
      <c r="G6598">
        <v>2.4723000000000002</v>
      </c>
      <c r="H6598">
        <v>0.9</v>
      </c>
    </row>
    <row r="6599" spans="1:8" x14ac:dyDescent="0.25">
      <c r="A6599" t="s">
        <v>6605</v>
      </c>
      <c r="B6599">
        <v>5760</v>
      </c>
      <c r="C6599">
        <v>7891156040018</v>
      </c>
      <c r="D6599">
        <v>3.79</v>
      </c>
      <c r="E6599">
        <v>2.74</v>
      </c>
      <c r="F6599" s="3">
        <v>0.25009999999999999</v>
      </c>
      <c r="G6599">
        <v>2.4916999999999998</v>
      </c>
      <c r="H6599">
        <v>12.1</v>
      </c>
    </row>
    <row r="6600" spans="1:8" x14ac:dyDescent="0.25">
      <c r="A6600" t="s">
        <v>6606</v>
      </c>
      <c r="B6600">
        <v>5763</v>
      </c>
      <c r="C6600">
        <v>7891156044016</v>
      </c>
      <c r="D6600">
        <v>3.79</v>
      </c>
      <c r="E6600">
        <v>2.75</v>
      </c>
      <c r="F6600" s="3">
        <v>0.24909999999999999</v>
      </c>
      <c r="G6600">
        <v>2.4954999999999998</v>
      </c>
      <c r="H6600">
        <v>11.5</v>
      </c>
    </row>
    <row r="6601" spans="1:8" x14ac:dyDescent="0.25">
      <c r="A6601" t="s">
        <v>6607</v>
      </c>
      <c r="B6601">
        <v>62343</v>
      </c>
      <c r="C6601">
        <v>7891156076086</v>
      </c>
      <c r="D6601">
        <v>3.79</v>
      </c>
      <c r="E6601">
        <v>2.75</v>
      </c>
      <c r="F6601" s="3">
        <v>0.2492</v>
      </c>
      <c r="G6601">
        <v>2.4950000000000001</v>
      </c>
      <c r="H6601">
        <v>1.5329999999999999</v>
      </c>
    </row>
    <row r="6602" spans="1:8" x14ac:dyDescent="0.25">
      <c r="A6602" t="s">
        <v>6608</v>
      </c>
      <c r="B6602">
        <v>5757</v>
      </c>
      <c r="C6602">
        <v>7891156020218</v>
      </c>
      <c r="D6602">
        <v>3.79</v>
      </c>
      <c r="E6602">
        <v>2.75</v>
      </c>
      <c r="F6602" s="3">
        <v>0.24890000000000001</v>
      </c>
      <c r="G6602">
        <v>2.4962</v>
      </c>
      <c r="H6602">
        <v>142.733</v>
      </c>
    </row>
    <row r="6603" spans="1:8" x14ac:dyDescent="0.25">
      <c r="A6603" t="s">
        <v>6609</v>
      </c>
      <c r="B6603">
        <v>9711</v>
      </c>
      <c r="C6603">
        <v>7897303505065</v>
      </c>
      <c r="D6603">
        <v>21.9</v>
      </c>
      <c r="E6603">
        <v>13.3</v>
      </c>
      <c r="F6603" s="3">
        <v>0.2858</v>
      </c>
      <c r="G6603">
        <v>9.6739999999999995</v>
      </c>
      <c r="H6603">
        <v>0.36699999999999999</v>
      </c>
    </row>
    <row r="6604" spans="1:8" x14ac:dyDescent="0.25">
      <c r="A6604" t="s">
        <v>6610</v>
      </c>
      <c r="B6604">
        <v>35661</v>
      </c>
      <c r="C6604">
        <v>7896048285270</v>
      </c>
      <c r="D6604">
        <v>9.9</v>
      </c>
      <c r="E6604">
        <v>9.2799999999999994</v>
      </c>
      <c r="F6604" s="3">
        <v>5.79E-2</v>
      </c>
      <c r="G6604">
        <v>8.4108000000000001</v>
      </c>
      <c r="H6604">
        <v>3.5</v>
      </c>
    </row>
    <row r="6605" spans="1:8" x14ac:dyDescent="0.25">
      <c r="A6605" t="s">
        <v>6611</v>
      </c>
      <c r="B6605">
        <v>69672</v>
      </c>
      <c r="C6605">
        <v>7898692301993</v>
      </c>
      <c r="D6605">
        <v>8.99</v>
      </c>
      <c r="E6605">
        <v>4.54</v>
      </c>
      <c r="F6605" s="3">
        <v>0.44869999999999999</v>
      </c>
      <c r="G6605">
        <v>4.1246</v>
      </c>
      <c r="H6605">
        <v>16.367000000000001</v>
      </c>
    </row>
    <row r="6606" spans="1:8" x14ac:dyDescent="0.25">
      <c r="A6606" t="s">
        <v>6612</v>
      </c>
      <c r="B6606">
        <v>69674</v>
      </c>
      <c r="C6606">
        <v>7898692300859</v>
      </c>
      <c r="D6606">
        <v>8.99</v>
      </c>
      <c r="E6606">
        <v>4.54</v>
      </c>
      <c r="F6606" s="3">
        <v>0.44869999999999999</v>
      </c>
      <c r="G6606">
        <v>4.1246</v>
      </c>
      <c r="H6606">
        <v>5.6</v>
      </c>
    </row>
    <row r="6607" spans="1:8" x14ac:dyDescent="0.25">
      <c r="A6607" t="s">
        <v>6613</v>
      </c>
      <c r="B6607">
        <v>69673</v>
      </c>
      <c r="C6607">
        <v>7898692301986</v>
      </c>
      <c r="D6607">
        <v>8.99</v>
      </c>
      <c r="E6607">
        <v>4.54</v>
      </c>
      <c r="F6607" s="3">
        <v>0.44869999999999999</v>
      </c>
      <c r="G6607">
        <v>4.1246</v>
      </c>
      <c r="H6607">
        <v>15.2</v>
      </c>
    </row>
    <row r="6608" spans="1:8" x14ac:dyDescent="0.25">
      <c r="A6608" t="s">
        <v>6614</v>
      </c>
      <c r="B6608">
        <v>58788</v>
      </c>
      <c r="C6608">
        <v>7898955705780</v>
      </c>
      <c r="D6608">
        <v>8.99</v>
      </c>
      <c r="E6608">
        <v>4.5199999999999996</v>
      </c>
      <c r="F6608" s="3">
        <v>0.45159999999999995</v>
      </c>
      <c r="G6608">
        <v>4.0989000000000004</v>
      </c>
      <c r="H6608">
        <v>15.333</v>
      </c>
    </row>
    <row r="6609" spans="1:8" x14ac:dyDescent="0.25">
      <c r="A6609" t="s">
        <v>6615</v>
      </c>
      <c r="B6609">
        <v>58789</v>
      </c>
      <c r="C6609">
        <v>7898955705766</v>
      </c>
      <c r="D6609">
        <v>8.99</v>
      </c>
      <c r="E6609">
        <v>4.4400000000000004</v>
      </c>
      <c r="F6609" s="3">
        <v>0.45429999999999998</v>
      </c>
      <c r="G6609">
        <v>4.0744999999999996</v>
      </c>
      <c r="H6609">
        <v>14.3</v>
      </c>
    </row>
    <row r="6610" spans="1:8" x14ac:dyDescent="0.25">
      <c r="A6610" t="s">
        <v>6616</v>
      </c>
      <c r="B6610">
        <v>57988</v>
      </c>
      <c r="C6610">
        <v>1220000250055</v>
      </c>
      <c r="D6610">
        <v>7.59</v>
      </c>
      <c r="E6610">
        <v>4.9400000000000004</v>
      </c>
      <c r="F6610" s="3">
        <v>0.3175</v>
      </c>
      <c r="G6610">
        <v>4.4781000000000004</v>
      </c>
      <c r="H6610">
        <v>10.067</v>
      </c>
    </row>
    <row r="6611" spans="1:8" x14ac:dyDescent="0.25">
      <c r="A6611" t="s">
        <v>6617</v>
      </c>
      <c r="B6611">
        <v>57989</v>
      </c>
      <c r="C6611">
        <v>1220000250079</v>
      </c>
      <c r="D6611">
        <v>7.59</v>
      </c>
      <c r="E6611">
        <v>5.05</v>
      </c>
      <c r="F6611" s="3">
        <v>0.31569999999999998</v>
      </c>
      <c r="G6611">
        <v>4.4919000000000002</v>
      </c>
      <c r="H6611">
        <v>8.3330000000000002</v>
      </c>
    </row>
    <row r="6612" spans="1:8" x14ac:dyDescent="0.25">
      <c r="A6612" t="s">
        <v>6618</v>
      </c>
      <c r="B6612">
        <v>60695</v>
      </c>
      <c r="C6612">
        <v>7898692300323</v>
      </c>
      <c r="D6612">
        <v>119</v>
      </c>
      <c r="E6612">
        <v>75.44</v>
      </c>
      <c r="F6612" s="3">
        <v>0.2727</v>
      </c>
      <c r="G6612">
        <v>54.1218</v>
      </c>
      <c r="H6612">
        <v>0.3</v>
      </c>
    </row>
    <row r="6613" spans="1:8" x14ac:dyDescent="0.25">
      <c r="A6613" t="s">
        <v>6619</v>
      </c>
      <c r="B6613">
        <v>60697</v>
      </c>
      <c r="C6613">
        <v>7898692300385</v>
      </c>
      <c r="D6613">
        <v>119</v>
      </c>
      <c r="E6613">
        <v>75.02</v>
      </c>
      <c r="F6613" s="3">
        <v>0.26890000000000003</v>
      </c>
      <c r="G6613">
        <v>54.5792</v>
      </c>
      <c r="H6613">
        <v>0.3</v>
      </c>
    </row>
    <row r="6614" spans="1:8" x14ac:dyDescent="0.25">
      <c r="A6614" t="s">
        <v>6620</v>
      </c>
      <c r="B6614">
        <v>44653</v>
      </c>
      <c r="C6614">
        <v>7896084571153</v>
      </c>
      <c r="D6614">
        <v>54.9</v>
      </c>
      <c r="E6614">
        <v>35.130000000000003</v>
      </c>
      <c r="F6614" s="3">
        <v>0.26190000000000002</v>
      </c>
      <c r="G6614">
        <v>25.558800000000002</v>
      </c>
      <c r="H6614">
        <v>0.3</v>
      </c>
    </row>
    <row r="6615" spans="1:8" x14ac:dyDescent="0.25">
      <c r="A6615" t="s">
        <v>6621</v>
      </c>
      <c r="B6615">
        <v>44652</v>
      </c>
      <c r="C6615">
        <v>7896084571160</v>
      </c>
      <c r="D6615">
        <v>54.9</v>
      </c>
      <c r="E6615">
        <v>35.130000000000003</v>
      </c>
      <c r="F6615" s="3">
        <v>0.26190000000000002</v>
      </c>
      <c r="G6615">
        <v>25.559200000000001</v>
      </c>
      <c r="H6615">
        <v>0.4</v>
      </c>
    </row>
    <row r="6616" spans="1:8" x14ac:dyDescent="0.25">
      <c r="A6616" t="s">
        <v>6622</v>
      </c>
      <c r="B6616">
        <v>44651</v>
      </c>
      <c r="C6616">
        <v>7896084571177</v>
      </c>
      <c r="D6616">
        <v>54.9</v>
      </c>
      <c r="E6616">
        <v>35.130000000000003</v>
      </c>
      <c r="F6616" s="3">
        <v>0.26190000000000002</v>
      </c>
      <c r="G6616">
        <v>25.559100000000001</v>
      </c>
      <c r="H6616">
        <v>0.16700000000000001</v>
      </c>
    </row>
    <row r="6617" spans="1:8" x14ac:dyDescent="0.25">
      <c r="A6617" t="s">
        <v>6623</v>
      </c>
      <c r="B6617">
        <v>44650</v>
      </c>
      <c r="C6617">
        <v>7896084572891</v>
      </c>
      <c r="D6617">
        <v>49.9</v>
      </c>
      <c r="E6617">
        <v>34.61</v>
      </c>
      <c r="F6617" s="3">
        <v>0.25659999999999999</v>
      </c>
      <c r="G6617">
        <v>28.986999999999998</v>
      </c>
      <c r="H6617">
        <v>0.23300000000000001</v>
      </c>
    </row>
    <row r="6618" spans="1:8" x14ac:dyDescent="0.25">
      <c r="A6618" t="s">
        <v>6624</v>
      </c>
      <c r="B6618">
        <v>67771</v>
      </c>
      <c r="C6618">
        <v>7891097105647</v>
      </c>
      <c r="D6618">
        <v>64.900000000000006</v>
      </c>
      <c r="E6618">
        <v>41.1</v>
      </c>
      <c r="F6618" s="3">
        <v>0.26679999999999998</v>
      </c>
      <c r="G6618">
        <v>29.902100000000001</v>
      </c>
      <c r="H6618">
        <v>1.4</v>
      </c>
    </row>
    <row r="6619" spans="1:8" x14ac:dyDescent="0.25">
      <c r="A6619" t="s">
        <v>6625</v>
      </c>
      <c r="B6619">
        <v>57758</v>
      </c>
      <c r="C6619">
        <v>7891097102264</v>
      </c>
      <c r="D6619">
        <v>64.900000000000006</v>
      </c>
      <c r="E6619">
        <v>41.1</v>
      </c>
      <c r="F6619" s="3">
        <v>0.26679999999999998</v>
      </c>
      <c r="G6619">
        <v>29.902000000000001</v>
      </c>
      <c r="H6619">
        <v>0.76700000000000002</v>
      </c>
    </row>
    <row r="6620" spans="1:8" x14ac:dyDescent="0.25">
      <c r="A6620" t="s">
        <v>6626</v>
      </c>
      <c r="B6620">
        <v>67770</v>
      </c>
      <c r="C6620">
        <v>7891097102271</v>
      </c>
      <c r="D6620">
        <v>64.900000000000006</v>
      </c>
      <c r="E6620">
        <v>41.1</v>
      </c>
      <c r="F6620" s="3">
        <v>0.26679999999999998</v>
      </c>
      <c r="G6620">
        <v>29.9023</v>
      </c>
      <c r="H6620">
        <v>0.76700000000000002</v>
      </c>
    </row>
    <row r="6621" spans="1:8" x14ac:dyDescent="0.25">
      <c r="A6621" t="s">
        <v>6627</v>
      </c>
      <c r="B6621">
        <v>49319</v>
      </c>
      <c r="C6621">
        <v>7891150060814</v>
      </c>
      <c r="D6621">
        <v>32.9</v>
      </c>
      <c r="E6621">
        <v>21.07</v>
      </c>
      <c r="F6621" s="3">
        <v>0.35969999999999996</v>
      </c>
      <c r="G6621">
        <v>21.066700000000001</v>
      </c>
      <c r="H6621">
        <v>3.3000000000000002E-2</v>
      </c>
    </row>
    <row r="6622" spans="1:8" x14ac:dyDescent="0.25">
      <c r="A6622" t="s">
        <v>6628</v>
      </c>
      <c r="B6622">
        <v>49321</v>
      </c>
      <c r="C6622">
        <v>7891150060821</v>
      </c>
      <c r="D6622">
        <v>32.9</v>
      </c>
      <c r="E6622">
        <v>23.17</v>
      </c>
      <c r="F6622" s="3">
        <v>0.29580000000000001</v>
      </c>
      <c r="G6622">
        <v>23.166899999999998</v>
      </c>
      <c r="H6622">
        <v>0</v>
      </c>
    </row>
    <row r="6623" spans="1:8" x14ac:dyDescent="0.25">
      <c r="A6623" t="s">
        <v>6629</v>
      </c>
      <c r="B6623">
        <v>51132</v>
      </c>
      <c r="C6623">
        <v>7891150061583</v>
      </c>
      <c r="D6623">
        <v>32.9</v>
      </c>
      <c r="E6623">
        <v>19.18</v>
      </c>
      <c r="F6623" s="3">
        <v>0.41700000000000004</v>
      </c>
      <c r="G6623">
        <v>19.180800000000001</v>
      </c>
      <c r="H6623">
        <v>0</v>
      </c>
    </row>
    <row r="6624" spans="1:8" x14ac:dyDescent="0.25">
      <c r="A6624" t="s">
        <v>6630</v>
      </c>
      <c r="B6624">
        <v>22402</v>
      </c>
      <c r="C6624">
        <v>7891021000673</v>
      </c>
      <c r="D6624">
        <v>10.9</v>
      </c>
      <c r="E6624">
        <v>6.73</v>
      </c>
      <c r="F6624" s="3">
        <v>0.34689999999999999</v>
      </c>
      <c r="G6624">
        <v>6.1105999999999998</v>
      </c>
      <c r="H6624">
        <v>0.9</v>
      </c>
    </row>
    <row r="6625" spans="1:8" x14ac:dyDescent="0.25">
      <c r="A6625" t="s">
        <v>6631</v>
      </c>
      <c r="B6625">
        <v>22403</v>
      </c>
      <c r="C6625">
        <v>7891021000925</v>
      </c>
      <c r="D6625">
        <v>10.9</v>
      </c>
      <c r="E6625">
        <v>7.13</v>
      </c>
      <c r="F6625" s="3">
        <v>0.31379999999999997</v>
      </c>
      <c r="G6625">
        <v>6.4710000000000001</v>
      </c>
      <c r="H6625">
        <v>1.2330000000000001</v>
      </c>
    </row>
    <row r="6626" spans="1:8" x14ac:dyDescent="0.25">
      <c r="A6626" t="s">
        <v>6632</v>
      </c>
      <c r="B6626">
        <v>14721</v>
      </c>
      <c r="C6626">
        <v>7891021000949</v>
      </c>
      <c r="D6626">
        <v>10.9</v>
      </c>
      <c r="E6626">
        <v>7.76</v>
      </c>
      <c r="F6626" s="3">
        <v>0.26069999999999999</v>
      </c>
      <c r="G6626">
        <v>7.0503</v>
      </c>
      <c r="H6626">
        <v>1.8</v>
      </c>
    </row>
    <row r="6627" spans="1:8" x14ac:dyDescent="0.25">
      <c r="A6627" t="s">
        <v>6633</v>
      </c>
      <c r="B6627">
        <v>66127</v>
      </c>
      <c r="C6627">
        <v>7896001006218</v>
      </c>
      <c r="D6627">
        <v>9.9</v>
      </c>
      <c r="E6627">
        <v>5.61</v>
      </c>
      <c r="F6627" s="3">
        <v>0.32590000000000002</v>
      </c>
      <c r="G6627">
        <v>3.9756</v>
      </c>
      <c r="H6627">
        <v>0.53300000000000003</v>
      </c>
    </row>
    <row r="6628" spans="1:8" x14ac:dyDescent="0.25">
      <c r="A6628" t="s">
        <v>6634</v>
      </c>
      <c r="B6628">
        <v>46320</v>
      </c>
      <c r="C6628">
        <v>7898041350061</v>
      </c>
      <c r="D6628">
        <v>8.49</v>
      </c>
      <c r="E6628">
        <v>5.55</v>
      </c>
      <c r="F6628" s="3">
        <v>0.31409999999999999</v>
      </c>
      <c r="G6628">
        <v>5.0381</v>
      </c>
      <c r="H6628">
        <v>32.067</v>
      </c>
    </row>
    <row r="6629" spans="1:8" x14ac:dyDescent="0.25">
      <c r="A6629" t="s">
        <v>6635</v>
      </c>
      <c r="B6629">
        <v>60228</v>
      </c>
      <c r="C6629">
        <v>7896403771561</v>
      </c>
      <c r="D6629">
        <v>89.9</v>
      </c>
      <c r="E6629">
        <v>46.54</v>
      </c>
      <c r="F6629" s="3">
        <v>0.35090000000000005</v>
      </c>
      <c r="G6629">
        <v>33.858400000000003</v>
      </c>
      <c r="H6629">
        <v>0.16700000000000001</v>
      </c>
    </row>
    <row r="6630" spans="1:8" x14ac:dyDescent="0.25">
      <c r="A6630" t="s">
        <v>6636</v>
      </c>
      <c r="B6630">
        <v>58285</v>
      </c>
      <c r="C6630">
        <v>7908563702429</v>
      </c>
      <c r="D6630">
        <v>132.9</v>
      </c>
      <c r="E6630">
        <v>95.59</v>
      </c>
      <c r="F6630" s="3">
        <v>0.1837</v>
      </c>
      <c r="G6630">
        <v>72.271799999999999</v>
      </c>
      <c r="H6630">
        <v>3.3000000000000002E-2</v>
      </c>
    </row>
    <row r="6631" spans="1:8" x14ac:dyDescent="0.25">
      <c r="A6631" t="s">
        <v>6637</v>
      </c>
      <c r="B6631">
        <v>64835</v>
      </c>
      <c r="C6631">
        <v>11359640106</v>
      </c>
      <c r="D6631">
        <v>32.9</v>
      </c>
      <c r="E6631">
        <v>22.43</v>
      </c>
      <c r="F6631" s="3">
        <v>0.2898</v>
      </c>
      <c r="G6631">
        <v>20.323599999999999</v>
      </c>
      <c r="H6631">
        <v>1.833</v>
      </c>
    </row>
    <row r="6632" spans="1:8" x14ac:dyDescent="0.25">
      <c r="A6632" t="s">
        <v>6638</v>
      </c>
      <c r="B6632">
        <v>25743</v>
      </c>
      <c r="C6632">
        <v>7898968066366</v>
      </c>
      <c r="D6632">
        <v>13.9</v>
      </c>
      <c r="E6632">
        <v>7.55</v>
      </c>
      <c r="F6632" s="3">
        <v>0.41439999999999999</v>
      </c>
      <c r="G6632">
        <v>6.8547000000000002</v>
      </c>
      <c r="H6632">
        <v>2.367</v>
      </c>
    </row>
    <row r="6633" spans="1:8" x14ac:dyDescent="0.25">
      <c r="A6633" t="s">
        <v>6639</v>
      </c>
      <c r="B6633">
        <v>66230</v>
      </c>
      <c r="C6633">
        <v>7702031244653</v>
      </c>
      <c r="D6633">
        <v>27.9</v>
      </c>
      <c r="E6633">
        <v>18.309999999999999</v>
      </c>
      <c r="F6633" s="3">
        <v>0.312</v>
      </c>
      <c r="G6633">
        <v>16.614100000000001</v>
      </c>
      <c r="H6633">
        <v>0.433</v>
      </c>
    </row>
    <row r="6634" spans="1:8" x14ac:dyDescent="0.25">
      <c r="A6634" t="s">
        <v>6640</v>
      </c>
      <c r="B6634">
        <v>66229</v>
      </c>
      <c r="C6634">
        <v>7702031244646</v>
      </c>
      <c r="D6634">
        <v>27.9</v>
      </c>
      <c r="E6634">
        <v>18.309999999999999</v>
      </c>
      <c r="F6634" s="3">
        <v>0.312</v>
      </c>
      <c r="G6634">
        <v>16.6142</v>
      </c>
      <c r="H6634">
        <v>0.63300000000000001</v>
      </c>
    </row>
    <row r="6635" spans="1:8" x14ac:dyDescent="0.25">
      <c r="A6635" t="s">
        <v>6641</v>
      </c>
      <c r="B6635">
        <v>60026</v>
      </c>
      <c r="C6635">
        <v>7791293040394</v>
      </c>
      <c r="D6635">
        <v>16.899999999999999</v>
      </c>
      <c r="E6635">
        <v>8.8000000000000007</v>
      </c>
      <c r="F6635" s="3">
        <v>0.47840000000000005</v>
      </c>
      <c r="G6635">
        <v>8.8143999999999991</v>
      </c>
      <c r="H6635">
        <v>0.36699999999999999</v>
      </c>
    </row>
    <row r="6636" spans="1:8" x14ac:dyDescent="0.25">
      <c r="A6636" t="s">
        <v>6642</v>
      </c>
      <c r="B6636">
        <v>60027</v>
      </c>
      <c r="C6636">
        <v>7791293040400</v>
      </c>
      <c r="D6636">
        <v>16.899999999999999</v>
      </c>
      <c r="E6636">
        <v>8.6199999999999992</v>
      </c>
      <c r="F6636" s="3">
        <v>0.48719999999999997</v>
      </c>
      <c r="G6636">
        <v>8.6663999999999994</v>
      </c>
      <c r="H6636">
        <v>0.96699999999999997</v>
      </c>
    </row>
    <row r="6637" spans="1:8" x14ac:dyDescent="0.25">
      <c r="A6637" t="s">
        <v>6643</v>
      </c>
      <c r="B6637">
        <v>14487</v>
      </c>
      <c r="C6637">
        <v>7896216100206</v>
      </c>
      <c r="D6637">
        <v>12.9</v>
      </c>
      <c r="E6637">
        <v>8.48</v>
      </c>
      <c r="F6637" s="3">
        <v>0.31929999999999997</v>
      </c>
      <c r="G6637">
        <v>7.8775000000000004</v>
      </c>
      <c r="H6637">
        <v>0.53300000000000003</v>
      </c>
    </row>
    <row r="6638" spans="1:8" x14ac:dyDescent="0.25">
      <c r="A6638" t="s">
        <v>6644</v>
      </c>
      <c r="B6638">
        <v>7827</v>
      </c>
      <c r="C6638">
        <v>7896216100213</v>
      </c>
      <c r="D6638">
        <v>12.9</v>
      </c>
      <c r="E6638">
        <v>8.49</v>
      </c>
      <c r="F6638" s="3">
        <v>0.31790000000000002</v>
      </c>
      <c r="G6638">
        <v>7.8959999999999999</v>
      </c>
      <c r="H6638">
        <v>0.46700000000000003</v>
      </c>
    </row>
    <row r="6639" spans="1:8" x14ac:dyDescent="0.25">
      <c r="A6639" t="s">
        <v>6645</v>
      </c>
      <c r="B6639">
        <v>66628</v>
      </c>
      <c r="C6639">
        <v>7896183315467</v>
      </c>
      <c r="D6639">
        <v>39.9</v>
      </c>
      <c r="E6639">
        <v>26.44</v>
      </c>
      <c r="F6639" s="3">
        <v>0.24539999999999998</v>
      </c>
      <c r="G6639">
        <v>19.234999999999999</v>
      </c>
      <c r="H6639">
        <v>0.73299999999999998</v>
      </c>
    </row>
    <row r="6640" spans="1:8" x14ac:dyDescent="0.25">
      <c r="A6640" t="s">
        <v>6646</v>
      </c>
      <c r="B6640">
        <v>12761</v>
      </c>
      <c r="C6640">
        <v>7896183301484</v>
      </c>
      <c r="D6640">
        <v>26.9</v>
      </c>
      <c r="E6640">
        <v>17.05</v>
      </c>
      <c r="F6640" s="3">
        <v>0.28039999999999998</v>
      </c>
      <c r="G6640">
        <v>12.026400000000001</v>
      </c>
      <c r="H6640">
        <v>2.0670000000000002</v>
      </c>
    </row>
    <row r="6641" spans="1:8" x14ac:dyDescent="0.25">
      <c r="A6641" t="s">
        <v>6647</v>
      </c>
      <c r="B6641">
        <v>3693</v>
      </c>
      <c r="C6641">
        <v>7896289900581</v>
      </c>
      <c r="D6641">
        <v>7.99</v>
      </c>
      <c r="E6641">
        <v>5.38</v>
      </c>
      <c r="F6641" s="3">
        <v>0.2379</v>
      </c>
      <c r="G6641">
        <v>3.9116</v>
      </c>
      <c r="H6641">
        <v>33.866999999999997</v>
      </c>
    </row>
    <row r="6642" spans="1:8" x14ac:dyDescent="0.25">
      <c r="A6642" t="s">
        <v>6648</v>
      </c>
      <c r="B6642">
        <v>64280</v>
      </c>
      <c r="C6642">
        <v>7898994081630</v>
      </c>
      <c r="D6642">
        <v>2.65</v>
      </c>
      <c r="E6642">
        <v>10.43</v>
      </c>
      <c r="F6642" s="3">
        <v>-2.1364000000000001</v>
      </c>
      <c r="G6642">
        <v>7.5892999999999997</v>
      </c>
      <c r="H6642">
        <v>24.332999999999998</v>
      </c>
    </row>
    <row r="6643" spans="1:8" x14ac:dyDescent="0.25">
      <c r="A6643" t="s">
        <v>6649</v>
      </c>
      <c r="B6643">
        <v>40622</v>
      </c>
      <c r="C6643">
        <v>7898994081623</v>
      </c>
      <c r="D6643">
        <v>7.99</v>
      </c>
      <c r="E6643">
        <v>5.0199999999999996</v>
      </c>
      <c r="F6643" s="3">
        <v>0.2702</v>
      </c>
      <c r="G6643">
        <v>3.6539000000000001</v>
      </c>
      <c r="H6643">
        <v>267.10000000000002</v>
      </c>
    </row>
    <row r="6644" spans="1:8" x14ac:dyDescent="0.25">
      <c r="A6644" t="s">
        <v>6650</v>
      </c>
      <c r="B6644">
        <v>51818</v>
      </c>
      <c r="C6644">
        <v>7898960982060</v>
      </c>
      <c r="D6644">
        <v>15.9</v>
      </c>
      <c r="E6644">
        <v>10.87</v>
      </c>
      <c r="F6644" s="3">
        <v>0.2303</v>
      </c>
      <c r="G6644">
        <v>7.9062000000000001</v>
      </c>
      <c r="H6644">
        <v>34.033000000000001</v>
      </c>
    </row>
    <row r="6645" spans="1:8" x14ac:dyDescent="0.25">
      <c r="A6645" t="s">
        <v>6651</v>
      </c>
      <c r="B6645">
        <v>3590</v>
      </c>
      <c r="C6645">
        <v>7891095300648</v>
      </c>
      <c r="D6645">
        <v>20.9</v>
      </c>
      <c r="E6645">
        <v>12.58</v>
      </c>
      <c r="F6645" s="3">
        <v>0.29170000000000001</v>
      </c>
      <c r="G6645">
        <v>9.1083999999999996</v>
      </c>
      <c r="H6645">
        <v>3.133</v>
      </c>
    </row>
    <row r="6646" spans="1:8" x14ac:dyDescent="0.25">
      <c r="A6646" t="s">
        <v>6652</v>
      </c>
      <c r="B6646">
        <v>4670</v>
      </c>
      <c r="C6646">
        <v>7891132011018</v>
      </c>
      <c r="D6646">
        <v>12.9</v>
      </c>
      <c r="E6646">
        <v>7.79</v>
      </c>
      <c r="F6646" s="3">
        <v>0.28839999999999999</v>
      </c>
      <c r="G6646">
        <v>5.6638999999999999</v>
      </c>
      <c r="H6646">
        <v>2.367</v>
      </c>
    </row>
    <row r="6647" spans="1:8" x14ac:dyDescent="0.25">
      <c r="A6647" t="s">
        <v>6653</v>
      </c>
      <c r="B6647">
        <v>4671</v>
      </c>
      <c r="C6647">
        <v>7891132012015</v>
      </c>
      <c r="D6647">
        <v>9.9</v>
      </c>
      <c r="E6647">
        <v>5.09</v>
      </c>
      <c r="F6647" s="3">
        <v>0.35310000000000002</v>
      </c>
      <c r="G6647">
        <v>3.7063999999999999</v>
      </c>
      <c r="H6647">
        <v>3.5329999999999999</v>
      </c>
    </row>
    <row r="6648" spans="1:8" x14ac:dyDescent="0.25">
      <c r="A6648" t="s">
        <v>6654</v>
      </c>
      <c r="B6648">
        <v>4667</v>
      </c>
      <c r="C6648">
        <v>7891132013012</v>
      </c>
      <c r="D6648">
        <v>16.899999999999999</v>
      </c>
      <c r="E6648">
        <v>9.59</v>
      </c>
      <c r="F6648" s="3">
        <v>0.31459999999999999</v>
      </c>
      <c r="G6648">
        <v>6.9779</v>
      </c>
      <c r="H6648">
        <v>1.4670000000000001</v>
      </c>
    </row>
    <row r="6649" spans="1:8" x14ac:dyDescent="0.25">
      <c r="A6649" t="s">
        <v>6655</v>
      </c>
      <c r="B6649">
        <v>44156</v>
      </c>
      <c r="C6649">
        <v>7891132014019</v>
      </c>
      <c r="D6649">
        <v>32.9</v>
      </c>
      <c r="E6649">
        <v>20.9</v>
      </c>
      <c r="F6649" s="3">
        <v>0.26530000000000004</v>
      </c>
      <c r="G6649">
        <v>15.2067</v>
      </c>
      <c r="H6649">
        <v>0.2</v>
      </c>
    </row>
    <row r="6650" spans="1:8" x14ac:dyDescent="0.25">
      <c r="A6650" t="s">
        <v>6656</v>
      </c>
      <c r="B6650">
        <v>69238</v>
      </c>
      <c r="C6650">
        <v>7891132165421</v>
      </c>
      <c r="D6650">
        <v>14.9</v>
      </c>
      <c r="E6650">
        <v>9.4</v>
      </c>
      <c r="F6650" s="3">
        <v>0.33529999999999999</v>
      </c>
      <c r="G6650">
        <v>8.5260999999999996</v>
      </c>
      <c r="H6650">
        <v>0.1</v>
      </c>
    </row>
    <row r="6651" spans="1:8" x14ac:dyDescent="0.25">
      <c r="A6651" t="s">
        <v>6657</v>
      </c>
      <c r="B6651">
        <v>68189</v>
      </c>
      <c r="C6651">
        <v>7891132165407</v>
      </c>
      <c r="D6651">
        <v>13.99</v>
      </c>
      <c r="E6651">
        <v>9.4</v>
      </c>
      <c r="F6651" s="3">
        <v>0.29809999999999998</v>
      </c>
      <c r="G6651">
        <v>8.5260999999999996</v>
      </c>
      <c r="H6651">
        <v>0.5</v>
      </c>
    </row>
    <row r="6652" spans="1:8" x14ac:dyDescent="0.25">
      <c r="A6652" t="s">
        <v>6658</v>
      </c>
      <c r="B6652">
        <v>26277</v>
      </c>
      <c r="C6652">
        <v>7898629611478</v>
      </c>
      <c r="D6652">
        <v>5.99</v>
      </c>
      <c r="E6652">
        <v>2.7</v>
      </c>
      <c r="F6652" s="3">
        <v>0.49840000000000001</v>
      </c>
      <c r="G6652">
        <v>2.4502000000000002</v>
      </c>
      <c r="H6652">
        <v>24.867000000000001</v>
      </c>
    </row>
    <row r="6653" spans="1:8" x14ac:dyDescent="0.25">
      <c r="A6653" t="s">
        <v>6659</v>
      </c>
      <c r="B6653">
        <v>4829</v>
      </c>
      <c r="C6653">
        <v>7891700012102</v>
      </c>
      <c r="D6653">
        <v>8.99</v>
      </c>
      <c r="E6653">
        <v>5.7</v>
      </c>
      <c r="F6653" s="3">
        <v>0.33250000000000002</v>
      </c>
      <c r="G6653">
        <v>5.1692</v>
      </c>
      <c r="H6653">
        <v>0.73299999999999998</v>
      </c>
    </row>
    <row r="6654" spans="1:8" x14ac:dyDescent="0.25">
      <c r="A6654" t="s">
        <v>6660</v>
      </c>
      <c r="B6654">
        <v>4830</v>
      </c>
      <c r="C6654">
        <v>7891700011006</v>
      </c>
      <c r="D6654">
        <v>8.99</v>
      </c>
      <c r="E6654">
        <v>5.7</v>
      </c>
      <c r="F6654" s="3">
        <v>0.33229999999999998</v>
      </c>
      <c r="G6654">
        <v>5.1707000000000001</v>
      </c>
      <c r="H6654">
        <v>1.633</v>
      </c>
    </row>
    <row r="6655" spans="1:8" x14ac:dyDescent="0.25">
      <c r="A6655" t="s">
        <v>6661</v>
      </c>
      <c r="B6655">
        <v>9366</v>
      </c>
      <c r="C6655">
        <v>7891700011204</v>
      </c>
      <c r="D6655">
        <v>8.99</v>
      </c>
      <c r="E6655">
        <v>5.7</v>
      </c>
      <c r="F6655" s="3">
        <v>0.33250000000000002</v>
      </c>
      <c r="G6655">
        <v>5.1692999999999998</v>
      </c>
      <c r="H6655">
        <v>0.46700000000000003</v>
      </c>
    </row>
    <row r="6656" spans="1:8" x14ac:dyDescent="0.25">
      <c r="A6656" t="s">
        <v>6662</v>
      </c>
      <c r="B6656">
        <v>26320</v>
      </c>
      <c r="C6656">
        <v>7898629611416</v>
      </c>
      <c r="D6656">
        <v>4.99</v>
      </c>
      <c r="E6656">
        <v>1.92</v>
      </c>
      <c r="F6656" s="3">
        <v>0.55830000000000002</v>
      </c>
      <c r="G6656">
        <v>1.7423999999999999</v>
      </c>
      <c r="H6656">
        <v>6.7329999999999997</v>
      </c>
    </row>
    <row r="6657" spans="1:8" x14ac:dyDescent="0.25">
      <c r="A6657" t="s">
        <v>6663</v>
      </c>
      <c r="B6657">
        <v>59348</v>
      </c>
      <c r="C6657">
        <v>7898946900071</v>
      </c>
      <c r="D6657">
        <v>24.9</v>
      </c>
      <c r="E6657">
        <v>16.079999999999998</v>
      </c>
      <c r="F6657" s="3">
        <v>0.32130000000000003</v>
      </c>
      <c r="G6657">
        <v>14.595599999999999</v>
      </c>
      <c r="H6657">
        <v>3.133</v>
      </c>
    </row>
    <row r="6658" spans="1:8" x14ac:dyDescent="0.25">
      <c r="A6658" t="s">
        <v>6664</v>
      </c>
      <c r="B6658">
        <v>59347</v>
      </c>
      <c r="C6658">
        <v>7898946900750</v>
      </c>
      <c r="D6658">
        <v>23.9</v>
      </c>
      <c r="E6658">
        <v>13.28</v>
      </c>
      <c r="F6658" s="3">
        <v>0.3543</v>
      </c>
      <c r="G6658">
        <v>11.1305</v>
      </c>
      <c r="H6658">
        <v>1.367</v>
      </c>
    </row>
    <row r="6659" spans="1:8" x14ac:dyDescent="0.25">
      <c r="A6659" t="s">
        <v>6665</v>
      </c>
      <c r="B6659">
        <v>59346</v>
      </c>
      <c r="C6659">
        <v>7898946900019</v>
      </c>
      <c r="D6659">
        <v>24.9</v>
      </c>
      <c r="E6659">
        <v>13.79</v>
      </c>
      <c r="F6659" s="3">
        <v>0.3629</v>
      </c>
      <c r="G6659">
        <v>11.381399999999999</v>
      </c>
      <c r="H6659">
        <v>1.2</v>
      </c>
    </row>
    <row r="6660" spans="1:8" x14ac:dyDescent="0.25">
      <c r="A6660" t="s">
        <v>6666</v>
      </c>
      <c r="B6660">
        <v>59351</v>
      </c>
      <c r="C6660">
        <v>7898946900767</v>
      </c>
      <c r="D6660">
        <v>23.9</v>
      </c>
      <c r="E6660">
        <v>13.68</v>
      </c>
      <c r="F6660" s="3">
        <v>0.35109999999999997</v>
      </c>
      <c r="G6660">
        <v>11.2079</v>
      </c>
      <c r="H6660">
        <v>1.5669999999999999</v>
      </c>
    </row>
    <row r="6661" spans="1:8" x14ac:dyDescent="0.25">
      <c r="A6661" t="s">
        <v>6667</v>
      </c>
      <c r="B6661">
        <v>59976</v>
      </c>
      <c r="C6661">
        <v>7898946481129</v>
      </c>
      <c r="D6661">
        <v>23.9</v>
      </c>
      <c r="E6661">
        <v>13.38</v>
      </c>
      <c r="F6661" s="3">
        <v>0.36159999999999998</v>
      </c>
      <c r="G6661">
        <v>10.956799999999999</v>
      </c>
      <c r="H6661">
        <v>1.5669999999999999</v>
      </c>
    </row>
    <row r="6662" spans="1:8" x14ac:dyDescent="0.25">
      <c r="A6662" t="s">
        <v>6668</v>
      </c>
      <c r="B6662">
        <v>66153</v>
      </c>
      <c r="C6662">
        <v>7898635644446</v>
      </c>
      <c r="D6662">
        <v>16.899999999999999</v>
      </c>
      <c r="E6662">
        <v>12.73</v>
      </c>
      <c r="F6662" s="3">
        <v>0.2339</v>
      </c>
      <c r="G6662">
        <v>11.3834</v>
      </c>
      <c r="H6662">
        <v>2.8</v>
      </c>
    </row>
    <row r="6663" spans="1:8" x14ac:dyDescent="0.25">
      <c r="A6663" t="s">
        <v>6669</v>
      </c>
      <c r="B6663">
        <v>31798</v>
      </c>
      <c r="C6663">
        <v>7896007862900</v>
      </c>
      <c r="D6663">
        <v>14.9</v>
      </c>
      <c r="E6663">
        <v>9.9499999999999993</v>
      </c>
      <c r="F6663" s="3">
        <v>0.29969999999999997</v>
      </c>
      <c r="G6663">
        <v>9.0568000000000008</v>
      </c>
      <c r="H6663">
        <v>1.7</v>
      </c>
    </row>
    <row r="6664" spans="1:8" x14ac:dyDescent="0.25">
      <c r="A6664" t="s">
        <v>6670</v>
      </c>
      <c r="B6664">
        <v>26263</v>
      </c>
      <c r="C6664">
        <v>7898629611508</v>
      </c>
      <c r="D6664">
        <v>5.99</v>
      </c>
      <c r="E6664">
        <v>2.7</v>
      </c>
      <c r="F6664" s="3">
        <v>0.49840000000000001</v>
      </c>
      <c r="G6664">
        <v>2.4502000000000002</v>
      </c>
      <c r="H6664">
        <v>15.933</v>
      </c>
    </row>
    <row r="6665" spans="1:8" x14ac:dyDescent="0.25">
      <c r="A6665" t="s">
        <v>6671</v>
      </c>
      <c r="B6665">
        <v>9651</v>
      </c>
      <c r="C6665">
        <v>8413700225895</v>
      </c>
      <c r="D6665">
        <v>29.9</v>
      </c>
      <c r="E6665">
        <v>20.23</v>
      </c>
      <c r="F6665" s="3">
        <v>0.29339999999999999</v>
      </c>
      <c r="G6665">
        <v>18.362200000000001</v>
      </c>
      <c r="H6665">
        <v>0</v>
      </c>
    </row>
    <row r="6666" spans="1:8" x14ac:dyDescent="0.25">
      <c r="A6666" t="s">
        <v>6672</v>
      </c>
      <c r="B6666">
        <v>4836</v>
      </c>
      <c r="C6666">
        <v>7891132040018</v>
      </c>
      <c r="D6666">
        <v>15.9</v>
      </c>
      <c r="E6666">
        <v>10.76</v>
      </c>
      <c r="F6666" s="3">
        <v>0.29359999999999997</v>
      </c>
      <c r="G6666">
        <v>9.7607999999999997</v>
      </c>
      <c r="H6666">
        <v>3.1</v>
      </c>
    </row>
    <row r="6667" spans="1:8" x14ac:dyDescent="0.25">
      <c r="A6667" t="s">
        <v>6673</v>
      </c>
      <c r="B6667">
        <v>31802</v>
      </c>
      <c r="C6667">
        <v>7896007826445</v>
      </c>
      <c r="D6667">
        <v>8.99</v>
      </c>
      <c r="E6667">
        <v>6.15</v>
      </c>
      <c r="F6667" s="3">
        <v>0.28699999999999998</v>
      </c>
      <c r="G6667">
        <v>5.5784000000000002</v>
      </c>
      <c r="H6667">
        <v>1.2330000000000001</v>
      </c>
    </row>
    <row r="6668" spans="1:8" x14ac:dyDescent="0.25">
      <c r="A6668" t="s">
        <v>6674</v>
      </c>
      <c r="B6668">
        <v>4845</v>
      </c>
      <c r="C6668">
        <v>7891095159505</v>
      </c>
      <c r="D6668">
        <v>8.99</v>
      </c>
      <c r="E6668">
        <v>5.15</v>
      </c>
      <c r="F6668" s="3">
        <v>0.38750000000000001</v>
      </c>
      <c r="G6668">
        <v>4.6746999999999996</v>
      </c>
      <c r="H6668">
        <v>5.1669999999999998</v>
      </c>
    </row>
    <row r="6669" spans="1:8" x14ac:dyDescent="0.25">
      <c r="A6669" t="s">
        <v>6675</v>
      </c>
      <c r="B6669">
        <v>64079</v>
      </c>
      <c r="C6669">
        <v>7891095911066</v>
      </c>
      <c r="D6669">
        <v>18.899999999999999</v>
      </c>
      <c r="E6669">
        <v>12.29</v>
      </c>
      <c r="F6669" s="3">
        <v>0.32020000000000004</v>
      </c>
      <c r="G6669">
        <v>11.099399999999999</v>
      </c>
      <c r="H6669">
        <v>0.33300000000000002</v>
      </c>
    </row>
    <row r="6670" spans="1:8" x14ac:dyDescent="0.25">
      <c r="A6670" t="s">
        <v>6676</v>
      </c>
      <c r="B6670">
        <v>64080</v>
      </c>
      <c r="C6670">
        <v>7891095911042</v>
      </c>
      <c r="D6670">
        <v>18.899999999999999</v>
      </c>
      <c r="E6670">
        <v>12.06</v>
      </c>
      <c r="F6670" s="3">
        <v>0.32840000000000003</v>
      </c>
      <c r="G6670">
        <v>10.9458</v>
      </c>
      <c r="H6670">
        <v>0.26700000000000002</v>
      </c>
    </row>
    <row r="6671" spans="1:8" x14ac:dyDescent="0.25">
      <c r="A6671" t="s">
        <v>6677</v>
      </c>
      <c r="B6671">
        <v>57363</v>
      </c>
      <c r="C6671">
        <v>7891150088740</v>
      </c>
      <c r="D6671">
        <v>6.49</v>
      </c>
      <c r="E6671">
        <v>5.0199999999999996</v>
      </c>
      <c r="F6671" s="3">
        <v>0.20530000000000001</v>
      </c>
      <c r="G6671">
        <v>4.5571000000000002</v>
      </c>
      <c r="H6671">
        <v>2.4329999999999998</v>
      </c>
    </row>
    <row r="6672" spans="1:8" x14ac:dyDescent="0.25">
      <c r="A6672" t="s">
        <v>6678</v>
      </c>
      <c r="B6672">
        <v>57362</v>
      </c>
      <c r="C6672">
        <v>7891150088733</v>
      </c>
      <c r="D6672">
        <v>6.49</v>
      </c>
      <c r="E6672">
        <v>4.97</v>
      </c>
      <c r="F6672" s="3">
        <v>0.2109</v>
      </c>
      <c r="G6672">
        <v>4.5210999999999997</v>
      </c>
      <c r="H6672">
        <v>2.4670000000000001</v>
      </c>
    </row>
    <row r="6673" spans="1:8" x14ac:dyDescent="0.25">
      <c r="A6673" t="s">
        <v>6679</v>
      </c>
      <c r="B6673">
        <v>57364</v>
      </c>
      <c r="C6673">
        <v>7891150088757</v>
      </c>
      <c r="D6673">
        <v>6.49</v>
      </c>
      <c r="E6673">
        <v>5.0199999999999996</v>
      </c>
      <c r="F6673" s="3">
        <v>0.20519999999999999</v>
      </c>
      <c r="G6673">
        <v>4.5582000000000003</v>
      </c>
      <c r="H6673">
        <v>2.2330000000000001</v>
      </c>
    </row>
    <row r="6674" spans="1:8" x14ac:dyDescent="0.25">
      <c r="A6674" t="s">
        <v>6680</v>
      </c>
      <c r="B6674">
        <v>14115</v>
      </c>
      <c r="C6674">
        <v>7891150083721</v>
      </c>
      <c r="D6674">
        <v>6.49</v>
      </c>
      <c r="E6674">
        <v>5.44</v>
      </c>
      <c r="F6674" s="3">
        <v>0.1467</v>
      </c>
      <c r="G6674">
        <v>4.9378000000000002</v>
      </c>
      <c r="H6674">
        <v>3.8</v>
      </c>
    </row>
    <row r="6675" spans="1:8" x14ac:dyDescent="0.25">
      <c r="A6675" t="s">
        <v>6681</v>
      </c>
      <c r="B6675">
        <v>4869</v>
      </c>
      <c r="C6675">
        <v>7891150083691</v>
      </c>
      <c r="D6675">
        <v>6.49</v>
      </c>
      <c r="E6675">
        <v>5.44</v>
      </c>
      <c r="F6675" s="3">
        <v>0.14630000000000001</v>
      </c>
      <c r="G6675">
        <v>4.9398999999999997</v>
      </c>
      <c r="H6675">
        <v>3.0329999999999999</v>
      </c>
    </row>
    <row r="6676" spans="1:8" x14ac:dyDescent="0.25">
      <c r="A6676" t="s">
        <v>6682</v>
      </c>
      <c r="B6676">
        <v>62032</v>
      </c>
      <c r="C6676">
        <v>7891150083714</v>
      </c>
      <c r="D6676">
        <v>6.99</v>
      </c>
      <c r="E6676">
        <v>5.44</v>
      </c>
      <c r="F6676" s="3">
        <v>0.20079999999999998</v>
      </c>
      <c r="G6676">
        <v>4.9396000000000004</v>
      </c>
      <c r="H6676">
        <v>2.1</v>
      </c>
    </row>
    <row r="6677" spans="1:8" x14ac:dyDescent="0.25">
      <c r="A6677" t="s">
        <v>6683</v>
      </c>
      <c r="B6677">
        <v>4865</v>
      </c>
      <c r="C6677">
        <v>7891000502303</v>
      </c>
      <c r="D6677">
        <v>9.9</v>
      </c>
      <c r="E6677">
        <v>6.59</v>
      </c>
      <c r="F6677" s="3">
        <v>0.2429</v>
      </c>
      <c r="G6677">
        <v>4.7973999999999997</v>
      </c>
      <c r="H6677">
        <v>4.2329999999999997</v>
      </c>
    </row>
    <row r="6678" spans="1:8" x14ac:dyDescent="0.25">
      <c r="A6678" t="s">
        <v>6684</v>
      </c>
      <c r="B6678">
        <v>4853</v>
      </c>
      <c r="C6678">
        <v>7891000502105</v>
      </c>
      <c r="D6678">
        <v>8.9</v>
      </c>
      <c r="E6678">
        <v>6.63</v>
      </c>
      <c r="F6678" s="3">
        <v>0.22289999999999999</v>
      </c>
      <c r="G6678">
        <v>6.0930999999999997</v>
      </c>
      <c r="H6678">
        <v>5.0999999999999996</v>
      </c>
    </row>
    <row r="6679" spans="1:8" x14ac:dyDescent="0.25">
      <c r="A6679" t="s">
        <v>6685</v>
      </c>
      <c r="B6679">
        <v>4737</v>
      </c>
      <c r="C6679">
        <v>7891000502204</v>
      </c>
      <c r="D6679">
        <v>8.9</v>
      </c>
      <c r="E6679">
        <v>6.75</v>
      </c>
      <c r="F6679" s="3">
        <v>0.21870000000000001</v>
      </c>
      <c r="G6679">
        <v>6.13</v>
      </c>
      <c r="H6679">
        <v>1.2</v>
      </c>
    </row>
    <row r="6680" spans="1:8" x14ac:dyDescent="0.25">
      <c r="A6680" t="s">
        <v>6686</v>
      </c>
      <c r="B6680">
        <v>68228</v>
      </c>
      <c r="C6680">
        <v>7891000396377</v>
      </c>
      <c r="D6680">
        <v>5.99</v>
      </c>
      <c r="E6680">
        <v>2.99</v>
      </c>
      <c r="F6680" s="3">
        <v>0.36479999999999996</v>
      </c>
      <c r="G6680">
        <v>2.1726999999999999</v>
      </c>
      <c r="H6680">
        <v>0.13300000000000001</v>
      </c>
    </row>
    <row r="6681" spans="1:8" x14ac:dyDescent="0.25">
      <c r="A6681" t="s">
        <v>6687</v>
      </c>
      <c r="B6681">
        <v>19742</v>
      </c>
      <c r="C6681">
        <v>7891000037270</v>
      </c>
      <c r="D6681">
        <v>4.49</v>
      </c>
      <c r="E6681">
        <v>2.97</v>
      </c>
      <c r="F6681" s="3">
        <v>0.30709999999999998</v>
      </c>
      <c r="G6681">
        <v>2.6960000000000002</v>
      </c>
      <c r="H6681">
        <v>0.53300000000000003</v>
      </c>
    </row>
    <row r="6682" spans="1:8" x14ac:dyDescent="0.25">
      <c r="A6682" t="s">
        <v>6688</v>
      </c>
      <c r="B6682">
        <v>19740</v>
      </c>
      <c r="C6682">
        <v>7891000037300</v>
      </c>
      <c r="D6682">
        <v>4.49</v>
      </c>
      <c r="E6682">
        <v>2.97</v>
      </c>
      <c r="F6682" s="3">
        <v>0.3075</v>
      </c>
      <c r="G6682">
        <v>2.6941999999999999</v>
      </c>
      <c r="H6682">
        <v>0.5</v>
      </c>
    </row>
    <row r="6683" spans="1:8" x14ac:dyDescent="0.25">
      <c r="A6683" t="s">
        <v>6689</v>
      </c>
      <c r="B6683">
        <v>19741</v>
      </c>
      <c r="C6683">
        <v>7891000066898</v>
      </c>
      <c r="D6683">
        <v>3.9</v>
      </c>
      <c r="E6683">
        <v>2.95</v>
      </c>
      <c r="F6683" s="3">
        <v>0.22020000000000001</v>
      </c>
      <c r="G6683">
        <v>2.6804000000000001</v>
      </c>
      <c r="H6683">
        <v>0.1</v>
      </c>
    </row>
    <row r="6684" spans="1:8" x14ac:dyDescent="0.25">
      <c r="A6684" t="s">
        <v>6690</v>
      </c>
      <c r="B6684">
        <v>19743</v>
      </c>
      <c r="C6684">
        <v>7891000037256</v>
      </c>
      <c r="D6684">
        <v>4.16</v>
      </c>
      <c r="E6684">
        <v>2.92</v>
      </c>
      <c r="F6684" s="3">
        <v>0.2787</v>
      </c>
      <c r="G6684">
        <v>2.6173999999999999</v>
      </c>
      <c r="H6684">
        <v>4.4000000000000004</v>
      </c>
    </row>
    <row r="6685" spans="1:8" x14ac:dyDescent="0.25">
      <c r="A6685" t="s">
        <v>6691</v>
      </c>
      <c r="B6685">
        <v>4738</v>
      </c>
      <c r="C6685">
        <v>7891000006689</v>
      </c>
      <c r="D6685">
        <v>4.49</v>
      </c>
      <c r="E6685">
        <v>2.96</v>
      </c>
      <c r="F6685" s="3">
        <v>0.31010000000000004</v>
      </c>
      <c r="G6685">
        <v>2.6821999999999999</v>
      </c>
      <c r="H6685">
        <v>16.233000000000001</v>
      </c>
    </row>
    <row r="6686" spans="1:8" x14ac:dyDescent="0.25">
      <c r="A6686" t="s">
        <v>6692</v>
      </c>
      <c r="B6686">
        <v>62091</v>
      </c>
      <c r="C6686">
        <v>7891000339954</v>
      </c>
      <c r="D6686">
        <v>4.49</v>
      </c>
      <c r="E6686">
        <v>2.96</v>
      </c>
      <c r="F6686" s="3">
        <v>0.30879999999999996</v>
      </c>
      <c r="G6686">
        <v>2.6884000000000001</v>
      </c>
      <c r="H6686">
        <v>7.9669999999999996</v>
      </c>
    </row>
    <row r="6687" spans="1:8" x14ac:dyDescent="0.25">
      <c r="A6687" t="s">
        <v>6693</v>
      </c>
      <c r="B6687">
        <v>62092</v>
      </c>
      <c r="C6687">
        <v>7891000339916</v>
      </c>
      <c r="D6687">
        <v>4.49</v>
      </c>
      <c r="E6687">
        <v>2.97</v>
      </c>
      <c r="F6687" s="3">
        <v>0.308</v>
      </c>
      <c r="G6687">
        <v>2.6919</v>
      </c>
      <c r="H6687">
        <v>6.8330000000000002</v>
      </c>
    </row>
    <row r="6688" spans="1:8" x14ac:dyDescent="0.25">
      <c r="A6688" t="s">
        <v>6694</v>
      </c>
      <c r="B6688">
        <v>62093</v>
      </c>
      <c r="C6688">
        <v>7891000340073</v>
      </c>
      <c r="D6688">
        <v>4.49</v>
      </c>
      <c r="E6688">
        <v>2.96</v>
      </c>
      <c r="F6688" s="3">
        <v>0.30890000000000001</v>
      </c>
      <c r="G6688">
        <v>2.6878000000000002</v>
      </c>
      <c r="H6688">
        <v>2.9670000000000001</v>
      </c>
    </row>
    <row r="6689" spans="1:8" x14ac:dyDescent="0.25">
      <c r="A6689" t="s">
        <v>6695</v>
      </c>
      <c r="B6689">
        <v>44186</v>
      </c>
      <c r="C6689">
        <v>7891132008995</v>
      </c>
      <c r="D6689">
        <v>5.99</v>
      </c>
      <c r="E6689">
        <v>3.96</v>
      </c>
      <c r="F6689" s="3">
        <v>0.24679999999999999</v>
      </c>
      <c r="G6689">
        <v>2.8795999999999999</v>
      </c>
      <c r="H6689">
        <v>0.46700000000000003</v>
      </c>
    </row>
    <row r="6690" spans="1:8" x14ac:dyDescent="0.25">
      <c r="A6690" t="s">
        <v>6696</v>
      </c>
      <c r="B6690">
        <v>67139</v>
      </c>
      <c r="C6690">
        <v>7898629611904</v>
      </c>
      <c r="D6690">
        <v>5.99</v>
      </c>
      <c r="E6690">
        <v>2.7</v>
      </c>
      <c r="F6690" s="3">
        <v>0.49840000000000001</v>
      </c>
      <c r="G6690">
        <v>2.4502999999999999</v>
      </c>
      <c r="H6690">
        <v>10.433</v>
      </c>
    </row>
    <row r="6691" spans="1:8" x14ac:dyDescent="0.25">
      <c r="A6691" t="s">
        <v>6697</v>
      </c>
      <c r="B6691">
        <v>26278</v>
      </c>
      <c r="C6691">
        <v>7898629611461</v>
      </c>
      <c r="D6691">
        <v>6.99</v>
      </c>
      <c r="E6691">
        <v>2.5</v>
      </c>
      <c r="F6691" s="3">
        <v>0.58289999999999997</v>
      </c>
      <c r="G6691">
        <v>2.2688000000000001</v>
      </c>
      <c r="H6691">
        <v>3.133</v>
      </c>
    </row>
    <row r="6692" spans="1:8" x14ac:dyDescent="0.25">
      <c r="A6692" t="s">
        <v>6698</v>
      </c>
      <c r="B6692">
        <v>26273</v>
      </c>
      <c r="C6692">
        <v>7898629611485</v>
      </c>
      <c r="D6692">
        <v>6.99</v>
      </c>
      <c r="E6692">
        <v>2.7</v>
      </c>
      <c r="F6692" s="3">
        <v>0.55700000000000005</v>
      </c>
      <c r="G6692">
        <v>2.4502000000000002</v>
      </c>
      <c r="H6692">
        <v>6.1669999999999998</v>
      </c>
    </row>
    <row r="6693" spans="1:8" x14ac:dyDescent="0.25">
      <c r="A6693" t="s">
        <v>6699</v>
      </c>
      <c r="B6693">
        <v>26284</v>
      </c>
      <c r="C6693">
        <v>7898629611454</v>
      </c>
      <c r="D6693">
        <v>6.99</v>
      </c>
      <c r="E6693">
        <v>2.5</v>
      </c>
      <c r="F6693" s="3">
        <v>0.58289999999999997</v>
      </c>
      <c r="G6693">
        <v>2.2688000000000001</v>
      </c>
      <c r="H6693">
        <v>6.133</v>
      </c>
    </row>
    <row r="6694" spans="1:8" x14ac:dyDescent="0.25">
      <c r="A6694" t="s">
        <v>6700</v>
      </c>
      <c r="B6694">
        <v>4669</v>
      </c>
      <c r="C6694">
        <v>7891132000029</v>
      </c>
      <c r="D6694">
        <v>14.9</v>
      </c>
      <c r="E6694">
        <v>9.56</v>
      </c>
      <c r="F6694" s="3">
        <v>0.32549999999999996</v>
      </c>
      <c r="G6694">
        <v>8.6724999999999994</v>
      </c>
      <c r="H6694">
        <v>1.167</v>
      </c>
    </row>
    <row r="6695" spans="1:8" x14ac:dyDescent="0.25">
      <c r="A6695" t="s">
        <v>6701</v>
      </c>
      <c r="B6695">
        <v>4745</v>
      </c>
      <c r="C6695">
        <v>7891132000012</v>
      </c>
      <c r="D6695">
        <v>14.9</v>
      </c>
      <c r="E6695">
        <v>9.56</v>
      </c>
      <c r="F6695" s="3">
        <v>0.32549999999999996</v>
      </c>
      <c r="G6695">
        <v>8.6721000000000004</v>
      </c>
      <c r="H6695">
        <v>6.5330000000000004</v>
      </c>
    </row>
    <row r="6696" spans="1:8" x14ac:dyDescent="0.25">
      <c r="A6696" t="s">
        <v>6702</v>
      </c>
      <c r="B6696">
        <v>4672</v>
      </c>
      <c r="C6696">
        <v>7891132019021</v>
      </c>
      <c r="D6696">
        <v>6.99</v>
      </c>
      <c r="E6696">
        <v>4.33</v>
      </c>
      <c r="F6696" s="3">
        <v>0.34600000000000003</v>
      </c>
      <c r="G6696">
        <v>3.9249000000000001</v>
      </c>
      <c r="H6696">
        <v>2.7330000000000001</v>
      </c>
    </row>
    <row r="6697" spans="1:8" x14ac:dyDescent="0.25">
      <c r="A6697" t="s">
        <v>6703</v>
      </c>
      <c r="B6697">
        <v>4749</v>
      </c>
      <c r="C6697">
        <v>7891132019045</v>
      </c>
      <c r="D6697">
        <v>6.99</v>
      </c>
      <c r="E6697">
        <v>4.32</v>
      </c>
      <c r="F6697" s="3">
        <v>0.34689999999999999</v>
      </c>
      <c r="G6697">
        <v>3.9184999999999999</v>
      </c>
      <c r="H6697">
        <v>2.633</v>
      </c>
    </row>
    <row r="6698" spans="1:8" x14ac:dyDescent="0.25">
      <c r="A6698" t="s">
        <v>6704</v>
      </c>
      <c r="B6698">
        <v>4673</v>
      </c>
      <c r="C6698">
        <v>7891132019038</v>
      </c>
      <c r="D6698">
        <v>6.99</v>
      </c>
      <c r="E6698">
        <v>4.32</v>
      </c>
      <c r="F6698" s="3">
        <v>0.34600000000000003</v>
      </c>
      <c r="G6698">
        <v>3.9249000000000001</v>
      </c>
      <c r="H6698">
        <v>7.1669999999999998</v>
      </c>
    </row>
    <row r="6699" spans="1:8" x14ac:dyDescent="0.25">
      <c r="A6699" t="s">
        <v>6705</v>
      </c>
      <c r="B6699">
        <v>66625</v>
      </c>
      <c r="C6699">
        <v>7891132165209</v>
      </c>
      <c r="D6699">
        <v>4.49</v>
      </c>
      <c r="E6699">
        <v>3.4</v>
      </c>
      <c r="F6699" s="3">
        <v>0.21989999999999998</v>
      </c>
      <c r="G6699">
        <v>3.0874000000000001</v>
      </c>
      <c r="H6699">
        <v>21.8</v>
      </c>
    </row>
    <row r="6700" spans="1:8" x14ac:dyDescent="0.25">
      <c r="A6700" t="s">
        <v>6706</v>
      </c>
      <c r="B6700">
        <v>4775</v>
      </c>
      <c r="C6700">
        <v>7891132019281</v>
      </c>
      <c r="D6700">
        <v>5.99</v>
      </c>
      <c r="E6700">
        <v>4.4400000000000004</v>
      </c>
      <c r="F6700" s="3">
        <v>0.2351</v>
      </c>
      <c r="G6700">
        <v>4.0275999999999996</v>
      </c>
      <c r="H6700">
        <v>5.367</v>
      </c>
    </row>
    <row r="6701" spans="1:8" x14ac:dyDescent="0.25">
      <c r="A6701" t="s">
        <v>6707</v>
      </c>
      <c r="B6701">
        <v>4774</v>
      </c>
      <c r="C6701">
        <v>7891132019274</v>
      </c>
      <c r="D6701">
        <v>5.99</v>
      </c>
      <c r="E6701">
        <v>4.41</v>
      </c>
      <c r="F6701" s="3">
        <v>0.24059999999999998</v>
      </c>
      <c r="G6701">
        <v>3.9944999999999999</v>
      </c>
      <c r="H6701">
        <v>11.467000000000001</v>
      </c>
    </row>
    <row r="6702" spans="1:8" x14ac:dyDescent="0.25">
      <c r="A6702" t="s">
        <v>6708</v>
      </c>
      <c r="B6702">
        <v>4751</v>
      </c>
      <c r="C6702">
        <v>7891132019403</v>
      </c>
      <c r="D6702">
        <v>5.99</v>
      </c>
      <c r="E6702">
        <v>4.4400000000000004</v>
      </c>
      <c r="F6702" s="3">
        <v>0.2351</v>
      </c>
      <c r="G6702">
        <v>4.0277000000000003</v>
      </c>
      <c r="H6702">
        <v>8.5329999999999995</v>
      </c>
    </row>
    <row r="6703" spans="1:8" x14ac:dyDescent="0.25">
      <c r="A6703" t="s">
        <v>6709</v>
      </c>
      <c r="B6703">
        <v>4765</v>
      </c>
      <c r="C6703">
        <v>7891132019724</v>
      </c>
      <c r="D6703">
        <v>5.99</v>
      </c>
      <c r="E6703">
        <v>4.43</v>
      </c>
      <c r="F6703" s="3">
        <v>0.23649999999999999</v>
      </c>
      <c r="G6703">
        <v>4.0190999999999999</v>
      </c>
      <c r="H6703">
        <v>8.9670000000000005</v>
      </c>
    </row>
    <row r="6704" spans="1:8" x14ac:dyDescent="0.25">
      <c r="A6704" t="s">
        <v>6710</v>
      </c>
      <c r="B6704">
        <v>4763</v>
      </c>
      <c r="C6704">
        <v>7891132019717</v>
      </c>
      <c r="D6704">
        <v>5.99</v>
      </c>
      <c r="E6704">
        <v>4.42</v>
      </c>
      <c r="F6704" s="3">
        <v>0.23699999999999999</v>
      </c>
      <c r="G6704">
        <v>4.0163000000000002</v>
      </c>
      <c r="H6704">
        <v>6.5330000000000004</v>
      </c>
    </row>
    <row r="6705" spans="1:8" x14ac:dyDescent="0.25">
      <c r="A6705" t="s">
        <v>6711</v>
      </c>
      <c r="B6705">
        <v>4770</v>
      </c>
      <c r="C6705">
        <v>7891132001101</v>
      </c>
      <c r="D6705">
        <v>5.99</v>
      </c>
      <c r="E6705">
        <v>4.4400000000000004</v>
      </c>
      <c r="F6705" s="3">
        <v>0.2351</v>
      </c>
      <c r="G6705">
        <v>4.0278</v>
      </c>
      <c r="H6705">
        <v>10.333</v>
      </c>
    </row>
    <row r="6706" spans="1:8" x14ac:dyDescent="0.25">
      <c r="A6706" t="s">
        <v>6712</v>
      </c>
      <c r="B6706">
        <v>4773</v>
      </c>
      <c r="C6706">
        <v>7891132019731</v>
      </c>
      <c r="D6706">
        <v>5.99</v>
      </c>
      <c r="E6706">
        <v>4.4400000000000004</v>
      </c>
      <c r="F6706" s="3">
        <v>0.23499999999999999</v>
      </c>
      <c r="G6706">
        <v>4.0279999999999996</v>
      </c>
      <c r="H6706">
        <v>2.0670000000000002</v>
      </c>
    </row>
    <row r="6707" spans="1:8" x14ac:dyDescent="0.25">
      <c r="A6707" t="s">
        <v>6713</v>
      </c>
      <c r="B6707">
        <v>44164</v>
      </c>
      <c r="C6707">
        <v>7891132008711</v>
      </c>
      <c r="D6707">
        <v>5.99</v>
      </c>
      <c r="E6707">
        <v>4.4000000000000004</v>
      </c>
      <c r="F6707" s="3">
        <v>0.2389</v>
      </c>
      <c r="G6707">
        <v>4.0046999999999997</v>
      </c>
      <c r="H6707">
        <v>3.0329999999999999</v>
      </c>
    </row>
    <row r="6708" spans="1:8" x14ac:dyDescent="0.25">
      <c r="A6708" t="s">
        <v>6714</v>
      </c>
      <c r="B6708">
        <v>44161</v>
      </c>
      <c r="C6708">
        <v>7891132008698</v>
      </c>
      <c r="D6708">
        <v>5.99</v>
      </c>
      <c r="E6708">
        <v>4.41</v>
      </c>
      <c r="F6708" s="3">
        <v>0.23680000000000001</v>
      </c>
      <c r="G6708">
        <v>4.0176999999999996</v>
      </c>
      <c r="H6708">
        <v>1.0329999999999999</v>
      </c>
    </row>
    <row r="6709" spans="1:8" x14ac:dyDescent="0.25">
      <c r="A6709" t="s">
        <v>6715</v>
      </c>
      <c r="B6709">
        <v>44163</v>
      </c>
      <c r="C6709">
        <v>7891132008704</v>
      </c>
      <c r="D6709">
        <v>5.99</v>
      </c>
      <c r="E6709">
        <v>4.4400000000000004</v>
      </c>
      <c r="F6709" s="3">
        <v>0.23519999999999999</v>
      </c>
      <c r="G6709">
        <v>4.0274000000000001</v>
      </c>
      <c r="H6709">
        <v>5.1669999999999998</v>
      </c>
    </row>
    <row r="6710" spans="1:8" x14ac:dyDescent="0.25">
      <c r="A6710" t="s">
        <v>6716</v>
      </c>
      <c r="B6710">
        <v>68566</v>
      </c>
      <c r="C6710">
        <v>7891132165636</v>
      </c>
      <c r="D6710">
        <v>4.8899999999999997</v>
      </c>
      <c r="E6710">
        <v>3.49</v>
      </c>
      <c r="F6710" s="3">
        <v>0.26039999999999996</v>
      </c>
      <c r="G6710">
        <v>3.1642999999999999</v>
      </c>
      <c r="H6710">
        <v>1.0329999999999999</v>
      </c>
    </row>
    <row r="6711" spans="1:8" x14ac:dyDescent="0.25">
      <c r="A6711" t="s">
        <v>6717</v>
      </c>
      <c r="B6711">
        <v>68567</v>
      </c>
      <c r="C6711">
        <v>7891132165650</v>
      </c>
      <c r="D6711">
        <v>4.8899999999999997</v>
      </c>
      <c r="E6711">
        <v>3.49</v>
      </c>
      <c r="F6711" s="3">
        <v>0.26039999999999996</v>
      </c>
      <c r="G6711">
        <v>3.1642999999999999</v>
      </c>
      <c r="H6711">
        <v>1.133</v>
      </c>
    </row>
    <row r="6712" spans="1:8" x14ac:dyDescent="0.25">
      <c r="A6712" t="s">
        <v>6718</v>
      </c>
      <c r="B6712">
        <v>68570</v>
      </c>
      <c r="C6712">
        <v>7891132082155</v>
      </c>
      <c r="D6712">
        <v>5.99</v>
      </c>
      <c r="E6712">
        <v>4.4400000000000004</v>
      </c>
      <c r="F6712" s="3">
        <v>0.23499999999999999</v>
      </c>
      <c r="G6712">
        <v>4.0282999999999998</v>
      </c>
      <c r="H6712">
        <v>1.4330000000000001</v>
      </c>
    </row>
    <row r="6713" spans="1:8" x14ac:dyDescent="0.25">
      <c r="A6713" t="s">
        <v>6719</v>
      </c>
      <c r="B6713">
        <v>68571</v>
      </c>
      <c r="C6713">
        <v>7891132083060</v>
      </c>
      <c r="D6713">
        <v>5.99</v>
      </c>
      <c r="E6713">
        <v>4.4400000000000004</v>
      </c>
      <c r="F6713" s="3">
        <v>0.23499999999999999</v>
      </c>
      <c r="G6713">
        <v>4.0282999999999998</v>
      </c>
      <c r="H6713">
        <v>1.167</v>
      </c>
    </row>
    <row r="6714" spans="1:8" x14ac:dyDescent="0.25">
      <c r="A6714" t="s">
        <v>6720</v>
      </c>
      <c r="B6714">
        <v>68569</v>
      </c>
      <c r="C6714">
        <v>7891132083053</v>
      </c>
      <c r="D6714">
        <v>5.99</v>
      </c>
      <c r="E6714">
        <v>4.4400000000000004</v>
      </c>
      <c r="F6714" s="3">
        <v>0.23499999999999999</v>
      </c>
      <c r="G6714">
        <v>4.0282</v>
      </c>
      <c r="H6714">
        <v>2.1</v>
      </c>
    </row>
    <row r="6715" spans="1:8" x14ac:dyDescent="0.25">
      <c r="A6715" t="s">
        <v>6721</v>
      </c>
      <c r="B6715">
        <v>26303</v>
      </c>
      <c r="C6715">
        <v>7898629611430</v>
      </c>
      <c r="D6715">
        <v>5.99</v>
      </c>
      <c r="E6715">
        <v>2.5</v>
      </c>
      <c r="F6715" s="3">
        <v>0.52869999999999995</v>
      </c>
      <c r="G6715">
        <v>2.2688000000000001</v>
      </c>
      <c r="H6715">
        <v>2.9</v>
      </c>
    </row>
    <row r="6716" spans="1:8" x14ac:dyDescent="0.25">
      <c r="A6716" t="s">
        <v>6722</v>
      </c>
      <c r="B6716">
        <v>30593</v>
      </c>
      <c r="C6716">
        <v>4902087111173</v>
      </c>
      <c r="D6716">
        <v>29.9</v>
      </c>
      <c r="E6716">
        <v>19.52</v>
      </c>
      <c r="F6716" s="3">
        <v>0.31509999999999999</v>
      </c>
      <c r="G6716">
        <v>17.712</v>
      </c>
      <c r="H6716">
        <v>0</v>
      </c>
    </row>
    <row r="6717" spans="1:8" x14ac:dyDescent="0.25">
      <c r="A6717" t="s">
        <v>6723</v>
      </c>
      <c r="B6717">
        <v>66325</v>
      </c>
      <c r="C6717">
        <v>8009730900651</v>
      </c>
      <c r="D6717">
        <v>26.9</v>
      </c>
      <c r="E6717">
        <v>19.43</v>
      </c>
      <c r="F6717" s="3">
        <v>0.252</v>
      </c>
      <c r="G6717">
        <v>17.6342</v>
      </c>
      <c r="H6717">
        <v>0</v>
      </c>
    </row>
    <row r="6718" spans="1:8" x14ac:dyDescent="0.25">
      <c r="A6718" t="s">
        <v>6724</v>
      </c>
      <c r="B6718">
        <v>66327</v>
      </c>
      <c r="C6718">
        <v>8009730900637</v>
      </c>
      <c r="D6718">
        <v>26.9</v>
      </c>
      <c r="E6718">
        <v>18.22</v>
      </c>
      <c r="F6718" s="3">
        <v>0.29270000000000002</v>
      </c>
      <c r="G6718">
        <v>16.538</v>
      </c>
      <c r="H6718">
        <v>0</v>
      </c>
    </row>
    <row r="6719" spans="1:8" x14ac:dyDescent="0.25">
      <c r="A6719" t="s">
        <v>6725</v>
      </c>
      <c r="B6719">
        <v>66324</v>
      </c>
      <c r="C6719">
        <v>8009730900620</v>
      </c>
      <c r="D6719">
        <v>26.9</v>
      </c>
      <c r="E6719">
        <v>20.47</v>
      </c>
      <c r="F6719" s="3">
        <v>0.21679999999999999</v>
      </c>
      <c r="G6719">
        <v>18.5808</v>
      </c>
      <c r="H6719">
        <v>3.3000000000000002E-2</v>
      </c>
    </row>
    <row r="6720" spans="1:8" x14ac:dyDescent="0.25">
      <c r="A6720" t="s">
        <v>6726</v>
      </c>
      <c r="B6720">
        <v>66326</v>
      </c>
      <c r="C6720">
        <v>8009730900644</v>
      </c>
      <c r="D6720">
        <v>26.9</v>
      </c>
      <c r="E6720">
        <v>16.690000000000001</v>
      </c>
      <c r="F6720" s="3">
        <v>0.34439999999999998</v>
      </c>
      <c r="G6720">
        <v>15.148300000000001</v>
      </c>
      <c r="H6720">
        <v>0</v>
      </c>
    </row>
    <row r="6721" spans="1:8" x14ac:dyDescent="0.25">
      <c r="A6721" t="s">
        <v>6727</v>
      </c>
      <c r="B6721">
        <v>26271</v>
      </c>
      <c r="C6721">
        <v>7898629611614</v>
      </c>
      <c r="D6721">
        <v>6.99</v>
      </c>
      <c r="E6721">
        <v>2.7</v>
      </c>
      <c r="F6721" s="3">
        <v>0.55700000000000005</v>
      </c>
      <c r="G6721">
        <v>2.4502999999999999</v>
      </c>
      <c r="H6721">
        <v>0.86699999999999999</v>
      </c>
    </row>
    <row r="6722" spans="1:8" x14ac:dyDescent="0.25">
      <c r="A6722" t="s">
        <v>6728</v>
      </c>
      <c r="B6722">
        <v>62409</v>
      </c>
      <c r="C6722">
        <v>7891150088689</v>
      </c>
      <c r="D6722">
        <v>5.99</v>
      </c>
      <c r="E6722">
        <v>4.45</v>
      </c>
      <c r="F6722" s="3">
        <v>0.23399999999999999</v>
      </c>
      <c r="G6722">
        <v>4.0346000000000002</v>
      </c>
      <c r="H6722">
        <v>7.3330000000000002</v>
      </c>
    </row>
    <row r="6723" spans="1:8" x14ac:dyDescent="0.25">
      <c r="A6723" t="s">
        <v>6729</v>
      </c>
      <c r="B6723">
        <v>62411</v>
      </c>
      <c r="C6723">
        <v>7891150088719</v>
      </c>
      <c r="D6723">
        <v>5.99</v>
      </c>
      <c r="E6723">
        <v>4.43</v>
      </c>
      <c r="F6723" s="3">
        <v>0.2341</v>
      </c>
      <c r="G6723">
        <v>4.0338000000000003</v>
      </c>
      <c r="H6723">
        <v>3</v>
      </c>
    </row>
    <row r="6724" spans="1:8" x14ac:dyDescent="0.25">
      <c r="A6724" t="s">
        <v>6730</v>
      </c>
      <c r="B6724">
        <v>62408</v>
      </c>
      <c r="C6724">
        <v>7891150088696</v>
      </c>
      <c r="D6724">
        <v>5.99</v>
      </c>
      <c r="E6724">
        <v>4.43</v>
      </c>
      <c r="F6724" s="3">
        <v>0.23469999999999999</v>
      </c>
      <c r="G6724">
        <v>4.0303000000000004</v>
      </c>
      <c r="H6724">
        <v>3.367</v>
      </c>
    </row>
    <row r="6725" spans="1:8" x14ac:dyDescent="0.25">
      <c r="A6725" t="s">
        <v>6731</v>
      </c>
      <c r="B6725">
        <v>62410</v>
      </c>
      <c r="C6725">
        <v>7891150088702</v>
      </c>
      <c r="D6725">
        <v>5.99</v>
      </c>
      <c r="E6725">
        <v>4.4400000000000004</v>
      </c>
      <c r="F6725" s="3">
        <v>0.23449999999999999</v>
      </c>
      <c r="G6725">
        <v>4.0312000000000001</v>
      </c>
      <c r="H6725">
        <v>2</v>
      </c>
    </row>
    <row r="6726" spans="1:8" x14ac:dyDescent="0.25">
      <c r="A6726" t="s">
        <v>6732</v>
      </c>
      <c r="B6726">
        <v>23709</v>
      </c>
      <c r="C6726">
        <v>8801558204108</v>
      </c>
      <c r="D6726">
        <v>21.9</v>
      </c>
      <c r="E6726">
        <v>14.03</v>
      </c>
      <c r="F6726" s="3">
        <v>0.26150000000000001</v>
      </c>
      <c r="G6726">
        <v>10.2044</v>
      </c>
      <c r="H6726">
        <v>0.76700000000000002</v>
      </c>
    </row>
    <row r="6727" spans="1:8" x14ac:dyDescent="0.25">
      <c r="A6727" t="s">
        <v>6733</v>
      </c>
      <c r="B6727">
        <v>69289</v>
      </c>
      <c r="C6727">
        <v>7891098042514</v>
      </c>
      <c r="D6727">
        <v>26.9</v>
      </c>
      <c r="E6727">
        <v>17.79</v>
      </c>
      <c r="F6727" s="3">
        <v>0.30730000000000002</v>
      </c>
      <c r="G6727">
        <v>16.145800000000001</v>
      </c>
      <c r="H6727">
        <v>0.3</v>
      </c>
    </row>
    <row r="6728" spans="1:8" x14ac:dyDescent="0.25">
      <c r="A6728" t="s">
        <v>6734</v>
      </c>
      <c r="B6728">
        <v>7420</v>
      </c>
      <c r="C6728">
        <v>7896293804103</v>
      </c>
      <c r="D6728">
        <v>39.9</v>
      </c>
      <c r="E6728">
        <v>28.03</v>
      </c>
      <c r="F6728" s="3">
        <v>0.26989999999999997</v>
      </c>
      <c r="G6728">
        <v>25.439900000000002</v>
      </c>
      <c r="H6728">
        <v>1.0329999999999999</v>
      </c>
    </row>
    <row r="6729" spans="1:8" x14ac:dyDescent="0.25">
      <c r="A6729" t="s">
        <v>6735</v>
      </c>
      <c r="B6729">
        <v>5337</v>
      </c>
      <c r="C6729">
        <v>7891022867114</v>
      </c>
      <c r="D6729">
        <v>11.9</v>
      </c>
      <c r="E6729">
        <v>6.76</v>
      </c>
      <c r="F6729" s="3">
        <v>0.31469999999999998</v>
      </c>
      <c r="G6729">
        <v>4.9119999999999999</v>
      </c>
      <c r="H6729">
        <v>2</v>
      </c>
    </row>
    <row r="6730" spans="1:8" x14ac:dyDescent="0.25">
      <c r="A6730" t="s">
        <v>6736</v>
      </c>
      <c r="B6730">
        <v>57077</v>
      </c>
      <c r="C6730">
        <v>7891150067868</v>
      </c>
      <c r="D6730">
        <v>19</v>
      </c>
      <c r="E6730">
        <v>13.48</v>
      </c>
      <c r="F6730" s="3">
        <v>0.2621</v>
      </c>
      <c r="G6730">
        <v>12.2614</v>
      </c>
      <c r="H6730">
        <v>2</v>
      </c>
    </row>
    <row r="6731" spans="1:8" x14ac:dyDescent="0.25">
      <c r="A6731" t="s">
        <v>6737</v>
      </c>
      <c r="B6731">
        <v>57076</v>
      </c>
      <c r="C6731">
        <v>7891150067875</v>
      </c>
      <c r="D6731">
        <v>19.899999999999999</v>
      </c>
      <c r="E6731">
        <v>12.97</v>
      </c>
      <c r="F6731" s="3">
        <v>0.316</v>
      </c>
      <c r="G6731">
        <v>11.77</v>
      </c>
      <c r="H6731">
        <v>6.7000000000000004E-2</v>
      </c>
    </row>
    <row r="6732" spans="1:8" x14ac:dyDescent="0.25">
      <c r="A6732" t="s">
        <v>6738</v>
      </c>
      <c r="B6732">
        <v>64876</v>
      </c>
      <c r="C6732">
        <v>7891022860283</v>
      </c>
      <c r="D6732">
        <v>9.9</v>
      </c>
      <c r="E6732">
        <v>5.89</v>
      </c>
      <c r="F6732" s="3">
        <v>0.36820000000000003</v>
      </c>
      <c r="G6732">
        <v>5.3391999999999999</v>
      </c>
      <c r="H6732">
        <v>1.0669999999999999</v>
      </c>
    </row>
    <row r="6733" spans="1:8" x14ac:dyDescent="0.25">
      <c r="A6733" t="s">
        <v>6739</v>
      </c>
      <c r="B6733">
        <v>52123</v>
      </c>
      <c r="C6733">
        <v>7891150062092</v>
      </c>
      <c r="D6733">
        <v>19.899999999999999</v>
      </c>
      <c r="E6733">
        <v>18.010000000000002</v>
      </c>
      <c r="F6733" s="3">
        <v>8.1300000000000011E-2</v>
      </c>
      <c r="G6733">
        <v>16.4421</v>
      </c>
      <c r="H6733">
        <v>0.36699999999999999</v>
      </c>
    </row>
    <row r="6734" spans="1:8" x14ac:dyDescent="0.25">
      <c r="A6734" t="s">
        <v>6740</v>
      </c>
      <c r="B6734">
        <v>52122</v>
      </c>
      <c r="C6734">
        <v>7891150062108</v>
      </c>
      <c r="D6734">
        <v>19.899999999999999</v>
      </c>
      <c r="E6734">
        <v>18.23</v>
      </c>
      <c r="F6734" s="3">
        <v>7.8899999999999998E-2</v>
      </c>
      <c r="G6734">
        <v>16.488499999999998</v>
      </c>
      <c r="H6734">
        <v>0.83299999999999996</v>
      </c>
    </row>
    <row r="6735" spans="1:8" x14ac:dyDescent="0.25">
      <c r="A6735" t="s">
        <v>6741</v>
      </c>
      <c r="B6735">
        <v>36171</v>
      </c>
      <c r="C6735">
        <v>7891150041431</v>
      </c>
      <c r="D6735">
        <v>16.899999999999999</v>
      </c>
      <c r="E6735">
        <v>10.9</v>
      </c>
      <c r="F6735" s="3">
        <v>0.3115</v>
      </c>
      <c r="G6735">
        <v>10.071899999999999</v>
      </c>
      <c r="H6735">
        <v>0.16700000000000001</v>
      </c>
    </row>
    <row r="6736" spans="1:8" x14ac:dyDescent="0.25">
      <c r="A6736" t="s">
        <v>6742</v>
      </c>
      <c r="B6736">
        <v>36170</v>
      </c>
      <c r="C6736">
        <v>7891150041424</v>
      </c>
      <c r="D6736">
        <v>16.899999999999999</v>
      </c>
      <c r="E6736">
        <v>11.3</v>
      </c>
      <c r="F6736" s="3">
        <v>0.28739999999999999</v>
      </c>
      <c r="G6736">
        <v>10.479699999999999</v>
      </c>
      <c r="H6736">
        <v>0.56699999999999995</v>
      </c>
    </row>
    <row r="6737" spans="1:8" x14ac:dyDescent="0.25">
      <c r="A6737" t="s">
        <v>6743</v>
      </c>
      <c r="B6737">
        <v>54537</v>
      </c>
      <c r="C6737">
        <v>7891150065734</v>
      </c>
      <c r="D6737">
        <v>19.899999999999999</v>
      </c>
      <c r="E6737">
        <v>12.75</v>
      </c>
      <c r="F6737" s="3">
        <v>0.3261</v>
      </c>
      <c r="G6737">
        <v>11.57</v>
      </c>
      <c r="H6737">
        <v>0</v>
      </c>
    </row>
    <row r="6738" spans="1:8" x14ac:dyDescent="0.25">
      <c r="A6738" t="s">
        <v>6744</v>
      </c>
      <c r="B6738">
        <v>36543</v>
      </c>
      <c r="C6738">
        <v>7896098901274</v>
      </c>
      <c r="D6738">
        <v>29.9</v>
      </c>
      <c r="E6738">
        <v>17.739999999999998</v>
      </c>
      <c r="F6738" s="3">
        <v>0.37030000000000002</v>
      </c>
      <c r="G6738">
        <v>16.061499999999999</v>
      </c>
      <c r="H6738">
        <v>0.26700000000000002</v>
      </c>
    </row>
    <row r="6739" spans="1:8" x14ac:dyDescent="0.25">
      <c r="A6739" t="s">
        <v>6745</v>
      </c>
      <c r="B6739">
        <v>36544</v>
      </c>
      <c r="C6739">
        <v>7896098901281</v>
      </c>
      <c r="D6739">
        <v>29.9</v>
      </c>
      <c r="E6739">
        <v>11.5</v>
      </c>
      <c r="F6739" s="3">
        <v>0.55369999999999997</v>
      </c>
      <c r="G6739">
        <v>10.5799</v>
      </c>
      <c r="H6739">
        <v>0.36699999999999999</v>
      </c>
    </row>
    <row r="6740" spans="1:8" x14ac:dyDescent="0.25">
      <c r="A6740" t="s">
        <v>6746</v>
      </c>
      <c r="B6740">
        <v>41781</v>
      </c>
      <c r="C6740">
        <v>7896098901298</v>
      </c>
      <c r="D6740">
        <v>20.9</v>
      </c>
      <c r="E6740">
        <v>13.35</v>
      </c>
      <c r="F6740" s="3">
        <v>0.39020000000000005</v>
      </c>
      <c r="G6740">
        <v>10.811400000000001</v>
      </c>
      <c r="H6740">
        <v>2</v>
      </c>
    </row>
    <row r="6741" spans="1:8" x14ac:dyDescent="0.25">
      <c r="A6741" t="s">
        <v>6747</v>
      </c>
      <c r="B6741">
        <v>41782</v>
      </c>
      <c r="C6741">
        <v>7896098901267</v>
      </c>
      <c r="D6741">
        <v>18.05</v>
      </c>
      <c r="E6741">
        <v>13.38</v>
      </c>
      <c r="F6741" s="3">
        <v>0.23550000000000001</v>
      </c>
      <c r="G6741">
        <v>12.126799999999999</v>
      </c>
      <c r="H6741">
        <v>1.167</v>
      </c>
    </row>
    <row r="6742" spans="1:8" x14ac:dyDescent="0.25">
      <c r="A6742" t="s">
        <v>6748</v>
      </c>
      <c r="B6742">
        <v>61013</v>
      </c>
      <c r="C6742">
        <v>7891035001468</v>
      </c>
      <c r="D6742">
        <v>14.9</v>
      </c>
      <c r="E6742">
        <v>9.6199999999999992</v>
      </c>
      <c r="F6742" s="3">
        <v>0.32140000000000002</v>
      </c>
      <c r="G6742">
        <v>8.7323000000000004</v>
      </c>
      <c r="H6742">
        <v>3.867</v>
      </c>
    </row>
    <row r="6743" spans="1:8" x14ac:dyDescent="0.25">
      <c r="A6743" t="s">
        <v>6749</v>
      </c>
      <c r="B6743">
        <v>61015</v>
      </c>
      <c r="C6743">
        <v>7891035001451</v>
      </c>
      <c r="D6743">
        <v>14.9</v>
      </c>
      <c r="E6743">
        <v>9.6199999999999992</v>
      </c>
      <c r="F6743" s="3">
        <v>0.32140000000000002</v>
      </c>
      <c r="G6743">
        <v>8.7321000000000009</v>
      </c>
      <c r="H6743">
        <v>3.133</v>
      </c>
    </row>
    <row r="6744" spans="1:8" x14ac:dyDescent="0.25">
      <c r="A6744" t="s">
        <v>6750</v>
      </c>
      <c r="B6744">
        <v>59283</v>
      </c>
      <c r="C6744">
        <v>7891035001383</v>
      </c>
      <c r="D6744">
        <v>34.9</v>
      </c>
      <c r="E6744">
        <v>16.690000000000001</v>
      </c>
      <c r="F6744" s="3">
        <v>0.47259999999999996</v>
      </c>
      <c r="G6744">
        <v>15.176500000000001</v>
      </c>
      <c r="H6744">
        <v>0.1</v>
      </c>
    </row>
    <row r="6745" spans="1:8" x14ac:dyDescent="0.25">
      <c r="A6745" t="s">
        <v>6751</v>
      </c>
      <c r="B6745">
        <v>59284</v>
      </c>
      <c r="C6745">
        <v>7891035001406</v>
      </c>
      <c r="D6745">
        <v>39.9</v>
      </c>
      <c r="E6745">
        <v>28.14</v>
      </c>
      <c r="F6745" s="3">
        <v>0.2676</v>
      </c>
      <c r="G6745">
        <v>25.532599999999999</v>
      </c>
      <c r="H6745">
        <v>0</v>
      </c>
    </row>
    <row r="6746" spans="1:8" x14ac:dyDescent="0.25">
      <c r="A6746" t="s">
        <v>6752</v>
      </c>
      <c r="B6746">
        <v>45799</v>
      </c>
      <c r="C6746">
        <v>7891035051272</v>
      </c>
      <c r="D6746">
        <v>23.9</v>
      </c>
      <c r="E6746">
        <v>15.68</v>
      </c>
      <c r="F6746" s="3">
        <v>0.31140000000000001</v>
      </c>
      <c r="G6746">
        <v>14.246600000000001</v>
      </c>
      <c r="H6746">
        <v>4.8</v>
      </c>
    </row>
    <row r="6747" spans="1:8" x14ac:dyDescent="0.25">
      <c r="A6747" t="s">
        <v>6753</v>
      </c>
      <c r="B6747">
        <v>45801</v>
      </c>
      <c r="C6747">
        <v>7891035051265</v>
      </c>
      <c r="D6747">
        <v>23.9</v>
      </c>
      <c r="E6747">
        <v>15.68</v>
      </c>
      <c r="F6747" s="3">
        <v>0.31180000000000002</v>
      </c>
      <c r="G6747">
        <v>14.238300000000001</v>
      </c>
      <c r="H6747">
        <v>5.0330000000000004</v>
      </c>
    </row>
    <row r="6748" spans="1:8" x14ac:dyDescent="0.25">
      <c r="A6748" t="s">
        <v>6754</v>
      </c>
      <c r="B6748">
        <v>5132</v>
      </c>
      <c r="C6748">
        <v>7891035040702</v>
      </c>
      <c r="D6748">
        <v>33.9</v>
      </c>
      <c r="E6748">
        <v>24.56</v>
      </c>
      <c r="F6748" s="3">
        <v>0.2581</v>
      </c>
      <c r="G6748">
        <v>22.014700000000001</v>
      </c>
      <c r="H6748">
        <v>0.96699999999999997</v>
      </c>
    </row>
    <row r="6749" spans="1:8" x14ac:dyDescent="0.25">
      <c r="A6749" t="s">
        <v>6755</v>
      </c>
      <c r="B6749">
        <v>12959</v>
      </c>
      <c r="C6749">
        <v>7891035050602</v>
      </c>
      <c r="D6749">
        <v>33.9</v>
      </c>
      <c r="E6749">
        <v>23.7</v>
      </c>
      <c r="F6749" s="3">
        <v>0.27140000000000003</v>
      </c>
      <c r="G6749">
        <v>21.565200000000001</v>
      </c>
      <c r="H6749">
        <v>1.2</v>
      </c>
    </row>
    <row r="6750" spans="1:8" x14ac:dyDescent="0.25">
      <c r="A6750" t="s">
        <v>6756</v>
      </c>
      <c r="B6750">
        <v>19512</v>
      </c>
      <c r="C6750">
        <v>7891035040450</v>
      </c>
      <c r="D6750">
        <v>21.9</v>
      </c>
      <c r="E6750">
        <v>14.18</v>
      </c>
      <c r="F6750" s="3">
        <v>0.31980000000000003</v>
      </c>
      <c r="G6750">
        <v>12.871700000000001</v>
      </c>
      <c r="H6750">
        <v>0</v>
      </c>
    </row>
    <row r="6751" spans="1:8" x14ac:dyDescent="0.25">
      <c r="A6751" t="s">
        <v>6757</v>
      </c>
      <c r="B6751">
        <v>5341</v>
      </c>
      <c r="C6751">
        <v>7891035017001</v>
      </c>
      <c r="D6751">
        <v>21.9</v>
      </c>
      <c r="E6751">
        <v>15.57</v>
      </c>
      <c r="F6751" s="3">
        <v>0.26329999999999998</v>
      </c>
      <c r="G6751">
        <v>14.1075</v>
      </c>
      <c r="H6751">
        <v>2.5670000000000002</v>
      </c>
    </row>
    <row r="6752" spans="1:8" x14ac:dyDescent="0.25">
      <c r="A6752" t="s">
        <v>6758</v>
      </c>
      <c r="B6752">
        <v>38304</v>
      </c>
      <c r="C6752">
        <v>7891035041051</v>
      </c>
      <c r="D6752">
        <v>28.9</v>
      </c>
      <c r="E6752">
        <v>21.81</v>
      </c>
      <c r="F6752" s="3">
        <v>0.23519999999999999</v>
      </c>
      <c r="G6752">
        <v>19.4298</v>
      </c>
      <c r="H6752">
        <v>0.4</v>
      </c>
    </row>
    <row r="6753" spans="1:8" x14ac:dyDescent="0.25">
      <c r="A6753" t="s">
        <v>6759</v>
      </c>
      <c r="B6753">
        <v>19513</v>
      </c>
      <c r="C6753">
        <v>7891035040191</v>
      </c>
      <c r="D6753">
        <v>8.9</v>
      </c>
      <c r="E6753">
        <v>5.65</v>
      </c>
      <c r="F6753" s="3">
        <v>0.33189999999999997</v>
      </c>
      <c r="G6753">
        <v>5.1227</v>
      </c>
      <c r="H6753">
        <v>3.0670000000000002</v>
      </c>
    </row>
    <row r="6754" spans="1:8" x14ac:dyDescent="0.25">
      <c r="A6754" t="s">
        <v>6760</v>
      </c>
      <c r="B6754">
        <v>59285</v>
      </c>
      <c r="C6754">
        <v>7891035001390</v>
      </c>
      <c r="D6754">
        <v>52.71</v>
      </c>
      <c r="E6754">
        <v>41.57</v>
      </c>
      <c r="F6754" s="3">
        <v>0.21190000000000001</v>
      </c>
      <c r="G6754">
        <v>36.665500000000002</v>
      </c>
      <c r="H6754">
        <v>1.3</v>
      </c>
    </row>
    <row r="6755" spans="1:8" x14ac:dyDescent="0.25">
      <c r="A6755" t="s">
        <v>6761</v>
      </c>
      <c r="B6755">
        <v>64530</v>
      </c>
      <c r="C6755">
        <v>7891035001475</v>
      </c>
      <c r="D6755">
        <v>8.9</v>
      </c>
      <c r="E6755">
        <v>5.5</v>
      </c>
      <c r="F6755" s="3">
        <v>0.35700000000000004</v>
      </c>
      <c r="G6755">
        <v>4.8990999999999998</v>
      </c>
      <c r="H6755">
        <v>3.1</v>
      </c>
    </row>
    <row r="6756" spans="1:8" x14ac:dyDescent="0.25">
      <c r="A6756" t="s">
        <v>6762</v>
      </c>
      <c r="B6756">
        <v>64531</v>
      </c>
      <c r="C6756">
        <v>7891035001482</v>
      </c>
      <c r="D6756">
        <v>8.9</v>
      </c>
      <c r="E6756">
        <v>5.32</v>
      </c>
      <c r="F6756" s="3">
        <v>0.36499999999999999</v>
      </c>
      <c r="G6756">
        <v>4.8278999999999996</v>
      </c>
      <c r="H6756">
        <v>4.4669999999999996</v>
      </c>
    </row>
    <row r="6757" spans="1:8" x14ac:dyDescent="0.25">
      <c r="A6757" t="s">
        <v>6763</v>
      </c>
      <c r="B6757">
        <v>50620</v>
      </c>
      <c r="C6757">
        <v>7891035051333</v>
      </c>
      <c r="D6757">
        <v>52.9</v>
      </c>
      <c r="E6757">
        <v>34.799999999999997</v>
      </c>
      <c r="F6757" s="3">
        <v>0.30820000000000003</v>
      </c>
      <c r="G6757">
        <v>31.704499999999999</v>
      </c>
      <c r="H6757">
        <v>0.83299999999999996</v>
      </c>
    </row>
    <row r="6758" spans="1:8" x14ac:dyDescent="0.25">
      <c r="A6758" t="s">
        <v>6764</v>
      </c>
      <c r="B6758">
        <v>50619</v>
      </c>
      <c r="C6758">
        <v>7891035051326</v>
      </c>
      <c r="D6758">
        <v>52.9</v>
      </c>
      <c r="E6758">
        <v>35.42</v>
      </c>
      <c r="F6758" s="3">
        <v>0.2999</v>
      </c>
      <c r="G6758">
        <v>32.143599999999999</v>
      </c>
      <c r="H6758">
        <v>1.333</v>
      </c>
    </row>
    <row r="6759" spans="1:8" x14ac:dyDescent="0.25">
      <c r="A6759" t="s">
        <v>6765</v>
      </c>
      <c r="B6759">
        <v>31418</v>
      </c>
      <c r="C6759">
        <v>7891035040269</v>
      </c>
      <c r="D6759">
        <v>8.9</v>
      </c>
      <c r="E6759">
        <v>5.64</v>
      </c>
      <c r="F6759" s="3">
        <v>0.33229999999999998</v>
      </c>
      <c r="G6759">
        <v>5.1193999999999997</v>
      </c>
      <c r="H6759">
        <v>5.5330000000000004</v>
      </c>
    </row>
    <row r="6760" spans="1:8" x14ac:dyDescent="0.25">
      <c r="A6760" t="s">
        <v>6766</v>
      </c>
      <c r="B6760">
        <v>57258</v>
      </c>
      <c r="C6760">
        <v>7891962058733</v>
      </c>
      <c r="D6760">
        <v>5.4</v>
      </c>
      <c r="E6760">
        <v>3.58</v>
      </c>
      <c r="F6760" s="3">
        <v>0.30519999999999997</v>
      </c>
      <c r="G6760">
        <v>3.2503000000000002</v>
      </c>
      <c r="H6760">
        <v>6.8330000000000002</v>
      </c>
    </row>
    <row r="6761" spans="1:8" x14ac:dyDescent="0.25">
      <c r="A6761" t="s">
        <v>6767</v>
      </c>
      <c r="B6761">
        <v>57257</v>
      </c>
      <c r="C6761">
        <v>7891962060576</v>
      </c>
      <c r="D6761">
        <v>5.49</v>
      </c>
      <c r="E6761">
        <v>3.58</v>
      </c>
      <c r="F6761" s="3">
        <v>0.31540000000000001</v>
      </c>
      <c r="G6761">
        <v>3.2505000000000002</v>
      </c>
      <c r="H6761">
        <v>6.7</v>
      </c>
    </row>
    <row r="6762" spans="1:8" x14ac:dyDescent="0.25">
      <c r="A6762" t="s">
        <v>6768</v>
      </c>
      <c r="B6762">
        <v>57256</v>
      </c>
      <c r="C6762">
        <v>7891962058719</v>
      </c>
      <c r="D6762">
        <v>5.49</v>
      </c>
      <c r="E6762">
        <v>3.58</v>
      </c>
      <c r="F6762" s="3">
        <v>0.3155</v>
      </c>
      <c r="G6762">
        <v>3.2502</v>
      </c>
      <c r="H6762">
        <v>4.3330000000000002</v>
      </c>
    </row>
    <row r="6763" spans="1:8" x14ac:dyDescent="0.25">
      <c r="A6763" t="s">
        <v>6769</v>
      </c>
      <c r="B6763">
        <v>2176</v>
      </c>
      <c r="C6763">
        <v>7896293802031</v>
      </c>
      <c r="D6763">
        <v>20.9</v>
      </c>
      <c r="E6763">
        <v>13.34</v>
      </c>
      <c r="F6763" s="3">
        <v>0.29659999999999997</v>
      </c>
      <c r="G6763">
        <v>10.9383</v>
      </c>
      <c r="H6763">
        <v>11.067</v>
      </c>
    </row>
    <row r="6764" spans="1:8" x14ac:dyDescent="0.25">
      <c r="A6764" t="s">
        <v>6770</v>
      </c>
      <c r="B6764">
        <v>2178</v>
      </c>
      <c r="C6764">
        <v>7896293808149</v>
      </c>
      <c r="D6764">
        <v>20.9</v>
      </c>
      <c r="E6764">
        <v>13.34</v>
      </c>
      <c r="F6764" s="3">
        <v>0.29659999999999997</v>
      </c>
      <c r="G6764">
        <v>10.9382</v>
      </c>
      <c r="H6764">
        <v>8.3330000000000002</v>
      </c>
    </row>
    <row r="6765" spans="1:8" x14ac:dyDescent="0.25">
      <c r="A6765" t="s">
        <v>6771</v>
      </c>
      <c r="B6765">
        <v>2179</v>
      </c>
      <c r="C6765">
        <v>7896293808156</v>
      </c>
      <c r="D6765">
        <v>20.9</v>
      </c>
      <c r="E6765">
        <v>13.34</v>
      </c>
      <c r="F6765" s="3">
        <v>0.29659999999999997</v>
      </c>
      <c r="G6765">
        <v>10.9382</v>
      </c>
      <c r="H6765">
        <v>7.9</v>
      </c>
    </row>
    <row r="6766" spans="1:8" x14ac:dyDescent="0.25">
      <c r="A6766" t="s">
        <v>6772</v>
      </c>
      <c r="B6766">
        <v>64133</v>
      </c>
      <c r="C6766">
        <v>8000320010026</v>
      </c>
      <c r="D6766">
        <v>8.99</v>
      </c>
      <c r="E6766">
        <v>4.42</v>
      </c>
      <c r="F6766" s="3">
        <v>0.46110000000000001</v>
      </c>
      <c r="G6766">
        <v>4.0129999999999999</v>
      </c>
      <c r="H6766">
        <v>57.9</v>
      </c>
    </row>
    <row r="6767" spans="1:8" x14ac:dyDescent="0.25">
      <c r="A6767" t="s">
        <v>6773</v>
      </c>
      <c r="B6767">
        <v>6787</v>
      </c>
      <c r="C6767">
        <v>7896196082622</v>
      </c>
      <c r="D6767">
        <v>11.9</v>
      </c>
      <c r="E6767">
        <v>7.88</v>
      </c>
      <c r="F6767" s="3">
        <v>0.30730000000000002</v>
      </c>
      <c r="G6767">
        <v>7.1422999999999996</v>
      </c>
      <c r="H6767">
        <v>7.5</v>
      </c>
    </row>
    <row r="6768" spans="1:8" x14ac:dyDescent="0.25">
      <c r="A6768" t="s">
        <v>6774</v>
      </c>
      <c r="B6768">
        <v>66479</v>
      </c>
      <c r="C6768">
        <v>8000320010118</v>
      </c>
      <c r="D6768">
        <v>8.99</v>
      </c>
      <c r="E6768">
        <v>4.05</v>
      </c>
      <c r="F6768" s="3">
        <v>0.49810000000000004</v>
      </c>
      <c r="G6768">
        <v>3.6804000000000001</v>
      </c>
      <c r="H6768">
        <v>12.567</v>
      </c>
    </row>
    <row r="6769" spans="1:8" x14ac:dyDescent="0.25">
      <c r="A6769" t="s">
        <v>6775</v>
      </c>
      <c r="B6769">
        <v>6785</v>
      </c>
      <c r="C6769">
        <v>7891032015222</v>
      </c>
      <c r="D6769">
        <v>5.99</v>
      </c>
      <c r="E6769">
        <v>3.47</v>
      </c>
      <c r="F6769" s="3">
        <v>0.38200000000000001</v>
      </c>
      <c r="G6769">
        <v>3.1476000000000002</v>
      </c>
      <c r="H6769">
        <v>5.6669999999999998</v>
      </c>
    </row>
    <row r="6770" spans="1:8" x14ac:dyDescent="0.25">
      <c r="A6770" t="s">
        <v>6776</v>
      </c>
      <c r="B6770">
        <v>36276</v>
      </c>
      <c r="C6770">
        <v>8004275008015</v>
      </c>
      <c r="D6770">
        <v>0</v>
      </c>
      <c r="E6770">
        <v>6.88</v>
      </c>
      <c r="F6770" s="3">
        <v>0</v>
      </c>
      <c r="G6770">
        <v>6.2474999999999996</v>
      </c>
      <c r="H6770">
        <v>0</v>
      </c>
    </row>
    <row r="6771" spans="1:8" x14ac:dyDescent="0.25">
      <c r="A6771" t="s">
        <v>6777</v>
      </c>
      <c r="B6771">
        <v>9404</v>
      </c>
      <c r="C6771">
        <v>8003385300514</v>
      </c>
      <c r="D6771">
        <v>12.99</v>
      </c>
      <c r="E6771">
        <v>9.67</v>
      </c>
      <c r="F6771" s="3">
        <v>0.23250000000000001</v>
      </c>
      <c r="G6771">
        <v>8.7680000000000007</v>
      </c>
      <c r="H6771">
        <v>1.833</v>
      </c>
    </row>
    <row r="6772" spans="1:8" x14ac:dyDescent="0.25">
      <c r="A6772" t="s">
        <v>6778</v>
      </c>
      <c r="B6772">
        <v>17627</v>
      </c>
      <c r="C6772">
        <v>8001876071035</v>
      </c>
      <c r="D6772">
        <v>62.9</v>
      </c>
      <c r="E6772">
        <v>55.1</v>
      </c>
      <c r="F6772" s="3">
        <v>0.1125</v>
      </c>
      <c r="G6772">
        <v>50.004800000000003</v>
      </c>
      <c r="H6772">
        <v>0</v>
      </c>
    </row>
    <row r="6773" spans="1:8" x14ac:dyDescent="0.25">
      <c r="A6773" t="s">
        <v>6779</v>
      </c>
      <c r="B6773">
        <v>63915</v>
      </c>
      <c r="C6773">
        <v>7896196082585</v>
      </c>
      <c r="D6773">
        <v>32.9</v>
      </c>
      <c r="E6773">
        <v>25.31</v>
      </c>
      <c r="F6773" s="3">
        <v>0.20980000000000001</v>
      </c>
      <c r="G6773">
        <v>22.9529</v>
      </c>
      <c r="H6773">
        <v>0.6</v>
      </c>
    </row>
    <row r="6774" spans="1:8" x14ac:dyDescent="0.25">
      <c r="A6774" t="s">
        <v>6780</v>
      </c>
      <c r="B6774">
        <v>6792</v>
      </c>
      <c r="C6774">
        <v>7891032015215</v>
      </c>
      <c r="D6774">
        <v>5.99</v>
      </c>
      <c r="E6774">
        <v>3.51</v>
      </c>
      <c r="F6774" s="3">
        <v>0.37560000000000004</v>
      </c>
      <c r="G6774">
        <v>3.1861999999999999</v>
      </c>
      <c r="H6774">
        <v>38.533000000000001</v>
      </c>
    </row>
    <row r="6775" spans="1:8" x14ac:dyDescent="0.25">
      <c r="A6775" t="s">
        <v>6781</v>
      </c>
      <c r="B6775">
        <v>6782</v>
      </c>
      <c r="C6775">
        <v>7896196080444</v>
      </c>
      <c r="D6775">
        <v>11.9</v>
      </c>
      <c r="E6775">
        <v>7.82</v>
      </c>
      <c r="F6775" s="3">
        <v>0.30780000000000002</v>
      </c>
      <c r="G6775">
        <v>7.1363000000000003</v>
      </c>
      <c r="H6775">
        <v>8.3670000000000009</v>
      </c>
    </row>
    <row r="6776" spans="1:8" x14ac:dyDescent="0.25">
      <c r="A6776" t="s">
        <v>6782</v>
      </c>
      <c r="B6776">
        <v>6793</v>
      </c>
      <c r="C6776">
        <v>7898152990064</v>
      </c>
      <c r="D6776">
        <v>11.9</v>
      </c>
      <c r="E6776">
        <v>7.9</v>
      </c>
      <c r="F6776" s="3">
        <v>0.31519999999999998</v>
      </c>
      <c r="G6776">
        <v>7.0481999999999996</v>
      </c>
      <c r="H6776">
        <v>1.167</v>
      </c>
    </row>
    <row r="6777" spans="1:8" x14ac:dyDescent="0.25">
      <c r="A6777" t="s">
        <v>6783</v>
      </c>
      <c r="B6777">
        <v>26288</v>
      </c>
      <c r="C6777">
        <v>7898629611447</v>
      </c>
      <c r="D6777">
        <v>5.49</v>
      </c>
      <c r="E6777">
        <v>1.75</v>
      </c>
      <c r="F6777" s="3">
        <v>0.61819999999999997</v>
      </c>
      <c r="G6777">
        <v>1.5881000000000001</v>
      </c>
      <c r="H6777">
        <v>1.8</v>
      </c>
    </row>
    <row r="6778" spans="1:8" x14ac:dyDescent="0.25">
      <c r="A6778" t="s">
        <v>6784</v>
      </c>
      <c r="B6778">
        <v>64905</v>
      </c>
      <c r="C6778">
        <v>4005900957726</v>
      </c>
      <c r="D6778">
        <v>29.9</v>
      </c>
      <c r="E6778">
        <v>28.49</v>
      </c>
      <c r="F6778" s="3">
        <v>4.7199999999999999E-2</v>
      </c>
      <c r="G6778">
        <v>28.487400000000001</v>
      </c>
      <c r="H6778">
        <v>0.1</v>
      </c>
    </row>
    <row r="6779" spans="1:8" x14ac:dyDescent="0.25">
      <c r="A6779" t="s">
        <v>6785</v>
      </c>
      <c r="B6779">
        <v>67240</v>
      </c>
      <c r="C6779">
        <v>7896085086212</v>
      </c>
      <c r="D6779">
        <v>4.49</v>
      </c>
      <c r="E6779">
        <v>3.07</v>
      </c>
      <c r="F6779" s="3">
        <v>0.28610000000000002</v>
      </c>
      <c r="G6779">
        <v>2.79</v>
      </c>
      <c r="H6779">
        <v>6.367</v>
      </c>
    </row>
    <row r="6780" spans="1:8" x14ac:dyDescent="0.25">
      <c r="A6780" t="s">
        <v>6786</v>
      </c>
      <c r="B6780">
        <v>67241</v>
      </c>
      <c r="C6780">
        <v>7896085086229</v>
      </c>
      <c r="D6780">
        <v>3.99</v>
      </c>
      <c r="E6780">
        <v>3.07</v>
      </c>
      <c r="F6780" s="3">
        <v>0.20850000000000002</v>
      </c>
      <c r="G6780">
        <v>2.7890999999999999</v>
      </c>
      <c r="H6780">
        <v>5.4329999999999998</v>
      </c>
    </row>
    <row r="6781" spans="1:8" x14ac:dyDescent="0.25">
      <c r="A6781" t="s">
        <v>6787</v>
      </c>
      <c r="B6781">
        <v>67242</v>
      </c>
      <c r="C6781">
        <v>7896085086236</v>
      </c>
      <c r="D6781">
        <v>3.99</v>
      </c>
      <c r="E6781">
        <v>2.95</v>
      </c>
      <c r="F6781" s="3">
        <v>0.23629999999999998</v>
      </c>
      <c r="G6781">
        <v>2.6779999999999999</v>
      </c>
      <c r="H6781">
        <v>1.5</v>
      </c>
    </row>
    <row r="6782" spans="1:8" x14ac:dyDescent="0.25">
      <c r="A6782" t="s">
        <v>6788</v>
      </c>
      <c r="B6782">
        <v>67239</v>
      </c>
      <c r="C6782">
        <v>7896085086205</v>
      </c>
      <c r="D6782">
        <v>3.99</v>
      </c>
      <c r="E6782">
        <v>3.08</v>
      </c>
      <c r="F6782" s="3">
        <v>0.20809999999999998</v>
      </c>
      <c r="G6782">
        <v>2.7906</v>
      </c>
      <c r="H6782">
        <v>11.632999999999999</v>
      </c>
    </row>
    <row r="6783" spans="1:8" x14ac:dyDescent="0.25">
      <c r="A6783" t="s">
        <v>6789</v>
      </c>
      <c r="B6783">
        <v>8713</v>
      </c>
      <c r="C6783">
        <v>7891962005959</v>
      </c>
      <c r="D6783">
        <v>2.99</v>
      </c>
      <c r="E6783">
        <v>5.33</v>
      </c>
      <c r="F6783" s="3">
        <v>-0.71439999999999992</v>
      </c>
      <c r="G6783">
        <v>4.8493000000000004</v>
      </c>
      <c r="H6783">
        <v>143.13300000000001</v>
      </c>
    </row>
    <row r="6784" spans="1:8" x14ac:dyDescent="0.25">
      <c r="A6784" t="s">
        <v>6790</v>
      </c>
      <c r="B6784">
        <v>4349</v>
      </c>
      <c r="C6784">
        <v>7891962053196</v>
      </c>
      <c r="D6784">
        <v>5.27</v>
      </c>
      <c r="E6784">
        <v>3.57</v>
      </c>
      <c r="F6784" s="3">
        <v>0.2888</v>
      </c>
      <c r="G6784">
        <v>3.2587000000000002</v>
      </c>
      <c r="H6784">
        <v>40.5</v>
      </c>
    </row>
    <row r="6785" spans="1:8" x14ac:dyDescent="0.25">
      <c r="A6785" t="s">
        <v>6791</v>
      </c>
      <c r="B6785">
        <v>4352</v>
      </c>
      <c r="C6785">
        <v>7891962053202</v>
      </c>
      <c r="D6785">
        <v>5.4</v>
      </c>
      <c r="E6785">
        <v>3.65</v>
      </c>
      <c r="F6785" s="3">
        <v>0.29270000000000002</v>
      </c>
      <c r="G6785">
        <v>3.3209</v>
      </c>
      <c r="H6785">
        <v>17.2</v>
      </c>
    </row>
    <row r="6786" spans="1:8" x14ac:dyDescent="0.25">
      <c r="A6786" t="s">
        <v>6792</v>
      </c>
      <c r="B6786">
        <v>4350</v>
      </c>
      <c r="C6786">
        <v>7891962053189</v>
      </c>
      <c r="D6786">
        <v>5.42</v>
      </c>
      <c r="E6786">
        <v>3.28</v>
      </c>
      <c r="F6786" s="3">
        <v>0.35369999999999996</v>
      </c>
      <c r="G6786">
        <v>3.0004</v>
      </c>
      <c r="H6786">
        <v>36.700000000000003</v>
      </c>
    </row>
    <row r="6787" spans="1:8" x14ac:dyDescent="0.25">
      <c r="A6787" t="s">
        <v>6793</v>
      </c>
      <c r="B6787">
        <v>34692</v>
      </c>
      <c r="C6787">
        <v>7891962053257</v>
      </c>
      <c r="D6787">
        <v>9.49</v>
      </c>
      <c r="E6787">
        <v>6.87</v>
      </c>
      <c r="F6787" s="3">
        <v>0.24989999999999998</v>
      </c>
      <c r="G6787">
        <v>6.2408999999999999</v>
      </c>
      <c r="H6787">
        <v>27.433</v>
      </c>
    </row>
    <row r="6788" spans="1:8" x14ac:dyDescent="0.25">
      <c r="A6788" t="s">
        <v>6794</v>
      </c>
      <c r="B6788">
        <v>34690</v>
      </c>
      <c r="C6788">
        <v>7891962053240</v>
      </c>
      <c r="D6788">
        <v>9.49</v>
      </c>
      <c r="E6788">
        <v>6.86</v>
      </c>
      <c r="F6788" s="3">
        <v>0.25040000000000001</v>
      </c>
      <c r="G6788">
        <v>6.2361000000000004</v>
      </c>
      <c r="H6788">
        <v>24.632999999999999</v>
      </c>
    </row>
    <row r="6789" spans="1:8" x14ac:dyDescent="0.25">
      <c r="A6789" t="s">
        <v>6795</v>
      </c>
      <c r="B6789">
        <v>34691</v>
      </c>
      <c r="C6789">
        <v>7891962053233</v>
      </c>
      <c r="D6789">
        <v>9.49</v>
      </c>
      <c r="E6789">
        <v>6.19</v>
      </c>
      <c r="F6789" s="3">
        <v>0.31309999999999999</v>
      </c>
      <c r="G6789">
        <v>5.6413000000000002</v>
      </c>
      <c r="H6789">
        <v>40.667000000000002</v>
      </c>
    </row>
    <row r="6790" spans="1:8" x14ac:dyDescent="0.25">
      <c r="A6790" t="s">
        <v>6796</v>
      </c>
      <c r="B6790">
        <v>42262</v>
      </c>
      <c r="C6790">
        <v>8008698002209</v>
      </c>
      <c r="D6790">
        <v>34.9</v>
      </c>
      <c r="E6790">
        <v>22.52</v>
      </c>
      <c r="F6790" s="3">
        <v>0.32840000000000003</v>
      </c>
      <c r="G6790">
        <v>20.2121</v>
      </c>
      <c r="H6790">
        <v>0.33300000000000002</v>
      </c>
    </row>
    <row r="6791" spans="1:8" x14ac:dyDescent="0.25">
      <c r="A6791" t="s">
        <v>6797</v>
      </c>
      <c r="B6791">
        <v>47777</v>
      </c>
      <c r="C6791">
        <v>8008698011294</v>
      </c>
      <c r="D6791">
        <v>29.9</v>
      </c>
      <c r="E6791">
        <v>21.62</v>
      </c>
      <c r="F6791" s="3">
        <v>0.25109999999999999</v>
      </c>
      <c r="G6791">
        <v>19.626999999999999</v>
      </c>
      <c r="H6791">
        <v>0.8</v>
      </c>
    </row>
    <row r="6792" spans="1:8" x14ac:dyDescent="0.25">
      <c r="A6792" t="s">
        <v>6798</v>
      </c>
      <c r="B6792">
        <v>38732</v>
      </c>
      <c r="C6792">
        <v>8008698007303</v>
      </c>
      <c r="D6792">
        <v>27.9</v>
      </c>
      <c r="E6792">
        <v>18.420000000000002</v>
      </c>
      <c r="F6792" s="3">
        <v>0.29730000000000001</v>
      </c>
      <c r="G6792">
        <v>17.023399999999999</v>
      </c>
      <c r="H6792">
        <v>2</v>
      </c>
    </row>
    <row r="6793" spans="1:8" x14ac:dyDescent="0.25">
      <c r="A6793" t="s">
        <v>6799</v>
      </c>
      <c r="B6793">
        <v>65088</v>
      </c>
      <c r="C6793">
        <v>7896003739770</v>
      </c>
      <c r="D6793">
        <v>5.49</v>
      </c>
      <c r="E6793">
        <v>3.8</v>
      </c>
      <c r="F6793" s="3">
        <v>0.27889999999999998</v>
      </c>
      <c r="G6793">
        <v>3.4512999999999998</v>
      </c>
      <c r="H6793">
        <v>14.6</v>
      </c>
    </row>
    <row r="6794" spans="1:8" x14ac:dyDescent="0.25">
      <c r="A6794" t="s">
        <v>6800</v>
      </c>
      <c r="B6794">
        <v>4348</v>
      </c>
      <c r="C6794">
        <v>7896003739343</v>
      </c>
      <c r="D6794">
        <v>5.49</v>
      </c>
      <c r="E6794">
        <v>3.8</v>
      </c>
      <c r="F6794" s="3">
        <v>0.27860000000000001</v>
      </c>
      <c r="G6794">
        <v>3.4527999999999999</v>
      </c>
      <c r="H6794">
        <v>24.733000000000001</v>
      </c>
    </row>
    <row r="6795" spans="1:8" x14ac:dyDescent="0.25">
      <c r="A6795" t="s">
        <v>6801</v>
      </c>
      <c r="B6795">
        <v>4346</v>
      </c>
      <c r="C6795">
        <v>7896003739367</v>
      </c>
      <c r="D6795">
        <v>5.49</v>
      </c>
      <c r="E6795">
        <v>3.8</v>
      </c>
      <c r="F6795" s="3">
        <v>0.2787</v>
      </c>
      <c r="G6795">
        <v>3.4523000000000001</v>
      </c>
      <c r="H6795">
        <v>14.233000000000001</v>
      </c>
    </row>
    <row r="6796" spans="1:8" x14ac:dyDescent="0.25">
      <c r="A6796" t="s">
        <v>6802</v>
      </c>
      <c r="B6796">
        <v>55484</v>
      </c>
      <c r="C6796">
        <v>7896003739374</v>
      </c>
      <c r="D6796">
        <v>5.49</v>
      </c>
      <c r="E6796">
        <v>3.8</v>
      </c>
      <c r="F6796" s="3">
        <v>0.27910000000000001</v>
      </c>
      <c r="G6796">
        <v>3.4498000000000002</v>
      </c>
      <c r="H6796">
        <v>11.433</v>
      </c>
    </row>
    <row r="6797" spans="1:8" x14ac:dyDescent="0.25">
      <c r="A6797" t="s">
        <v>6803</v>
      </c>
      <c r="B6797">
        <v>4345</v>
      </c>
      <c r="C6797">
        <v>7896003739336</v>
      </c>
      <c r="D6797">
        <v>5.49</v>
      </c>
      <c r="E6797">
        <v>3.8</v>
      </c>
      <c r="F6797" s="3">
        <v>0.27889999999999998</v>
      </c>
      <c r="G6797">
        <v>3.4510000000000001</v>
      </c>
      <c r="H6797">
        <v>19.2</v>
      </c>
    </row>
    <row r="6798" spans="1:8" x14ac:dyDescent="0.25">
      <c r="A6798" t="s">
        <v>6804</v>
      </c>
      <c r="B6798">
        <v>55486</v>
      </c>
      <c r="C6798">
        <v>7896003739381</v>
      </c>
      <c r="D6798">
        <v>5.49</v>
      </c>
      <c r="E6798">
        <v>3.8</v>
      </c>
      <c r="F6798" s="3">
        <v>0.27860000000000001</v>
      </c>
      <c r="G6798">
        <v>3.4529000000000001</v>
      </c>
      <c r="H6798">
        <v>11.032999999999999</v>
      </c>
    </row>
    <row r="6799" spans="1:8" x14ac:dyDescent="0.25">
      <c r="A6799" t="s">
        <v>6805</v>
      </c>
      <c r="B6799">
        <v>65680</v>
      </c>
      <c r="C6799">
        <v>7896639800691</v>
      </c>
      <c r="D6799">
        <v>9.9</v>
      </c>
      <c r="E6799">
        <v>6.08</v>
      </c>
      <c r="F6799" s="3">
        <v>0.34970000000000001</v>
      </c>
      <c r="G6799">
        <v>5.5220000000000002</v>
      </c>
      <c r="H6799">
        <v>1.6</v>
      </c>
    </row>
    <row r="6800" spans="1:8" x14ac:dyDescent="0.25">
      <c r="A6800" t="s">
        <v>6806</v>
      </c>
      <c r="B6800">
        <v>54076</v>
      </c>
      <c r="C6800">
        <v>8008698028582</v>
      </c>
      <c r="D6800">
        <v>18.899999999999999</v>
      </c>
      <c r="E6800">
        <v>12.9</v>
      </c>
      <c r="F6800" s="3">
        <v>0.28739999999999999</v>
      </c>
      <c r="G6800">
        <v>11.720499999999999</v>
      </c>
      <c r="H6800">
        <v>2.1669999999999998</v>
      </c>
    </row>
    <row r="6801" spans="1:8" x14ac:dyDescent="0.25">
      <c r="A6801" t="s">
        <v>6807</v>
      </c>
      <c r="B6801">
        <v>65679</v>
      </c>
      <c r="C6801">
        <v>7896639800684</v>
      </c>
      <c r="D6801">
        <v>9.9</v>
      </c>
      <c r="E6801">
        <v>6.18</v>
      </c>
      <c r="F6801" s="3">
        <v>0.27329999999999999</v>
      </c>
      <c r="G6801">
        <v>4.4962999999999997</v>
      </c>
      <c r="H6801">
        <v>1.2330000000000001</v>
      </c>
    </row>
    <row r="6802" spans="1:8" x14ac:dyDescent="0.25">
      <c r="A6802" t="s">
        <v>6808</v>
      </c>
      <c r="B6802">
        <v>34759</v>
      </c>
      <c r="C6802">
        <v>7891962052571</v>
      </c>
      <c r="D6802">
        <v>4.49</v>
      </c>
      <c r="E6802">
        <v>3.01</v>
      </c>
      <c r="F6802" s="3">
        <v>0.2994</v>
      </c>
      <c r="G6802">
        <v>2.7303000000000002</v>
      </c>
      <c r="H6802">
        <v>9.7669999999999995</v>
      </c>
    </row>
    <row r="6803" spans="1:8" x14ac:dyDescent="0.25">
      <c r="A6803" t="s">
        <v>6809</v>
      </c>
      <c r="B6803">
        <v>34760</v>
      </c>
      <c r="C6803">
        <v>7891962052564</v>
      </c>
      <c r="D6803">
        <v>4.49</v>
      </c>
      <c r="E6803">
        <v>2.72</v>
      </c>
      <c r="F6803" s="3">
        <v>0.35240000000000005</v>
      </c>
      <c r="G6803">
        <v>2.4925999999999999</v>
      </c>
      <c r="H6803">
        <v>13.867000000000001</v>
      </c>
    </row>
    <row r="6804" spans="1:8" x14ac:dyDescent="0.25">
      <c r="A6804" t="s">
        <v>6810</v>
      </c>
      <c r="B6804">
        <v>55830</v>
      </c>
      <c r="C6804">
        <v>7898912222206</v>
      </c>
      <c r="D6804">
        <v>12.9</v>
      </c>
      <c r="E6804">
        <v>6.96</v>
      </c>
      <c r="F6804" s="3">
        <v>0.4395</v>
      </c>
      <c r="G6804">
        <v>6.65</v>
      </c>
      <c r="H6804">
        <v>1.367</v>
      </c>
    </row>
    <row r="6805" spans="1:8" x14ac:dyDescent="0.25">
      <c r="A6805" t="s">
        <v>6811</v>
      </c>
      <c r="B6805">
        <v>63923</v>
      </c>
      <c r="C6805">
        <v>742832314619</v>
      </c>
      <c r="D6805">
        <v>10.76</v>
      </c>
      <c r="E6805">
        <v>5.12</v>
      </c>
      <c r="F6805" s="3">
        <v>0.43</v>
      </c>
      <c r="G6805">
        <v>4.1959</v>
      </c>
      <c r="H6805">
        <v>6.8</v>
      </c>
    </row>
    <row r="6806" spans="1:8" x14ac:dyDescent="0.25">
      <c r="A6806" t="s">
        <v>6812</v>
      </c>
      <c r="B6806">
        <v>63926</v>
      </c>
      <c r="C6806">
        <v>742832852104</v>
      </c>
      <c r="D6806">
        <v>15.9</v>
      </c>
      <c r="E6806">
        <v>9.27</v>
      </c>
      <c r="F6806" s="3">
        <v>0.34179999999999999</v>
      </c>
      <c r="G6806">
        <v>7.6029</v>
      </c>
      <c r="H6806">
        <v>2.1669999999999998</v>
      </c>
    </row>
    <row r="6807" spans="1:8" x14ac:dyDescent="0.25">
      <c r="A6807" t="s">
        <v>6813</v>
      </c>
      <c r="B6807">
        <v>63925</v>
      </c>
      <c r="C6807">
        <v>742832198769</v>
      </c>
      <c r="D6807">
        <v>17.899999999999999</v>
      </c>
      <c r="E6807">
        <v>11.23</v>
      </c>
      <c r="F6807" s="3">
        <v>0.30530000000000002</v>
      </c>
      <c r="G6807">
        <v>9.2126000000000001</v>
      </c>
      <c r="H6807">
        <v>3.4670000000000001</v>
      </c>
    </row>
    <row r="6808" spans="1:8" x14ac:dyDescent="0.25">
      <c r="A6808" t="s">
        <v>6814</v>
      </c>
      <c r="B6808">
        <v>64983</v>
      </c>
      <c r="C6808">
        <v>7898996178505</v>
      </c>
      <c r="D6808">
        <v>17.899999999999999</v>
      </c>
      <c r="E6808">
        <v>11.23</v>
      </c>
      <c r="F6808" s="3">
        <v>0.30530000000000002</v>
      </c>
      <c r="G6808">
        <v>9.2125000000000004</v>
      </c>
      <c r="H6808">
        <v>1.0329999999999999</v>
      </c>
    </row>
    <row r="6809" spans="1:8" x14ac:dyDescent="0.25">
      <c r="A6809" t="s">
        <v>6815</v>
      </c>
      <c r="B6809">
        <v>63924</v>
      </c>
      <c r="C6809">
        <v>742832745543</v>
      </c>
      <c r="D6809">
        <v>12.55</v>
      </c>
      <c r="E6809">
        <v>5.45</v>
      </c>
      <c r="F6809" s="3">
        <v>0.46360000000000001</v>
      </c>
      <c r="G6809">
        <v>4.4724000000000004</v>
      </c>
      <c r="H6809">
        <v>6.7670000000000003</v>
      </c>
    </row>
    <row r="6810" spans="1:8" x14ac:dyDescent="0.25">
      <c r="A6810" t="s">
        <v>6816</v>
      </c>
      <c r="B6810">
        <v>33572</v>
      </c>
      <c r="C6810">
        <v>8410150040351</v>
      </c>
      <c r="D6810">
        <v>28.9</v>
      </c>
      <c r="E6810">
        <v>19.510000000000002</v>
      </c>
      <c r="F6810" s="3">
        <v>0.29480000000000001</v>
      </c>
      <c r="G6810">
        <v>17.706199999999999</v>
      </c>
      <c r="H6810">
        <v>0.5</v>
      </c>
    </row>
    <row r="6811" spans="1:8" x14ac:dyDescent="0.25">
      <c r="A6811" t="s">
        <v>6817</v>
      </c>
      <c r="B6811">
        <v>67214</v>
      </c>
      <c r="C6811">
        <v>7898649352337</v>
      </c>
      <c r="D6811">
        <v>9.9</v>
      </c>
      <c r="E6811">
        <v>5.65</v>
      </c>
      <c r="F6811" s="3">
        <v>0.37689999999999996</v>
      </c>
      <c r="G6811">
        <v>5.2526999999999999</v>
      </c>
      <c r="H6811">
        <v>1.867</v>
      </c>
    </row>
    <row r="6812" spans="1:8" x14ac:dyDescent="0.25">
      <c r="A6812" t="s">
        <v>6818</v>
      </c>
      <c r="B6812">
        <v>36304</v>
      </c>
      <c r="C6812">
        <v>7896237901226</v>
      </c>
      <c r="D6812">
        <v>14.9</v>
      </c>
      <c r="E6812">
        <v>10.52</v>
      </c>
      <c r="F6812" s="3">
        <v>0.26629999999999998</v>
      </c>
      <c r="G6812">
        <v>9.5545000000000009</v>
      </c>
      <c r="H6812">
        <v>1.333</v>
      </c>
    </row>
    <row r="6813" spans="1:8" x14ac:dyDescent="0.25">
      <c r="A6813" t="s">
        <v>6819</v>
      </c>
      <c r="B6813">
        <v>3598</v>
      </c>
      <c r="C6813">
        <v>7891095400751</v>
      </c>
      <c r="D6813">
        <v>10.9</v>
      </c>
      <c r="E6813">
        <v>6.37</v>
      </c>
      <c r="F6813" s="3">
        <v>0.30030000000000001</v>
      </c>
      <c r="G6813">
        <v>4.657</v>
      </c>
      <c r="H6813">
        <v>14.367000000000001</v>
      </c>
    </row>
    <row r="6814" spans="1:8" x14ac:dyDescent="0.25">
      <c r="A6814" t="s">
        <v>6820</v>
      </c>
      <c r="B6814">
        <v>64821</v>
      </c>
      <c r="C6814">
        <v>5420066370384</v>
      </c>
      <c r="D6814">
        <v>22.9</v>
      </c>
      <c r="E6814">
        <v>17.260000000000002</v>
      </c>
      <c r="F6814" s="3">
        <v>0.23440000000000003</v>
      </c>
      <c r="G6814">
        <v>15.4148</v>
      </c>
      <c r="H6814">
        <v>2.7810000000000001</v>
      </c>
    </row>
    <row r="6815" spans="1:8" x14ac:dyDescent="0.25">
      <c r="A6815" t="s">
        <v>6821</v>
      </c>
      <c r="B6815">
        <v>64824</v>
      </c>
      <c r="C6815">
        <v>5420066370025</v>
      </c>
      <c r="D6815">
        <v>22.9</v>
      </c>
      <c r="E6815">
        <v>16.149999999999999</v>
      </c>
      <c r="F6815" s="3">
        <v>0.26979999999999998</v>
      </c>
      <c r="G6815">
        <v>14.602600000000001</v>
      </c>
      <c r="H6815">
        <v>1.1000000000000001</v>
      </c>
    </row>
    <row r="6816" spans="1:8" x14ac:dyDescent="0.25">
      <c r="A6816" t="s">
        <v>6822</v>
      </c>
      <c r="B6816">
        <v>64823</v>
      </c>
      <c r="C6816">
        <v>5420066370001</v>
      </c>
      <c r="D6816">
        <v>22.9</v>
      </c>
      <c r="E6816">
        <v>16.34</v>
      </c>
      <c r="F6816" s="3">
        <v>0.26079999999999998</v>
      </c>
      <c r="G6816">
        <v>14.8089</v>
      </c>
      <c r="H6816">
        <v>2.133</v>
      </c>
    </row>
    <row r="6817" spans="1:8" x14ac:dyDescent="0.25">
      <c r="A6817" t="s">
        <v>6823</v>
      </c>
      <c r="B6817">
        <v>64819</v>
      </c>
      <c r="C6817">
        <v>5420066370056</v>
      </c>
      <c r="D6817">
        <v>22.9</v>
      </c>
      <c r="E6817">
        <v>17.739999999999998</v>
      </c>
      <c r="F6817" s="3">
        <v>0.21899999999999997</v>
      </c>
      <c r="G6817">
        <v>15.765499999999999</v>
      </c>
      <c r="H6817">
        <v>2.3759999999999999</v>
      </c>
    </row>
    <row r="6818" spans="1:8" x14ac:dyDescent="0.25">
      <c r="A6818" t="s">
        <v>6824</v>
      </c>
      <c r="B6818">
        <v>64820</v>
      </c>
      <c r="C6818">
        <v>5420066370049</v>
      </c>
      <c r="D6818">
        <v>22.9</v>
      </c>
      <c r="E6818">
        <v>17.62</v>
      </c>
      <c r="F6818" s="3">
        <v>0.21340000000000001</v>
      </c>
      <c r="G6818">
        <v>15.8949</v>
      </c>
      <c r="H6818">
        <v>1</v>
      </c>
    </row>
    <row r="6819" spans="1:8" x14ac:dyDescent="0.25">
      <c r="A6819" t="s">
        <v>6825</v>
      </c>
      <c r="B6819">
        <v>64822</v>
      </c>
      <c r="C6819">
        <v>5420066370018</v>
      </c>
      <c r="D6819">
        <v>22.9</v>
      </c>
      <c r="E6819">
        <v>17.8</v>
      </c>
      <c r="F6819" s="3">
        <v>0.20350000000000001</v>
      </c>
      <c r="G6819">
        <v>16.1205</v>
      </c>
      <c r="H6819">
        <v>3.0459999999999998</v>
      </c>
    </row>
    <row r="6820" spans="1:8" x14ac:dyDescent="0.25">
      <c r="A6820" t="s">
        <v>6826</v>
      </c>
      <c r="B6820">
        <v>65269</v>
      </c>
      <c r="C6820">
        <v>7899516209723</v>
      </c>
      <c r="D6820">
        <v>32.9</v>
      </c>
      <c r="E6820">
        <v>16.57</v>
      </c>
      <c r="F6820" s="3">
        <v>0.45049999999999996</v>
      </c>
      <c r="G6820">
        <v>15.033799999999999</v>
      </c>
      <c r="H6820">
        <v>0.56699999999999995</v>
      </c>
    </row>
    <row r="6821" spans="1:8" x14ac:dyDescent="0.25">
      <c r="A6821" t="s">
        <v>6827</v>
      </c>
      <c r="B6821">
        <v>65271</v>
      </c>
      <c r="C6821">
        <v>7899516209785</v>
      </c>
      <c r="D6821">
        <v>32.9</v>
      </c>
      <c r="E6821">
        <v>20.079999999999998</v>
      </c>
      <c r="F6821" s="3">
        <v>0.35350000000000004</v>
      </c>
      <c r="G6821">
        <v>18.2255</v>
      </c>
      <c r="H6821">
        <v>0.66700000000000004</v>
      </c>
    </row>
    <row r="6822" spans="1:8" x14ac:dyDescent="0.25">
      <c r="A6822" t="s">
        <v>6828</v>
      </c>
      <c r="B6822">
        <v>66500</v>
      </c>
      <c r="C6822">
        <v>9002859057236</v>
      </c>
      <c r="D6822">
        <v>39.9</v>
      </c>
      <c r="E6822">
        <v>29.4</v>
      </c>
      <c r="F6822" s="3">
        <v>0.23879999999999998</v>
      </c>
      <c r="G6822">
        <v>26.680800000000001</v>
      </c>
      <c r="H6822">
        <v>0.13300000000000001</v>
      </c>
    </row>
    <row r="6823" spans="1:8" x14ac:dyDescent="0.25">
      <c r="A6823" t="s">
        <v>6829</v>
      </c>
      <c r="B6823">
        <v>66499</v>
      </c>
      <c r="C6823">
        <v>9002859033360</v>
      </c>
      <c r="D6823">
        <v>44.9</v>
      </c>
      <c r="E6823">
        <v>35.799999999999997</v>
      </c>
      <c r="F6823" s="3">
        <v>0.2145</v>
      </c>
      <c r="G6823">
        <v>31.113499999999998</v>
      </c>
      <c r="H6823">
        <v>0.5</v>
      </c>
    </row>
    <row r="6824" spans="1:8" x14ac:dyDescent="0.25">
      <c r="A6824" t="s">
        <v>6830</v>
      </c>
      <c r="B6824">
        <v>65444</v>
      </c>
      <c r="C6824">
        <v>7896256065879</v>
      </c>
      <c r="D6824">
        <v>7.9</v>
      </c>
      <c r="E6824">
        <v>4.72</v>
      </c>
      <c r="F6824" s="3">
        <v>0.34889999999999999</v>
      </c>
      <c r="G6824">
        <v>4.4132999999999996</v>
      </c>
      <c r="H6824">
        <v>0.53300000000000003</v>
      </c>
    </row>
    <row r="6825" spans="1:8" x14ac:dyDescent="0.25">
      <c r="A6825" t="s">
        <v>6831</v>
      </c>
      <c r="B6825">
        <v>25744</v>
      </c>
      <c r="C6825">
        <v>7898968066403</v>
      </c>
      <c r="D6825">
        <v>32.9</v>
      </c>
      <c r="E6825">
        <v>17.78</v>
      </c>
      <c r="F6825" s="3">
        <v>0.41720000000000002</v>
      </c>
      <c r="G6825">
        <v>16.1313</v>
      </c>
      <c r="H6825">
        <v>0.83299999999999996</v>
      </c>
    </row>
    <row r="6826" spans="1:8" x14ac:dyDescent="0.25">
      <c r="A6826" t="s">
        <v>6832</v>
      </c>
      <c r="B6826">
        <v>7491</v>
      </c>
      <c r="C6826">
        <v>7898968066397</v>
      </c>
      <c r="D6826">
        <v>22.9</v>
      </c>
      <c r="E6826">
        <v>11.3</v>
      </c>
      <c r="F6826" s="3">
        <v>0.45960000000000001</v>
      </c>
      <c r="G6826">
        <v>10.2561</v>
      </c>
      <c r="H6826">
        <v>1.0669999999999999</v>
      </c>
    </row>
    <row r="6827" spans="1:8" x14ac:dyDescent="0.25">
      <c r="A6827" t="s">
        <v>6833</v>
      </c>
      <c r="B6827">
        <v>25745</v>
      </c>
      <c r="C6827">
        <v>7898968066410</v>
      </c>
      <c r="D6827">
        <v>27</v>
      </c>
      <c r="E6827">
        <v>14.94</v>
      </c>
      <c r="F6827" s="3">
        <v>0.40549999999999997</v>
      </c>
      <c r="G6827">
        <v>13.555300000000001</v>
      </c>
      <c r="H6827">
        <v>0.3</v>
      </c>
    </row>
    <row r="6828" spans="1:8" x14ac:dyDescent="0.25">
      <c r="A6828" t="s">
        <v>6834</v>
      </c>
      <c r="B6828">
        <v>66704</v>
      </c>
      <c r="C6828">
        <v>7898667041091</v>
      </c>
      <c r="D6828">
        <v>24.9</v>
      </c>
      <c r="E6828">
        <v>15.04</v>
      </c>
      <c r="F6828" s="3">
        <v>0.28820000000000001</v>
      </c>
      <c r="G6828">
        <v>10.9389</v>
      </c>
      <c r="H6828">
        <v>0.86699999999999999</v>
      </c>
    </row>
    <row r="6829" spans="1:8" x14ac:dyDescent="0.25">
      <c r="A6829" t="s">
        <v>6835</v>
      </c>
      <c r="B6829">
        <v>48396</v>
      </c>
      <c r="C6829">
        <v>7896043014271</v>
      </c>
      <c r="D6829">
        <v>10.9</v>
      </c>
      <c r="E6829">
        <v>7.84</v>
      </c>
      <c r="F6829" s="3">
        <v>0.2545</v>
      </c>
      <c r="G6829">
        <v>7.1181000000000001</v>
      </c>
      <c r="H6829">
        <v>0.76700000000000002</v>
      </c>
    </row>
    <row r="6830" spans="1:8" x14ac:dyDescent="0.25">
      <c r="A6830" t="s">
        <v>6836</v>
      </c>
      <c r="B6830">
        <v>14402</v>
      </c>
      <c r="C6830">
        <v>10010419</v>
      </c>
      <c r="D6830">
        <v>2</v>
      </c>
      <c r="E6830">
        <v>1.08</v>
      </c>
      <c r="F6830" s="3">
        <v>4.1618000000000004</v>
      </c>
      <c r="G6830">
        <v>-6.5084999999999997</v>
      </c>
      <c r="H6830">
        <v>19.667000000000002</v>
      </c>
    </row>
    <row r="6831" spans="1:8" x14ac:dyDescent="0.25">
      <c r="A6831" t="s">
        <v>6837</v>
      </c>
      <c r="B6831">
        <v>14403</v>
      </c>
      <c r="C6831">
        <v>10009215</v>
      </c>
      <c r="D6831">
        <v>4</v>
      </c>
      <c r="E6831">
        <v>2</v>
      </c>
      <c r="F6831" s="3">
        <v>0.45380000000000004</v>
      </c>
      <c r="G6831">
        <v>1.8149999999999999</v>
      </c>
      <c r="H6831">
        <v>11.4</v>
      </c>
    </row>
    <row r="6832" spans="1:8" x14ac:dyDescent="0.25">
      <c r="A6832" t="s">
        <v>6838</v>
      </c>
      <c r="B6832">
        <v>14401</v>
      </c>
      <c r="C6832">
        <v>10010426</v>
      </c>
      <c r="D6832">
        <v>4</v>
      </c>
      <c r="E6832">
        <v>1</v>
      </c>
      <c r="F6832" s="3">
        <v>0.7238</v>
      </c>
      <c r="G6832">
        <v>0.73480000000000001</v>
      </c>
      <c r="H6832">
        <v>13.567</v>
      </c>
    </row>
    <row r="6833" spans="1:8" x14ac:dyDescent="0.25">
      <c r="A6833" t="s">
        <v>6839</v>
      </c>
      <c r="B6833">
        <v>19162</v>
      </c>
      <c r="C6833">
        <v>1000000000023</v>
      </c>
      <c r="D6833">
        <v>4</v>
      </c>
      <c r="E6833">
        <v>0.73</v>
      </c>
      <c r="F6833" s="3">
        <v>0.75340000000000007</v>
      </c>
      <c r="G6833">
        <v>0.61619999999999997</v>
      </c>
      <c r="H6833">
        <v>6.1639999999999997</v>
      </c>
    </row>
    <row r="6834" spans="1:8" x14ac:dyDescent="0.25">
      <c r="A6834" t="s">
        <v>6840</v>
      </c>
      <c r="B6834">
        <v>64383</v>
      </c>
      <c r="C6834">
        <v>1000000003314</v>
      </c>
      <c r="D6834">
        <v>4</v>
      </c>
      <c r="E6834">
        <v>0</v>
      </c>
      <c r="F6834" s="3">
        <v>0.90749999999999997</v>
      </c>
      <c r="G6834">
        <v>0</v>
      </c>
      <c r="H6834">
        <v>7.8360000000000003</v>
      </c>
    </row>
    <row r="6835" spans="1:8" x14ac:dyDescent="0.25">
      <c r="A6835" t="s">
        <v>6841</v>
      </c>
      <c r="B6835">
        <v>3826</v>
      </c>
      <c r="C6835">
        <v>7891055020081</v>
      </c>
      <c r="D6835">
        <v>15.9</v>
      </c>
      <c r="E6835">
        <v>9.4700000000000006</v>
      </c>
      <c r="F6835" s="3">
        <v>0.29410000000000003</v>
      </c>
      <c r="G6835">
        <v>6.8917000000000002</v>
      </c>
      <c r="H6835">
        <v>0</v>
      </c>
    </row>
    <row r="6836" spans="1:8" x14ac:dyDescent="0.25">
      <c r="A6836" t="s">
        <v>6842</v>
      </c>
      <c r="B6836">
        <v>3829</v>
      </c>
      <c r="C6836">
        <v>7891055013281</v>
      </c>
      <c r="D6836">
        <v>34.9</v>
      </c>
      <c r="E6836">
        <v>21.36</v>
      </c>
      <c r="F6836" s="3">
        <v>0.28220000000000001</v>
      </c>
      <c r="G6836">
        <v>15.5421</v>
      </c>
      <c r="H6836">
        <v>6.7000000000000004E-2</v>
      </c>
    </row>
    <row r="6837" spans="1:8" x14ac:dyDescent="0.25">
      <c r="A6837" t="s">
        <v>6843</v>
      </c>
      <c r="B6837">
        <v>3832</v>
      </c>
      <c r="C6837">
        <v>7891055006771</v>
      </c>
      <c r="D6837">
        <v>26.9</v>
      </c>
      <c r="E6837">
        <v>17.32</v>
      </c>
      <c r="F6837" s="3">
        <v>0.25920000000000004</v>
      </c>
      <c r="G6837">
        <v>12.5967</v>
      </c>
      <c r="H6837">
        <v>0.5</v>
      </c>
    </row>
    <row r="6838" spans="1:8" x14ac:dyDescent="0.25">
      <c r="A6838" t="s">
        <v>6844</v>
      </c>
      <c r="B6838">
        <v>3831</v>
      </c>
      <c r="C6838">
        <v>7891055003084</v>
      </c>
      <c r="D6838">
        <v>28.9</v>
      </c>
      <c r="E6838">
        <v>20.16</v>
      </c>
      <c r="F6838" s="3">
        <v>0.21989999999999998</v>
      </c>
      <c r="G6838">
        <v>14.67</v>
      </c>
      <c r="H6838">
        <v>0</v>
      </c>
    </row>
    <row r="6839" spans="1:8" x14ac:dyDescent="0.25">
      <c r="A6839" t="s">
        <v>6845</v>
      </c>
      <c r="B6839">
        <v>66142</v>
      </c>
      <c r="C6839">
        <v>7896001016415</v>
      </c>
      <c r="D6839">
        <v>24.9</v>
      </c>
      <c r="E6839">
        <v>14.95</v>
      </c>
      <c r="F6839" s="3">
        <v>0.2913</v>
      </c>
      <c r="G6839">
        <v>10.8612</v>
      </c>
      <c r="H6839">
        <v>1.2</v>
      </c>
    </row>
    <row r="6840" spans="1:8" x14ac:dyDescent="0.25">
      <c r="A6840" t="s">
        <v>6846</v>
      </c>
      <c r="B6840">
        <v>66140</v>
      </c>
      <c r="C6840">
        <v>7896001016712</v>
      </c>
      <c r="D6840">
        <v>18.899999999999999</v>
      </c>
      <c r="E6840">
        <v>10.96</v>
      </c>
      <c r="F6840" s="3">
        <v>0.30459999999999998</v>
      </c>
      <c r="G6840">
        <v>7.9919000000000002</v>
      </c>
      <c r="H6840">
        <v>4.2</v>
      </c>
    </row>
    <row r="6841" spans="1:8" x14ac:dyDescent="0.25">
      <c r="A6841" t="s">
        <v>6847</v>
      </c>
      <c r="B6841">
        <v>66146</v>
      </c>
      <c r="C6841">
        <v>7896001018815</v>
      </c>
      <c r="D6841">
        <v>69.900000000000006</v>
      </c>
      <c r="E6841">
        <v>40.81</v>
      </c>
      <c r="F6841" s="3">
        <v>0.30269999999999997</v>
      </c>
      <c r="G6841">
        <v>29.691700000000001</v>
      </c>
      <c r="H6841">
        <v>0.33300000000000002</v>
      </c>
    </row>
    <row r="6842" spans="1:8" x14ac:dyDescent="0.25">
      <c r="A6842" t="s">
        <v>6848</v>
      </c>
      <c r="B6842">
        <v>66144</v>
      </c>
      <c r="C6842">
        <v>7896001010000</v>
      </c>
      <c r="D6842">
        <v>25.9</v>
      </c>
      <c r="E6842">
        <v>14.83</v>
      </c>
      <c r="F6842" s="3">
        <v>0.31090000000000001</v>
      </c>
      <c r="G6842">
        <v>10.7904</v>
      </c>
      <c r="H6842">
        <v>1.2669999999999999</v>
      </c>
    </row>
    <row r="6843" spans="1:8" x14ac:dyDescent="0.25">
      <c r="A6843" t="s">
        <v>6849</v>
      </c>
      <c r="B6843">
        <v>50505</v>
      </c>
      <c r="C6843">
        <v>7896523103266</v>
      </c>
      <c r="D6843">
        <v>8.9</v>
      </c>
      <c r="E6843">
        <v>3.96</v>
      </c>
      <c r="F6843" s="3">
        <v>0.40429999999999999</v>
      </c>
      <c r="G6843">
        <v>2.8767999999999998</v>
      </c>
      <c r="H6843">
        <v>9.1329999999999991</v>
      </c>
    </row>
    <row r="6844" spans="1:8" x14ac:dyDescent="0.25">
      <c r="A6844" t="s">
        <v>6850</v>
      </c>
      <c r="B6844">
        <v>62110</v>
      </c>
      <c r="C6844">
        <v>7896523118871</v>
      </c>
      <c r="D6844">
        <v>15.9</v>
      </c>
      <c r="E6844">
        <v>10.07</v>
      </c>
      <c r="F6844" s="3">
        <v>0.26690000000000003</v>
      </c>
      <c r="G6844">
        <v>7.3231999999999999</v>
      </c>
      <c r="H6844">
        <v>3.633</v>
      </c>
    </row>
    <row r="6845" spans="1:8" x14ac:dyDescent="0.25">
      <c r="A6845" t="s">
        <v>6851</v>
      </c>
      <c r="B6845">
        <v>65365</v>
      </c>
      <c r="C6845">
        <v>7896523166872</v>
      </c>
      <c r="D6845">
        <v>7.99</v>
      </c>
      <c r="E6845">
        <v>4.24</v>
      </c>
      <c r="F6845" s="3">
        <v>0.34179999999999999</v>
      </c>
      <c r="G6845">
        <v>3.0815000000000001</v>
      </c>
      <c r="H6845">
        <v>3.0670000000000002</v>
      </c>
    </row>
    <row r="6846" spans="1:8" x14ac:dyDescent="0.25">
      <c r="A6846" t="s">
        <v>6852</v>
      </c>
      <c r="B6846">
        <v>65366</v>
      </c>
      <c r="C6846">
        <v>7896523166896</v>
      </c>
      <c r="D6846">
        <v>7.99</v>
      </c>
      <c r="E6846">
        <v>4.22</v>
      </c>
      <c r="F6846" s="3">
        <v>0.34289999999999998</v>
      </c>
      <c r="G6846">
        <v>3.0733000000000001</v>
      </c>
      <c r="H6846">
        <v>3.3330000000000002</v>
      </c>
    </row>
    <row r="6847" spans="1:8" x14ac:dyDescent="0.25">
      <c r="A6847" t="s">
        <v>6853</v>
      </c>
      <c r="B6847">
        <v>65991</v>
      </c>
      <c r="C6847">
        <v>7896523163420</v>
      </c>
      <c r="D6847">
        <v>7.99</v>
      </c>
      <c r="E6847">
        <v>3.69</v>
      </c>
      <c r="F6847" s="3">
        <v>0.42070000000000002</v>
      </c>
      <c r="G6847">
        <v>2.931</v>
      </c>
      <c r="H6847">
        <v>0.76700000000000002</v>
      </c>
    </row>
    <row r="6848" spans="1:8" x14ac:dyDescent="0.25">
      <c r="A6848" t="s">
        <v>6854</v>
      </c>
      <c r="B6848">
        <v>65992</v>
      </c>
      <c r="C6848">
        <v>7896523163437</v>
      </c>
      <c r="D6848">
        <v>7.99</v>
      </c>
      <c r="E6848">
        <v>3.48</v>
      </c>
      <c r="F6848" s="3">
        <v>0.44929999999999998</v>
      </c>
      <c r="G6848">
        <v>2.7025000000000001</v>
      </c>
      <c r="H6848">
        <v>2.2669999999999999</v>
      </c>
    </row>
    <row r="6849" spans="1:8" x14ac:dyDescent="0.25">
      <c r="A6849" t="s">
        <v>6855</v>
      </c>
      <c r="B6849">
        <v>65993</v>
      </c>
      <c r="C6849">
        <v>7896523163444</v>
      </c>
      <c r="D6849">
        <v>7.99</v>
      </c>
      <c r="E6849">
        <v>3.92</v>
      </c>
      <c r="F6849" s="3">
        <v>0.40159999999999996</v>
      </c>
      <c r="G6849">
        <v>3.0836000000000001</v>
      </c>
      <c r="H6849">
        <v>1.867</v>
      </c>
    </row>
    <row r="6850" spans="1:8" x14ac:dyDescent="0.25">
      <c r="A6850" t="s">
        <v>6856</v>
      </c>
      <c r="B6850">
        <v>65994</v>
      </c>
      <c r="C6850">
        <v>7896523163451</v>
      </c>
      <c r="D6850">
        <v>7.99</v>
      </c>
      <c r="E6850">
        <v>3.86</v>
      </c>
      <c r="F6850" s="3">
        <v>0.40799999999999997</v>
      </c>
      <c r="G6850">
        <v>3.0322</v>
      </c>
      <c r="H6850">
        <v>1.133</v>
      </c>
    </row>
    <row r="6851" spans="1:8" x14ac:dyDescent="0.25">
      <c r="A6851" t="s">
        <v>6857</v>
      </c>
      <c r="B6851">
        <v>65995</v>
      </c>
      <c r="C6851">
        <v>7896523163468</v>
      </c>
      <c r="D6851">
        <v>7.99</v>
      </c>
      <c r="E6851">
        <v>3.91</v>
      </c>
      <c r="F6851" s="3">
        <v>0.40159999999999996</v>
      </c>
      <c r="G6851">
        <v>3.0834000000000001</v>
      </c>
      <c r="H6851">
        <v>1.2</v>
      </c>
    </row>
    <row r="6852" spans="1:8" x14ac:dyDescent="0.25">
      <c r="A6852" t="s">
        <v>6858</v>
      </c>
      <c r="B6852">
        <v>65996</v>
      </c>
      <c r="C6852">
        <v>7896523163475</v>
      </c>
      <c r="D6852">
        <v>7.99</v>
      </c>
      <c r="E6852">
        <v>3.92</v>
      </c>
      <c r="F6852" s="3">
        <v>0.40149999999999997</v>
      </c>
      <c r="G6852">
        <v>3.0838999999999999</v>
      </c>
      <c r="H6852">
        <v>1.367</v>
      </c>
    </row>
    <row r="6853" spans="1:8" x14ac:dyDescent="0.25">
      <c r="A6853" t="s">
        <v>6859</v>
      </c>
      <c r="B6853">
        <v>65997</v>
      </c>
      <c r="C6853">
        <v>7896523163482</v>
      </c>
      <c r="D6853">
        <v>7.99</v>
      </c>
      <c r="E6853">
        <v>3.9</v>
      </c>
      <c r="F6853" s="3">
        <v>0.40250000000000002</v>
      </c>
      <c r="G6853">
        <v>3.0762999999999998</v>
      </c>
      <c r="H6853">
        <v>0.8</v>
      </c>
    </row>
    <row r="6854" spans="1:8" x14ac:dyDescent="0.25">
      <c r="A6854" t="s">
        <v>6860</v>
      </c>
      <c r="B6854">
        <v>65998</v>
      </c>
      <c r="C6854">
        <v>7896523163499</v>
      </c>
      <c r="D6854">
        <v>7.99</v>
      </c>
      <c r="E6854">
        <v>3.91</v>
      </c>
      <c r="F6854" s="3">
        <v>0.40189999999999998</v>
      </c>
      <c r="G6854">
        <v>3.0808</v>
      </c>
      <c r="H6854">
        <v>1</v>
      </c>
    </row>
    <row r="6855" spans="1:8" x14ac:dyDescent="0.25">
      <c r="A6855" t="s">
        <v>6861</v>
      </c>
      <c r="B6855">
        <v>65999</v>
      </c>
      <c r="C6855">
        <v>7896523163505</v>
      </c>
      <c r="D6855">
        <v>7.99</v>
      </c>
      <c r="E6855">
        <v>3.9</v>
      </c>
      <c r="F6855" s="3">
        <v>0.40350000000000003</v>
      </c>
      <c r="G6855">
        <v>3.0682999999999998</v>
      </c>
      <c r="H6855">
        <v>1.167</v>
      </c>
    </row>
    <row r="6856" spans="1:8" x14ac:dyDescent="0.25">
      <c r="A6856" t="s">
        <v>6862</v>
      </c>
      <c r="B6856">
        <v>66000</v>
      </c>
      <c r="C6856">
        <v>7896523163512</v>
      </c>
      <c r="D6856">
        <v>7.99</v>
      </c>
      <c r="E6856">
        <v>3.89</v>
      </c>
      <c r="F6856" s="3">
        <v>0.40270000000000006</v>
      </c>
      <c r="G6856">
        <v>3.0745</v>
      </c>
      <c r="H6856">
        <v>0.76700000000000002</v>
      </c>
    </row>
    <row r="6857" spans="1:8" x14ac:dyDescent="0.25">
      <c r="A6857" t="s">
        <v>6863</v>
      </c>
      <c r="B6857">
        <v>66001</v>
      </c>
      <c r="C6857">
        <v>7896523163529</v>
      </c>
      <c r="D6857">
        <v>7.99</v>
      </c>
      <c r="E6857">
        <v>3.92</v>
      </c>
      <c r="F6857" s="3">
        <v>0.40149999999999997</v>
      </c>
      <c r="G6857">
        <v>3.0840999999999998</v>
      </c>
      <c r="H6857">
        <v>1.0669999999999999</v>
      </c>
    </row>
    <row r="6858" spans="1:8" x14ac:dyDescent="0.25">
      <c r="A6858" t="s">
        <v>6864</v>
      </c>
      <c r="B6858">
        <v>66002</v>
      </c>
      <c r="C6858">
        <v>7896523163536</v>
      </c>
      <c r="D6858">
        <v>7.99</v>
      </c>
      <c r="E6858">
        <v>3.43</v>
      </c>
      <c r="F6858" s="3">
        <v>0.44880000000000003</v>
      </c>
      <c r="G6858">
        <v>2.7065000000000001</v>
      </c>
      <c r="H6858">
        <v>1.867</v>
      </c>
    </row>
    <row r="6859" spans="1:8" x14ac:dyDescent="0.25">
      <c r="A6859" t="s">
        <v>6865</v>
      </c>
      <c r="B6859">
        <v>66003</v>
      </c>
      <c r="C6859">
        <v>7896523163543</v>
      </c>
      <c r="D6859">
        <v>7.99</v>
      </c>
      <c r="E6859">
        <v>3.91</v>
      </c>
      <c r="F6859" s="3">
        <v>0.40159999999999996</v>
      </c>
      <c r="G6859">
        <v>3.0830000000000002</v>
      </c>
      <c r="H6859">
        <v>2.2999999999999998</v>
      </c>
    </row>
    <row r="6860" spans="1:8" x14ac:dyDescent="0.25">
      <c r="A6860" t="s">
        <v>6866</v>
      </c>
      <c r="B6860">
        <v>66004</v>
      </c>
      <c r="C6860">
        <v>7896523163550</v>
      </c>
      <c r="D6860">
        <v>7.99</v>
      </c>
      <c r="E6860">
        <v>3.91</v>
      </c>
      <c r="F6860" s="3">
        <v>0.40200000000000002</v>
      </c>
      <c r="G6860">
        <v>3.0800999999999998</v>
      </c>
      <c r="H6860">
        <v>1.1000000000000001</v>
      </c>
    </row>
    <row r="6861" spans="1:8" x14ac:dyDescent="0.25">
      <c r="A6861" t="s">
        <v>6867</v>
      </c>
      <c r="B6861">
        <v>66005</v>
      </c>
      <c r="C6861">
        <v>7896523163567</v>
      </c>
      <c r="D6861">
        <v>7.99</v>
      </c>
      <c r="E6861">
        <v>3.89</v>
      </c>
      <c r="F6861" s="3">
        <v>0.40490000000000004</v>
      </c>
      <c r="G6861">
        <v>3.0567000000000002</v>
      </c>
      <c r="H6861">
        <v>1.5</v>
      </c>
    </row>
    <row r="6862" spans="1:8" x14ac:dyDescent="0.25">
      <c r="A6862" t="s">
        <v>6868</v>
      </c>
      <c r="B6862">
        <v>66006</v>
      </c>
      <c r="C6862">
        <v>7896523163574</v>
      </c>
      <c r="D6862">
        <v>7.99</v>
      </c>
      <c r="E6862">
        <v>3.91</v>
      </c>
      <c r="F6862" s="3">
        <v>0.40179999999999999</v>
      </c>
      <c r="G6862">
        <v>3.0817000000000001</v>
      </c>
      <c r="H6862">
        <v>1.367</v>
      </c>
    </row>
    <row r="6863" spans="1:8" x14ac:dyDescent="0.25">
      <c r="A6863" t="s">
        <v>6869</v>
      </c>
      <c r="B6863">
        <v>66007</v>
      </c>
      <c r="C6863">
        <v>7896523163581</v>
      </c>
      <c r="D6863">
        <v>7.99</v>
      </c>
      <c r="E6863">
        <v>3.83</v>
      </c>
      <c r="F6863" s="3">
        <v>0.40909999999999996</v>
      </c>
      <c r="G6863">
        <v>3.0232999999999999</v>
      </c>
      <c r="H6863">
        <v>1.333</v>
      </c>
    </row>
    <row r="6864" spans="1:8" x14ac:dyDescent="0.25">
      <c r="A6864" t="s">
        <v>6870</v>
      </c>
      <c r="B6864">
        <v>66008</v>
      </c>
      <c r="C6864">
        <v>7896523163598</v>
      </c>
      <c r="D6864">
        <v>7.99</v>
      </c>
      <c r="E6864">
        <v>3.91</v>
      </c>
      <c r="F6864" s="3">
        <v>0.40210000000000001</v>
      </c>
      <c r="G6864">
        <v>3.0794999999999999</v>
      </c>
      <c r="H6864">
        <v>0.76700000000000002</v>
      </c>
    </row>
    <row r="6865" spans="1:8" x14ac:dyDescent="0.25">
      <c r="A6865" t="s">
        <v>6871</v>
      </c>
      <c r="B6865">
        <v>66009</v>
      </c>
      <c r="C6865">
        <v>7896523163604</v>
      </c>
      <c r="D6865">
        <v>7.99</v>
      </c>
      <c r="E6865">
        <v>3.92</v>
      </c>
      <c r="F6865" s="3">
        <v>0.40149999999999997</v>
      </c>
      <c r="G6865">
        <v>3.0842000000000001</v>
      </c>
      <c r="H6865">
        <v>0.83299999999999996</v>
      </c>
    </row>
    <row r="6866" spans="1:8" x14ac:dyDescent="0.25">
      <c r="A6866" t="s">
        <v>6872</v>
      </c>
      <c r="B6866">
        <v>66010</v>
      </c>
      <c r="C6866">
        <v>7896523163611</v>
      </c>
      <c r="D6866">
        <v>7.99</v>
      </c>
      <c r="E6866">
        <v>3.89</v>
      </c>
      <c r="F6866" s="3">
        <v>0.4047</v>
      </c>
      <c r="G6866">
        <v>3.0583</v>
      </c>
      <c r="H6866">
        <v>0.76700000000000002</v>
      </c>
    </row>
    <row r="6867" spans="1:8" x14ac:dyDescent="0.25">
      <c r="A6867" t="s">
        <v>6873</v>
      </c>
      <c r="B6867">
        <v>50498</v>
      </c>
      <c r="C6867">
        <v>7896523118215</v>
      </c>
      <c r="D6867">
        <v>13.9</v>
      </c>
      <c r="E6867">
        <v>7.4</v>
      </c>
      <c r="F6867" s="3">
        <v>0.34039999999999998</v>
      </c>
      <c r="G6867">
        <v>5.3814000000000002</v>
      </c>
      <c r="H6867">
        <v>0.8</v>
      </c>
    </row>
    <row r="6868" spans="1:8" x14ac:dyDescent="0.25">
      <c r="A6868" t="s">
        <v>6874</v>
      </c>
      <c r="B6868">
        <v>50500</v>
      </c>
      <c r="C6868">
        <v>7896523118222</v>
      </c>
      <c r="D6868">
        <v>13.9</v>
      </c>
      <c r="E6868">
        <v>7.4</v>
      </c>
      <c r="F6868" s="3">
        <v>0.34039999999999998</v>
      </c>
      <c r="G6868">
        <v>5.3803000000000001</v>
      </c>
      <c r="H6868">
        <v>1.2669999999999999</v>
      </c>
    </row>
    <row r="6869" spans="1:8" x14ac:dyDescent="0.25">
      <c r="A6869" t="s">
        <v>6875</v>
      </c>
      <c r="B6869">
        <v>50499</v>
      </c>
      <c r="C6869">
        <v>7896523118239</v>
      </c>
      <c r="D6869">
        <v>13.9</v>
      </c>
      <c r="E6869">
        <v>7.4</v>
      </c>
      <c r="F6869" s="3">
        <v>0.34049999999999997</v>
      </c>
      <c r="G6869">
        <v>5.3795999999999999</v>
      </c>
      <c r="H6869">
        <v>1.367</v>
      </c>
    </row>
    <row r="6870" spans="1:8" x14ac:dyDescent="0.25">
      <c r="A6870" t="s">
        <v>6876</v>
      </c>
      <c r="B6870">
        <v>50501</v>
      </c>
      <c r="C6870">
        <v>7896523108759</v>
      </c>
      <c r="D6870">
        <v>12.9</v>
      </c>
      <c r="E6870">
        <v>6.68</v>
      </c>
      <c r="F6870" s="3">
        <v>0.35060000000000002</v>
      </c>
      <c r="G6870">
        <v>4.8624999999999998</v>
      </c>
      <c r="H6870">
        <v>0</v>
      </c>
    </row>
    <row r="6871" spans="1:8" x14ac:dyDescent="0.25">
      <c r="A6871" t="s">
        <v>6877</v>
      </c>
      <c r="B6871">
        <v>67769</v>
      </c>
      <c r="C6871">
        <v>7896523141503</v>
      </c>
      <c r="D6871">
        <v>10.9</v>
      </c>
      <c r="E6871">
        <v>6.39</v>
      </c>
      <c r="F6871" s="3">
        <v>0.29399999999999998</v>
      </c>
      <c r="G6871">
        <v>4.7256</v>
      </c>
      <c r="H6871">
        <v>1.3</v>
      </c>
    </row>
    <row r="6872" spans="1:8" x14ac:dyDescent="0.25">
      <c r="A6872" t="s">
        <v>6878</v>
      </c>
      <c r="B6872">
        <v>67768</v>
      </c>
      <c r="C6872">
        <v>7896523141541</v>
      </c>
      <c r="D6872">
        <v>10.9</v>
      </c>
      <c r="E6872">
        <v>6.53</v>
      </c>
      <c r="F6872" s="3">
        <v>0.29189999999999999</v>
      </c>
      <c r="G6872">
        <v>4.7485999999999997</v>
      </c>
      <c r="H6872">
        <v>1.3</v>
      </c>
    </row>
    <row r="6873" spans="1:8" x14ac:dyDescent="0.25">
      <c r="A6873" t="s">
        <v>6879</v>
      </c>
      <c r="B6873">
        <v>67767</v>
      </c>
      <c r="C6873">
        <v>7896523141558</v>
      </c>
      <c r="D6873">
        <v>10.9</v>
      </c>
      <c r="E6873">
        <v>6.53</v>
      </c>
      <c r="F6873" s="3">
        <v>0.2918</v>
      </c>
      <c r="G6873">
        <v>4.7487000000000004</v>
      </c>
      <c r="H6873">
        <v>2.0670000000000002</v>
      </c>
    </row>
    <row r="6874" spans="1:8" x14ac:dyDescent="0.25">
      <c r="A6874" t="s">
        <v>6880</v>
      </c>
      <c r="B6874">
        <v>67555</v>
      </c>
      <c r="C6874">
        <v>7896007922116</v>
      </c>
      <c r="D6874">
        <v>5.9</v>
      </c>
      <c r="E6874">
        <v>2.58</v>
      </c>
      <c r="F6874" s="3">
        <v>0.40899999999999997</v>
      </c>
      <c r="G6874">
        <v>1.8791</v>
      </c>
      <c r="H6874">
        <v>4.867</v>
      </c>
    </row>
    <row r="6875" spans="1:8" x14ac:dyDescent="0.25">
      <c r="A6875" t="s">
        <v>6881</v>
      </c>
      <c r="B6875">
        <v>67556</v>
      </c>
      <c r="C6875">
        <v>7896007922215</v>
      </c>
      <c r="D6875">
        <v>8.9</v>
      </c>
      <c r="E6875">
        <v>3.67</v>
      </c>
      <c r="F6875" s="3">
        <v>0.42729999999999996</v>
      </c>
      <c r="G6875">
        <v>2.6718999999999999</v>
      </c>
      <c r="H6875">
        <v>4</v>
      </c>
    </row>
    <row r="6876" spans="1:8" x14ac:dyDescent="0.25">
      <c r="A6876" t="s">
        <v>6882</v>
      </c>
      <c r="B6876">
        <v>31842</v>
      </c>
      <c r="C6876">
        <v>7896017470409</v>
      </c>
      <c r="D6876">
        <v>6.9</v>
      </c>
      <c r="E6876">
        <v>3.88</v>
      </c>
      <c r="F6876" s="3">
        <v>0.31819999999999998</v>
      </c>
      <c r="G6876">
        <v>2.8239000000000001</v>
      </c>
      <c r="H6876">
        <v>0.5</v>
      </c>
    </row>
    <row r="6877" spans="1:8" x14ac:dyDescent="0.25">
      <c r="A6877" t="s">
        <v>6883</v>
      </c>
      <c r="B6877">
        <v>12775</v>
      </c>
      <c r="C6877">
        <v>7896017470508</v>
      </c>
      <c r="D6877">
        <v>9.9</v>
      </c>
      <c r="E6877">
        <v>5.62</v>
      </c>
      <c r="F6877" s="3">
        <v>0.31480000000000002</v>
      </c>
      <c r="G6877">
        <v>4.0853999999999999</v>
      </c>
      <c r="H6877">
        <v>3.133</v>
      </c>
    </row>
    <row r="6878" spans="1:8" x14ac:dyDescent="0.25">
      <c r="A6878" t="s">
        <v>6884</v>
      </c>
      <c r="B6878">
        <v>38779</v>
      </c>
      <c r="C6878">
        <v>7898908593310</v>
      </c>
      <c r="D6878">
        <v>5.99</v>
      </c>
      <c r="E6878">
        <v>3.22</v>
      </c>
      <c r="F6878" s="3">
        <v>0.38740000000000002</v>
      </c>
      <c r="G6878">
        <v>2.6962999999999999</v>
      </c>
      <c r="H6878">
        <v>40.366999999999997</v>
      </c>
    </row>
    <row r="6879" spans="1:8" x14ac:dyDescent="0.25">
      <c r="A6879" t="s">
        <v>6885</v>
      </c>
      <c r="B6879">
        <v>68946</v>
      </c>
      <c r="C6879">
        <v>5601024826215</v>
      </c>
      <c r="D6879">
        <v>18.899999999999999</v>
      </c>
      <c r="E6879">
        <v>12.93</v>
      </c>
      <c r="F6879" s="3">
        <v>0.2296</v>
      </c>
      <c r="G6879">
        <v>9.4093999999999998</v>
      </c>
      <c r="H6879">
        <v>0.16700000000000001</v>
      </c>
    </row>
    <row r="6880" spans="1:8" x14ac:dyDescent="0.25">
      <c r="A6880" t="s">
        <v>6886</v>
      </c>
      <c r="B6880">
        <v>6622</v>
      </c>
      <c r="C6880">
        <v>7896048284433</v>
      </c>
      <c r="D6880">
        <v>29.9</v>
      </c>
      <c r="E6880">
        <v>20.5</v>
      </c>
      <c r="F6880" s="3">
        <v>0.2843</v>
      </c>
      <c r="G6880">
        <v>18.634799999999998</v>
      </c>
      <c r="H6880">
        <v>0.73299999999999998</v>
      </c>
    </row>
    <row r="6881" spans="1:8" x14ac:dyDescent="0.25">
      <c r="A6881" t="s">
        <v>6887</v>
      </c>
      <c r="B6881">
        <v>58693</v>
      </c>
      <c r="C6881">
        <v>7896048285225</v>
      </c>
      <c r="D6881">
        <v>29.9</v>
      </c>
      <c r="E6881">
        <v>19.329999999999998</v>
      </c>
      <c r="F6881" s="3">
        <v>0.32030000000000003</v>
      </c>
      <c r="G6881">
        <v>17.5564</v>
      </c>
      <c r="H6881">
        <v>0.36699999999999999</v>
      </c>
    </row>
    <row r="6882" spans="1:8" x14ac:dyDescent="0.25">
      <c r="A6882" t="s">
        <v>6888</v>
      </c>
      <c r="B6882">
        <v>5144</v>
      </c>
      <c r="C6882">
        <v>7896048284075</v>
      </c>
      <c r="D6882">
        <v>24.9</v>
      </c>
      <c r="E6882">
        <v>17.39</v>
      </c>
      <c r="F6882" s="3">
        <v>0.24859999999999999</v>
      </c>
      <c r="G6882">
        <v>14.664099999999999</v>
      </c>
      <c r="H6882">
        <v>1.8</v>
      </c>
    </row>
    <row r="6883" spans="1:8" x14ac:dyDescent="0.25">
      <c r="A6883" t="s">
        <v>6889</v>
      </c>
      <c r="B6883">
        <v>8105</v>
      </c>
      <c r="C6883">
        <v>8001876552442</v>
      </c>
      <c r="D6883">
        <v>26.9</v>
      </c>
      <c r="E6883">
        <v>16.739999999999998</v>
      </c>
      <c r="F6883" s="3">
        <v>0.31640000000000001</v>
      </c>
      <c r="G6883">
        <v>14.0181</v>
      </c>
      <c r="H6883">
        <v>1.833</v>
      </c>
    </row>
    <row r="6884" spans="1:8" x14ac:dyDescent="0.25">
      <c r="A6884" t="s">
        <v>6890</v>
      </c>
      <c r="B6884">
        <v>9324</v>
      </c>
      <c r="C6884">
        <v>5601252109319</v>
      </c>
      <c r="D6884">
        <v>18.899999999999999</v>
      </c>
      <c r="E6884">
        <v>10.11</v>
      </c>
      <c r="F6884" s="3">
        <v>0.38929999999999998</v>
      </c>
      <c r="G6884">
        <v>8.4703999999999997</v>
      </c>
      <c r="H6884">
        <v>3.5</v>
      </c>
    </row>
    <row r="6885" spans="1:8" x14ac:dyDescent="0.25">
      <c r="A6885" t="s">
        <v>6891</v>
      </c>
      <c r="B6885">
        <v>32124</v>
      </c>
      <c r="C6885">
        <v>7898097891242</v>
      </c>
      <c r="D6885">
        <v>24.9</v>
      </c>
      <c r="E6885">
        <v>15.47</v>
      </c>
      <c r="F6885" s="3">
        <v>0.30579999999999996</v>
      </c>
      <c r="G6885">
        <v>13.238300000000001</v>
      </c>
      <c r="H6885">
        <v>0.16700000000000001</v>
      </c>
    </row>
    <row r="6886" spans="1:8" x14ac:dyDescent="0.25">
      <c r="A6886" t="s">
        <v>6892</v>
      </c>
      <c r="B6886">
        <v>5171</v>
      </c>
      <c r="C6886">
        <v>7896048284563</v>
      </c>
      <c r="D6886">
        <v>14.9</v>
      </c>
      <c r="E6886">
        <v>10.41</v>
      </c>
      <c r="F6886" s="3">
        <v>0.25230000000000002</v>
      </c>
      <c r="G6886">
        <v>8.7196999999999996</v>
      </c>
      <c r="H6886">
        <v>1.8</v>
      </c>
    </row>
    <row r="6887" spans="1:8" x14ac:dyDescent="0.25">
      <c r="A6887" t="s">
        <v>6893</v>
      </c>
      <c r="B6887">
        <v>58122</v>
      </c>
      <c r="C6887">
        <v>7896048285539</v>
      </c>
      <c r="D6887">
        <v>30.9</v>
      </c>
      <c r="E6887">
        <v>20.96</v>
      </c>
      <c r="F6887" s="3">
        <v>0.26690000000000003</v>
      </c>
      <c r="G6887">
        <v>17.632300000000001</v>
      </c>
      <c r="H6887">
        <v>0.4</v>
      </c>
    </row>
    <row r="6888" spans="1:8" x14ac:dyDescent="0.25">
      <c r="A6888" t="s">
        <v>6894</v>
      </c>
      <c r="B6888">
        <v>5148</v>
      </c>
      <c r="C6888">
        <v>7896048284556</v>
      </c>
      <c r="D6888">
        <v>13.9</v>
      </c>
      <c r="E6888">
        <v>9.44</v>
      </c>
      <c r="F6888" s="3">
        <v>0.26600000000000001</v>
      </c>
      <c r="G6888">
        <v>7.9440999999999997</v>
      </c>
      <c r="H6888">
        <v>0.5</v>
      </c>
    </row>
    <row r="6889" spans="1:8" x14ac:dyDescent="0.25">
      <c r="A6889" t="s">
        <v>6895</v>
      </c>
      <c r="B6889">
        <v>9293</v>
      </c>
      <c r="C6889">
        <v>7896048284242</v>
      </c>
      <c r="D6889">
        <v>7.99</v>
      </c>
      <c r="E6889">
        <v>5.32</v>
      </c>
      <c r="F6889" s="3">
        <v>0.28120000000000001</v>
      </c>
      <c r="G6889">
        <v>4.4451000000000001</v>
      </c>
      <c r="H6889">
        <v>2.6</v>
      </c>
    </row>
    <row r="6890" spans="1:8" x14ac:dyDescent="0.25">
      <c r="A6890" t="s">
        <v>6896</v>
      </c>
      <c r="B6890">
        <v>9297</v>
      </c>
      <c r="C6890">
        <v>7896048254016</v>
      </c>
      <c r="D6890">
        <v>9.99</v>
      </c>
      <c r="E6890">
        <v>7.03</v>
      </c>
      <c r="F6890" s="3">
        <v>0.24829999999999999</v>
      </c>
      <c r="G6890">
        <v>5.8860999999999999</v>
      </c>
      <c r="H6890">
        <v>2.9670000000000001</v>
      </c>
    </row>
    <row r="6891" spans="1:8" x14ac:dyDescent="0.25">
      <c r="A6891" t="s">
        <v>6897</v>
      </c>
      <c r="B6891">
        <v>13031</v>
      </c>
      <c r="C6891">
        <v>7896048200051</v>
      </c>
      <c r="D6891">
        <v>3.99</v>
      </c>
      <c r="E6891">
        <v>2.73</v>
      </c>
      <c r="F6891" s="3">
        <v>0.26690000000000003</v>
      </c>
      <c r="G6891">
        <v>2.2766000000000002</v>
      </c>
      <c r="H6891">
        <v>66.367000000000004</v>
      </c>
    </row>
    <row r="6892" spans="1:8" x14ac:dyDescent="0.25">
      <c r="A6892" t="s">
        <v>6898</v>
      </c>
      <c r="B6892">
        <v>5096</v>
      </c>
      <c r="C6892">
        <v>7896048284778</v>
      </c>
      <c r="D6892">
        <v>3.99</v>
      </c>
      <c r="E6892">
        <v>2.84</v>
      </c>
      <c r="F6892" s="3">
        <v>0.24239999999999998</v>
      </c>
      <c r="G6892">
        <v>2.3746</v>
      </c>
      <c r="H6892">
        <v>18.867000000000001</v>
      </c>
    </row>
    <row r="6893" spans="1:8" x14ac:dyDescent="0.25">
      <c r="A6893" t="s">
        <v>6899</v>
      </c>
      <c r="B6893">
        <v>9298</v>
      </c>
      <c r="C6893">
        <v>7896048284693</v>
      </c>
      <c r="D6893">
        <v>7.99</v>
      </c>
      <c r="E6893">
        <v>5.57</v>
      </c>
      <c r="F6893" s="3">
        <v>0.252</v>
      </c>
      <c r="G6893">
        <v>4.6778000000000004</v>
      </c>
      <c r="H6893">
        <v>4.5670000000000002</v>
      </c>
    </row>
    <row r="6894" spans="1:8" x14ac:dyDescent="0.25">
      <c r="A6894" t="s">
        <v>6900</v>
      </c>
      <c r="B6894">
        <v>9295</v>
      </c>
      <c r="C6894">
        <v>7896048282484</v>
      </c>
      <c r="D6894">
        <v>7.99</v>
      </c>
      <c r="E6894">
        <v>5.44</v>
      </c>
      <c r="F6894" s="3">
        <v>0.26579999999999998</v>
      </c>
      <c r="G6894">
        <v>4.5678000000000001</v>
      </c>
      <c r="H6894">
        <v>0.76700000000000002</v>
      </c>
    </row>
    <row r="6895" spans="1:8" x14ac:dyDescent="0.25">
      <c r="A6895" t="s">
        <v>6901</v>
      </c>
      <c r="B6895">
        <v>9292</v>
      </c>
      <c r="C6895">
        <v>7896048255013</v>
      </c>
      <c r="D6895">
        <v>7.99</v>
      </c>
      <c r="E6895">
        <v>5.6</v>
      </c>
      <c r="F6895" s="3">
        <v>0.2482</v>
      </c>
      <c r="G6895">
        <v>4.7081999999999997</v>
      </c>
      <c r="H6895">
        <v>11.2</v>
      </c>
    </row>
    <row r="6896" spans="1:8" x14ac:dyDescent="0.25">
      <c r="A6896" t="s">
        <v>6902</v>
      </c>
      <c r="B6896">
        <v>9291</v>
      </c>
      <c r="C6896">
        <v>7896048200105</v>
      </c>
      <c r="D6896">
        <v>11.9</v>
      </c>
      <c r="E6896">
        <v>8.4700000000000006</v>
      </c>
      <c r="F6896" s="3">
        <v>0.24239999999999998</v>
      </c>
      <c r="G6896">
        <v>7.0820999999999996</v>
      </c>
      <c r="H6896">
        <v>19.832999999999998</v>
      </c>
    </row>
    <row r="6897" spans="1:8" x14ac:dyDescent="0.25">
      <c r="A6897" t="s">
        <v>6903</v>
      </c>
      <c r="B6897">
        <v>9296</v>
      </c>
      <c r="C6897">
        <v>7896048258038</v>
      </c>
      <c r="D6897">
        <v>11.9</v>
      </c>
      <c r="E6897">
        <v>7.5</v>
      </c>
      <c r="F6897" s="3">
        <v>0.30930000000000002</v>
      </c>
      <c r="G6897">
        <v>6.2858000000000001</v>
      </c>
      <c r="H6897">
        <v>6.3330000000000002</v>
      </c>
    </row>
    <row r="6898" spans="1:8" x14ac:dyDescent="0.25">
      <c r="A6898" t="s">
        <v>6904</v>
      </c>
      <c r="B6898">
        <v>9299</v>
      </c>
      <c r="C6898">
        <v>7896048258014</v>
      </c>
      <c r="D6898">
        <v>11.9</v>
      </c>
      <c r="E6898">
        <v>7.48</v>
      </c>
      <c r="F6898" s="3">
        <v>0.31120000000000003</v>
      </c>
      <c r="G6898">
        <v>6.2634999999999996</v>
      </c>
      <c r="H6898">
        <v>7.4669999999999996</v>
      </c>
    </row>
    <row r="6899" spans="1:8" x14ac:dyDescent="0.25">
      <c r="A6899" t="s">
        <v>6905</v>
      </c>
      <c r="B6899">
        <v>9327</v>
      </c>
      <c r="C6899">
        <v>5601989002723</v>
      </c>
      <c r="D6899">
        <v>39.9</v>
      </c>
      <c r="E6899">
        <v>27.15</v>
      </c>
      <c r="F6899" s="3">
        <v>0.26640000000000003</v>
      </c>
      <c r="G6899">
        <v>22.785799999999998</v>
      </c>
      <c r="H6899">
        <v>0.2</v>
      </c>
    </row>
    <row r="6900" spans="1:8" x14ac:dyDescent="0.25">
      <c r="A6900" t="s">
        <v>6906</v>
      </c>
      <c r="B6900">
        <v>9329</v>
      </c>
      <c r="C6900">
        <v>5601252105991</v>
      </c>
      <c r="D6900">
        <v>12.9</v>
      </c>
      <c r="E6900">
        <v>7.6</v>
      </c>
      <c r="F6900" s="3">
        <v>0.34439999999999998</v>
      </c>
      <c r="G6900">
        <v>6.3611000000000004</v>
      </c>
      <c r="H6900">
        <v>1.9</v>
      </c>
    </row>
    <row r="6901" spans="1:8" x14ac:dyDescent="0.25">
      <c r="A6901" t="s">
        <v>6907</v>
      </c>
      <c r="B6901">
        <v>9326</v>
      </c>
      <c r="C6901">
        <v>5601252106011</v>
      </c>
      <c r="D6901">
        <v>12.9</v>
      </c>
      <c r="E6901">
        <v>7.6</v>
      </c>
      <c r="F6901" s="3">
        <v>0.34429999999999999</v>
      </c>
      <c r="G6901">
        <v>6.3620000000000001</v>
      </c>
      <c r="H6901">
        <v>1.0329999999999999</v>
      </c>
    </row>
    <row r="6902" spans="1:8" x14ac:dyDescent="0.25">
      <c r="A6902" t="s">
        <v>6908</v>
      </c>
      <c r="B6902">
        <v>14064</v>
      </c>
      <c r="C6902">
        <v>7896007826476</v>
      </c>
      <c r="D6902">
        <v>8.2899999999999991</v>
      </c>
      <c r="E6902">
        <v>5.53</v>
      </c>
      <c r="F6902" s="3">
        <v>0.27889999999999998</v>
      </c>
      <c r="G6902">
        <v>4.6307</v>
      </c>
      <c r="H6902">
        <v>5</v>
      </c>
    </row>
    <row r="6903" spans="1:8" x14ac:dyDescent="0.25">
      <c r="A6903" t="s">
        <v>6909</v>
      </c>
      <c r="B6903">
        <v>67655</v>
      </c>
      <c r="C6903">
        <v>7896196083025</v>
      </c>
      <c r="D6903">
        <v>19.899999999999999</v>
      </c>
      <c r="E6903">
        <v>12.98</v>
      </c>
      <c r="F6903" s="3">
        <v>0.29160000000000003</v>
      </c>
      <c r="G6903">
        <v>10.863899999999999</v>
      </c>
      <c r="H6903">
        <v>0.26700000000000002</v>
      </c>
    </row>
    <row r="6904" spans="1:8" x14ac:dyDescent="0.25">
      <c r="A6904" t="s">
        <v>6910</v>
      </c>
      <c r="B6904">
        <v>63920</v>
      </c>
      <c r="C6904">
        <v>7896196080291</v>
      </c>
      <c r="D6904">
        <v>21.9</v>
      </c>
      <c r="E6904">
        <v>15.3</v>
      </c>
      <c r="F6904" s="3">
        <v>0.24729999999999999</v>
      </c>
      <c r="G6904">
        <v>12.924899999999999</v>
      </c>
      <c r="H6904">
        <v>0.16700000000000001</v>
      </c>
    </row>
    <row r="6905" spans="1:8" x14ac:dyDescent="0.25">
      <c r="A6905" t="s">
        <v>6911</v>
      </c>
      <c r="B6905">
        <v>63917</v>
      </c>
      <c r="C6905">
        <v>7896196080284</v>
      </c>
      <c r="D6905">
        <v>21.9</v>
      </c>
      <c r="E6905">
        <v>15.66</v>
      </c>
      <c r="F6905" s="3">
        <v>0.23870000000000002</v>
      </c>
      <c r="G6905">
        <v>13.1136</v>
      </c>
      <c r="H6905">
        <v>0.26700000000000002</v>
      </c>
    </row>
    <row r="6906" spans="1:8" x14ac:dyDescent="0.25">
      <c r="A6906" t="s">
        <v>6912</v>
      </c>
      <c r="B6906">
        <v>65446</v>
      </c>
      <c r="C6906">
        <v>7896256066005</v>
      </c>
      <c r="D6906">
        <v>11.9</v>
      </c>
      <c r="E6906">
        <v>7.52</v>
      </c>
      <c r="F6906" s="3">
        <v>0.30380000000000001</v>
      </c>
      <c r="G6906">
        <v>6.3510999999999997</v>
      </c>
      <c r="H6906">
        <v>0.9</v>
      </c>
    </row>
    <row r="6907" spans="1:8" x14ac:dyDescent="0.25">
      <c r="A6907" t="s">
        <v>6913</v>
      </c>
      <c r="B6907">
        <v>39300</v>
      </c>
      <c r="C6907">
        <v>7898434400199</v>
      </c>
      <c r="D6907">
        <v>31.9</v>
      </c>
      <c r="E6907">
        <v>20.329999999999998</v>
      </c>
      <c r="F6907" s="3">
        <v>0.30359999999999998</v>
      </c>
      <c r="G6907">
        <v>17.031300000000002</v>
      </c>
      <c r="H6907">
        <v>0.4</v>
      </c>
    </row>
    <row r="6908" spans="1:8" x14ac:dyDescent="0.25">
      <c r="A6908" t="s">
        <v>6914</v>
      </c>
      <c r="B6908">
        <v>32122</v>
      </c>
      <c r="C6908">
        <v>7898097891136</v>
      </c>
      <c r="D6908">
        <v>19.899999999999999</v>
      </c>
      <c r="E6908">
        <v>11.01</v>
      </c>
      <c r="F6908" s="3">
        <v>0.35460000000000003</v>
      </c>
      <c r="G6908">
        <v>9.6090999999999998</v>
      </c>
      <c r="H6908">
        <v>0.16700000000000001</v>
      </c>
    </row>
    <row r="6909" spans="1:8" x14ac:dyDescent="0.25">
      <c r="A6909" t="s">
        <v>6915</v>
      </c>
      <c r="B6909">
        <v>38777</v>
      </c>
      <c r="C6909">
        <v>7898908593020</v>
      </c>
      <c r="D6909">
        <v>29.9</v>
      </c>
      <c r="E6909">
        <v>19.34</v>
      </c>
      <c r="F6909" s="3">
        <v>0.29559999999999997</v>
      </c>
      <c r="G6909">
        <v>16.202100000000002</v>
      </c>
      <c r="H6909">
        <v>4.867</v>
      </c>
    </row>
    <row r="6910" spans="1:8" x14ac:dyDescent="0.25">
      <c r="A6910" t="s">
        <v>6916</v>
      </c>
      <c r="B6910">
        <v>61129</v>
      </c>
      <c r="C6910">
        <v>7898097891518</v>
      </c>
      <c r="D6910">
        <v>21.9</v>
      </c>
      <c r="E6910">
        <v>14.8</v>
      </c>
      <c r="F6910" s="3">
        <v>0.27129999999999999</v>
      </c>
      <c r="G6910">
        <v>12.400499999999999</v>
      </c>
      <c r="H6910">
        <v>1.7330000000000001</v>
      </c>
    </row>
    <row r="6911" spans="1:8" x14ac:dyDescent="0.25">
      <c r="A6911" t="s">
        <v>6917</v>
      </c>
      <c r="B6911">
        <v>61130</v>
      </c>
      <c r="C6911">
        <v>7898097891587</v>
      </c>
      <c r="D6911">
        <v>16.899999999999999</v>
      </c>
      <c r="E6911">
        <v>9.98</v>
      </c>
      <c r="F6911" s="3">
        <v>0.33850000000000002</v>
      </c>
      <c r="G6911">
        <v>8.4337999999999997</v>
      </c>
      <c r="H6911">
        <v>3.3000000000000002E-2</v>
      </c>
    </row>
    <row r="6912" spans="1:8" x14ac:dyDescent="0.25">
      <c r="A6912" t="s">
        <v>6918</v>
      </c>
      <c r="B6912">
        <v>66695</v>
      </c>
      <c r="C6912">
        <v>7898097891570</v>
      </c>
      <c r="D6912">
        <v>36.9</v>
      </c>
      <c r="E6912">
        <v>22.98</v>
      </c>
      <c r="F6912" s="3">
        <v>0.27440000000000003</v>
      </c>
      <c r="G6912">
        <v>16.718800000000002</v>
      </c>
      <c r="H6912">
        <v>0.6</v>
      </c>
    </row>
    <row r="6913" spans="1:8" x14ac:dyDescent="0.25">
      <c r="A6913" t="s">
        <v>6919</v>
      </c>
      <c r="B6913">
        <v>55344</v>
      </c>
      <c r="C6913">
        <v>7898097891310</v>
      </c>
      <c r="D6913">
        <v>25.9</v>
      </c>
      <c r="E6913">
        <v>16.98</v>
      </c>
      <c r="F6913" s="3">
        <v>0.28499999999999998</v>
      </c>
      <c r="G6913">
        <v>14.3093</v>
      </c>
      <c r="H6913">
        <v>1.9670000000000001</v>
      </c>
    </row>
    <row r="6914" spans="1:8" x14ac:dyDescent="0.25">
      <c r="A6914" t="s">
        <v>6920</v>
      </c>
      <c r="B6914">
        <v>23739</v>
      </c>
      <c r="C6914">
        <v>7898434400120</v>
      </c>
      <c r="D6914">
        <v>6.99</v>
      </c>
      <c r="E6914">
        <v>4.1500000000000004</v>
      </c>
      <c r="F6914" s="3">
        <v>0.34</v>
      </c>
      <c r="G6914">
        <v>3.4773000000000001</v>
      </c>
      <c r="H6914">
        <v>1.4670000000000001</v>
      </c>
    </row>
    <row r="6915" spans="1:8" x14ac:dyDescent="0.25">
      <c r="A6915" t="s">
        <v>6921</v>
      </c>
      <c r="B6915">
        <v>23742</v>
      </c>
      <c r="C6915">
        <v>7898434400090</v>
      </c>
      <c r="D6915">
        <v>4.9000000000000004</v>
      </c>
      <c r="E6915">
        <v>2.75</v>
      </c>
      <c r="F6915" s="3">
        <v>0.36729999999999996</v>
      </c>
      <c r="G6915">
        <v>2.3039000000000001</v>
      </c>
      <c r="H6915">
        <v>0.8</v>
      </c>
    </row>
    <row r="6916" spans="1:8" x14ac:dyDescent="0.25">
      <c r="A6916" t="s">
        <v>6922</v>
      </c>
      <c r="B6916">
        <v>23740</v>
      </c>
      <c r="C6916">
        <v>7898434400014</v>
      </c>
      <c r="D6916">
        <v>9.9</v>
      </c>
      <c r="E6916">
        <v>5.98</v>
      </c>
      <c r="F6916" s="3">
        <v>0.33169999999999999</v>
      </c>
      <c r="G6916">
        <v>5.0073999999999996</v>
      </c>
      <c r="H6916">
        <v>1.4</v>
      </c>
    </row>
    <row r="6917" spans="1:8" x14ac:dyDescent="0.25">
      <c r="A6917" t="s">
        <v>6923</v>
      </c>
      <c r="B6917">
        <v>38778</v>
      </c>
      <c r="C6917">
        <v>7898908593174</v>
      </c>
      <c r="D6917">
        <v>15.9</v>
      </c>
      <c r="E6917">
        <v>8.92</v>
      </c>
      <c r="F6917" s="3">
        <v>0.36780000000000002</v>
      </c>
      <c r="G6917">
        <v>7.4682000000000004</v>
      </c>
      <c r="H6917">
        <v>2.2669999999999999</v>
      </c>
    </row>
    <row r="6918" spans="1:8" x14ac:dyDescent="0.25">
      <c r="A6918" t="s">
        <v>6924</v>
      </c>
      <c r="B6918">
        <v>26280</v>
      </c>
      <c r="C6918">
        <v>7898629611607</v>
      </c>
      <c r="D6918">
        <v>6.99</v>
      </c>
      <c r="E6918">
        <v>2.9</v>
      </c>
      <c r="F6918" s="3">
        <v>0.48009999999999997</v>
      </c>
      <c r="G6918">
        <v>2.3759999999999999</v>
      </c>
      <c r="H6918">
        <v>3.9</v>
      </c>
    </row>
    <row r="6919" spans="1:8" x14ac:dyDescent="0.25">
      <c r="A6919" t="s">
        <v>6925</v>
      </c>
      <c r="B6919">
        <v>22011</v>
      </c>
      <c r="C6919">
        <v>7896019607636</v>
      </c>
      <c r="D6919">
        <v>16.420000000000002</v>
      </c>
      <c r="E6919">
        <v>12.72</v>
      </c>
      <c r="F6919" s="3">
        <v>0.2046</v>
      </c>
      <c r="G6919">
        <v>11.540800000000001</v>
      </c>
      <c r="H6919">
        <v>10.867000000000001</v>
      </c>
    </row>
    <row r="6920" spans="1:8" x14ac:dyDescent="0.25">
      <c r="A6920" t="s">
        <v>6926</v>
      </c>
      <c r="B6920">
        <v>19763</v>
      </c>
      <c r="C6920">
        <v>7899637600072</v>
      </c>
      <c r="D6920">
        <v>11.9</v>
      </c>
      <c r="E6920">
        <v>5.98</v>
      </c>
      <c r="F6920" s="3">
        <v>0.36170000000000002</v>
      </c>
      <c r="G6920">
        <v>4.3532000000000002</v>
      </c>
      <c r="H6920">
        <v>1.3</v>
      </c>
    </row>
    <row r="6921" spans="1:8" x14ac:dyDescent="0.25">
      <c r="A6921" t="s">
        <v>6927</v>
      </c>
      <c r="B6921">
        <v>31814</v>
      </c>
      <c r="C6921">
        <v>7896007887323</v>
      </c>
      <c r="D6921">
        <v>16.899999999999999</v>
      </c>
      <c r="E6921">
        <v>8.5500000000000007</v>
      </c>
      <c r="F6921" s="3">
        <v>0.47159999999999996</v>
      </c>
      <c r="G6921">
        <v>7.3665000000000003</v>
      </c>
      <c r="H6921">
        <v>1.0669999999999999</v>
      </c>
    </row>
    <row r="6922" spans="1:8" x14ac:dyDescent="0.25">
      <c r="A6922" t="s">
        <v>6928</v>
      </c>
      <c r="B6922">
        <v>66525</v>
      </c>
      <c r="C6922">
        <v>6532002505</v>
      </c>
      <c r="D6922">
        <v>79.900000000000006</v>
      </c>
      <c r="E6922">
        <v>54.75</v>
      </c>
      <c r="F6922" s="3">
        <v>0.22899999999999998</v>
      </c>
      <c r="G6922">
        <v>39.830800000000004</v>
      </c>
      <c r="H6922">
        <v>0.2</v>
      </c>
    </row>
    <row r="6923" spans="1:8" x14ac:dyDescent="0.25">
      <c r="A6923" t="s">
        <v>6929</v>
      </c>
      <c r="B6923">
        <v>65587</v>
      </c>
      <c r="C6923">
        <v>7896175322206</v>
      </c>
      <c r="D6923">
        <v>22.9</v>
      </c>
      <c r="E6923">
        <v>17.89</v>
      </c>
      <c r="F6923" s="3">
        <v>0.1986</v>
      </c>
      <c r="G6923">
        <v>16.234300000000001</v>
      </c>
      <c r="H6923">
        <v>0.3</v>
      </c>
    </row>
    <row r="6924" spans="1:8" x14ac:dyDescent="0.25">
      <c r="A6924" t="s">
        <v>6930</v>
      </c>
      <c r="B6924">
        <v>65586</v>
      </c>
      <c r="C6924">
        <v>7896175310036</v>
      </c>
      <c r="D6924">
        <v>22.9</v>
      </c>
      <c r="E6924">
        <v>17.89</v>
      </c>
      <c r="F6924" s="3">
        <v>0.1986</v>
      </c>
      <c r="G6924">
        <v>16.2349</v>
      </c>
      <c r="H6924">
        <v>0.3</v>
      </c>
    </row>
  </sheetData>
  <autoFilter ref="A1:H6924" xr:uid="{FE4E86F1-765C-4BC5-83A9-2DF6E0ED72FA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B5951-1889-4EA5-9207-CF30B7F9A2DC}">
  <sheetPr codeName="Planilha1"/>
  <dimension ref="A1:L8"/>
  <sheetViews>
    <sheetView workbookViewId="0">
      <selection activeCell="C38" sqref="C38"/>
    </sheetView>
  </sheetViews>
  <sheetFormatPr defaultRowHeight="15" x14ac:dyDescent="0.25"/>
  <cols>
    <col min="1" max="1" width="44.140625" customWidth="1"/>
    <col min="2" max="2" width="36.28515625" hidden="1" customWidth="1"/>
    <col min="4" max="4" width="9.5703125" bestFit="1" customWidth="1"/>
    <col min="5" max="5" width="10.5703125" bestFit="1" customWidth="1"/>
    <col min="7" max="7" width="11.7109375" bestFit="1" customWidth="1"/>
    <col min="8" max="8" width="14.28515625" bestFit="1" customWidth="1"/>
    <col min="9" max="9" width="4.85546875" bestFit="1" customWidth="1"/>
    <col min="11" max="11" width="11.5703125" bestFit="1" customWidth="1"/>
  </cols>
  <sheetData>
    <row r="1" spans="1:12" x14ac:dyDescent="0.25">
      <c r="A1" s="16" t="s">
        <v>6931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2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x14ac:dyDescent="0.25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</row>
    <row r="4" spans="1:12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spans="1:12" ht="18.75" x14ac:dyDescent="0.3">
      <c r="A5" s="15" t="s">
        <v>6943</v>
      </c>
      <c r="B5" s="15"/>
      <c r="C5" s="15"/>
      <c r="D5" s="15" t="s">
        <v>6942</v>
      </c>
      <c r="E5" s="15"/>
      <c r="F5" s="15"/>
      <c r="G5" s="15" t="s">
        <v>6944</v>
      </c>
      <c r="H5" s="15"/>
      <c r="I5" s="7" t="s">
        <v>6945</v>
      </c>
      <c r="J5" s="15" t="s">
        <v>6947</v>
      </c>
      <c r="K5" s="15"/>
      <c r="L5" s="7" t="s">
        <v>6945</v>
      </c>
    </row>
    <row r="6" spans="1:12" x14ac:dyDescent="0.25">
      <c r="A6" s="14" t="s">
        <v>6932</v>
      </c>
      <c r="B6" s="8"/>
      <c r="C6" s="14" t="s">
        <v>6933</v>
      </c>
      <c r="D6" s="14" t="s">
        <v>6934</v>
      </c>
      <c r="E6" s="14" t="s">
        <v>6935</v>
      </c>
      <c r="F6" s="14" t="s">
        <v>6936</v>
      </c>
      <c r="G6" s="14" t="s">
        <v>6937</v>
      </c>
      <c r="H6" s="14" t="s">
        <v>6938</v>
      </c>
      <c r="I6" s="14" t="s">
        <v>6939</v>
      </c>
      <c r="J6" s="14" t="s">
        <v>6941</v>
      </c>
      <c r="K6" s="14" t="s">
        <v>6946</v>
      </c>
      <c r="L6" s="14" t="s">
        <v>6940</v>
      </c>
    </row>
    <row r="7" spans="1:12" ht="12" customHeight="1" x14ac:dyDescent="0.25">
      <c r="A7" s="14"/>
      <c r="B7" s="8"/>
      <c r="C7" s="14"/>
      <c r="D7" s="14"/>
      <c r="E7" s="14"/>
      <c r="F7" s="14"/>
      <c r="G7" s="14"/>
      <c r="H7" s="14"/>
      <c r="I7" s="14"/>
      <c r="J7" s="14"/>
      <c r="K7" s="14"/>
      <c r="L7" s="14"/>
    </row>
    <row r="8" spans="1:12" ht="18.75" customHeight="1" x14ac:dyDescent="0.25">
      <c r="B8" t="s">
        <v>1856</v>
      </c>
      <c r="C8">
        <f>IFERROR(VLOOKUP(B8,Planilha1!A:B,2,0),"-")</f>
        <v>5961</v>
      </c>
      <c r="D8" s="2">
        <f>VLOOKUP(C8,Planilha1!B:D,3,0)</f>
        <v>6.49</v>
      </c>
      <c r="E8">
        <v>4.99</v>
      </c>
      <c r="F8">
        <f>VLOOKUP(C8,Planilha1!B:E,4,0)-L8</f>
        <v>4.28</v>
      </c>
      <c r="G8" s="4">
        <f>D8-F8</f>
        <v>2.21</v>
      </c>
      <c r="H8">
        <f>IFERROR(E8-F8,"-")</f>
        <v>0.71</v>
      </c>
      <c r="I8" s="5">
        <f>IFERROR(G8/H8,"-")</f>
        <v>3.1126760563380285</v>
      </c>
      <c r="J8" s="6">
        <f>IFERROR(G8/D8,"-")</f>
        <v>0.34052388289676422</v>
      </c>
      <c r="K8" s="6">
        <f>IFERROR(H8/E8,"-")</f>
        <v>0.14228456913827653</v>
      </c>
      <c r="L8">
        <v>0.7</v>
      </c>
    </row>
  </sheetData>
  <mergeCells count="16">
    <mergeCell ref="A1:L4"/>
    <mergeCell ref="A6:A7"/>
    <mergeCell ref="C6:C7"/>
    <mergeCell ref="D6:D7"/>
    <mergeCell ref="E6:E7"/>
    <mergeCell ref="F6:F7"/>
    <mergeCell ref="G6:G7"/>
    <mergeCell ref="H6:H7"/>
    <mergeCell ref="I6:I7"/>
    <mergeCell ref="L6:L7"/>
    <mergeCell ref="K6:K7"/>
    <mergeCell ref="A5:C5"/>
    <mergeCell ref="D5:F5"/>
    <mergeCell ref="G5:H5"/>
    <mergeCell ref="J6:J7"/>
    <mergeCell ref="J5:K5"/>
  </mergeCells>
  <pageMargins left="0.511811024" right="0.511811024" top="0.78740157499999996" bottom="0.78740157499999996" header="0.31496062000000002" footer="0.31496062000000002"/>
  <drawing r:id="rId1"/>
  <legacyDrawing r:id="rId2"/>
  <controls>
    <mc:AlternateContent xmlns:mc="http://schemas.openxmlformats.org/markup-compatibility/2006">
      <mc:Choice Requires="x14">
        <control shapeId="1025" r:id="rId3" name="ComboBox1">
          <controlPr defaultSize="0" autoLine="0" autoPict="0" linkedCell="B8" listFillRange="PRODUTO" r:id="rId4">
            <anchor moveWithCells="1">
              <from>
                <xdr:col>0</xdr:col>
                <xdr:colOff>0</xdr:colOff>
                <xdr:row>6</xdr:row>
                <xdr:rowOff>152400</xdr:rowOff>
              </from>
              <to>
                <xdr:col>0</xdr:col>
                <xdr:colOff>2943225</xdr:colOff>
                <xdr:row>8</xdr:row>
                <xdr:rowOff>66675</xdr:rowOff>
              </to>
            </anchor>
          </controlPr>
        </control>
      </mc:Choice>
      <mc:Fallback>
        <control shapeId="1025" r:id="rId3" name="ComboBox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BE3D-A514-4D16-B354-EA30310B0554}">
  <sheetPr codeName="Planilha4"/>
  <dimension ref="A1:M1875"/>
  <sheetViews>
    <sheetView topLeftCell="B1" workbookViewId="0">
      <selection activeCell="L15" sqref="L15"/>
    </sheetView>
  </sheetViews>
  <sheetFormatPr defaultRowHeight="15" x14ac:dyDescent="0.25"/>
  <cols>
    <col min="1" max="1" width="57.7109375" bestFit="1" customWidth="1"/>
    <col min="2" max="2" width="14.85546875" bestFit="1" customWidth="1"/>
    <col min="3" max="3" width="13.85546875" bestFit="1" customWidth="1"/>
    <col min="4" max="4" width="17.7109375" bestFit="1" customWidth="1"/>
    <col min="5" max="5" width="15.5703125" bestFit="1" customWidth="1"/>
    <col min="6" max="6" width="13.85546875" bestFit="1" customWidth="1"/>
    <col min="7" max="7" width="17.42578125" bestFit="1" customWidth="1"/>
    <col min="8" max="8" width="14.28515625" bestFit="1" customWidth="1"/>
    <col min="11" max="11" width="14.85546875" bestFit="1" customWidth="1"/>
    <col min="12" max="12" width="57.7109375" bestFit="1" customWidth="1"/>
    <col min="13" max="13" width="14.28515625" bestFit="1" customWidth="1"/>
  </cols>
  <sheetData>
    <row r="1" spans="1:13" x14ac:dyDescent="0.25">
      <c r="B1" s="16" t="s">
        <v>8838</v>
      </c>
      <c r="C1" s="16"/>
      <c r="D1" s="16"/>
      <c r="E1" s="16"/>
      <c r="F1" s="16"/>
      <c r="G1" s="16"/>
      <c r="H1" s="16"/>
      <c r="K1" s="16" t="s">
        <v>8839</v>
      </c>
      <c r="L1" s="16"/>
      <c r="M1" s="16"/>
    </row>
    <row r="2" spans="1:13" x14ac:dyDescent="0.25">
      <c r="A2" t="s">
        <v>1</v>
      </c>
      <c r="B2" t="s">
        <v>0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K2" t="s">
        <v>0</v>
      </c>
      <c r="L2" t="s">
        <v>1</v>
      </c>
      <c r="M2" t="s">
        <v>7</v>
      </c>
    </row>
    <row r="3" spans="1:13" x14ac:dyDescent="0.25">
      <c r="A3" t="s">
        <v>6948</v>
      </c>
      <c r="D3">
        <v>67.45</v>
      </c>
      <c r="E3">
        <v>187.33</v>
      </c>
      <c r="F3">
        <v>27.14</v>
      </c>
      <c r="G3">
        <v>29.668099999999999</v>
      </c>
      <c r="H3" s="1">
        <v>1025.318</v>
      </c>
      <c r="L3" t="s">
        <v>6948</v>
      </c>
      <c r="M3">
        <v>641.96600000000001</v>
      </c>
    </row>
    <row r="4" spans="1:13" x14ac:dyDescent="0.25">
      <c r="A4" t="s">
        <v>6949</v>
      </c>
      <c r="B4">
        <v>34430</v>
      </c>
      <c r="C4">
        <v>7898280300520</v>
      </c>
      <c r="D4">
        <v>59.9</v>
      </c>
      <c r="E4">
        <v>34.65</v>
      </c>
      <c r="F4">
        <v>38.229999999999997</v>
      </c>
      <c r="G4">
        <v>31.459800000000001</v>
      </c>
      <c r="H4">
        <v>3.3000000000000002E-2</v>
      </c>
      <c r="K4">
        <v>34430</v>
      </c>
      <c r="L4" t="s">
        <v>6949</v>
      </c>
      <c r="M4">
        <v>3.3000000000000002E-2</v>
      </c>
    </row>
    <row r="5" spans="1:13" x14ac:dyDescent="0.25">
      <c r="A5" t="s">
        <v>6950</v>
      </c>
      <c r="B5">
        <v>66876</v>
      </c>
      <c r="C5">
        <v>5601193300127</v>
      </c>
      <c r="D5">
        <v>289.89999999999998</v>
      </c>
      <c r="E5">
        <v>202.95</v>
      </c>
      <c r="F5">
        <v>27.22</v>
      </c>
      <c r="G5">
        <v>184.18109999999999</v>
      </c>
      <c r="H5">
        <v>0</v>
      </c>
      <c r="K5">
        <v>66876</v>
      </c>
      <c r="L5" t="s">
        <v>6950</v>
      </c>
      <c r="M5">
        <v>0</v>
      </c>
    </row>
    <row r="6" spans="1:13" x14ac:dyDescent="0.25">
      <c r="A6" t="s">
        <v>6951</v>
      </c>
      <c r="B6">
        <v>2919</v>
      </c>
      <c r="C6">
        <v>7896002100014</v>
      </c>
      <c r="D6">
        <v>16.899999999999999</v>
      </c>
      <c r="E6">
        <v>10.220000000000001</v>
      </c>
      <c r="F6">
        <v>35.97</v>
      </c>
      <c r="G6">
        <v>9.2584</v>
      </c>
      <c r="H6">
        <v>5.867</v>
      </c>
      <c r="K6">
        <v>2919</v>
      </c>
      <c r="L6" t="s">
        <v>6951</v>
      </c>
      <c r="M6">
        <v>5.4669999999999996</v>
      </c>
    </row>
    <row r="7" spans="1:13" x14ac:dyDescent="0.25">
      <c r="A7" t="s">
        <v>6952</v>
      </c>
      <c r="B7">
        <v>13299</v>
      </c>
      <c r="C7">
        <v>7891050001108</v>
      </c>
      <c r="D7">
        <v>34.9</v>
      </c>
      <c r="E7">
        <v>26.6</v>
      </c>
      <c r="F7">
        <v>18.850000000000001</v>
      </c>
      <c r="G7">
        <v>25.091999999999999</v>
      </c>
      <c r="H7">
        <v>1.167</v>
      </c>
      <c r="K7">
        <v>13299</v>
      </c>
      <c r="L7" t="s">
        <v>6952</v>
      </c>
      <c r="M7">
        <v>1.0669999999999999</v>
      </c>
    </row>
    <row r="8" spans="1:13" x14ac:dyDescent="0.25">
      <c r="A8" t="s">
        <v>6953</v>
      </c>
      <c r="B8">
        <v>33404</v>
      </c>
      <c r="C8">
        <v>7896383730107</v>
      </c>
      <c r="D8">
        <v>99.9</v>
      </c>
      <c r="E8">
        <v>73.05</v>
      </c>
      <c r="F8">
        <v>23.97</v>
      </c>
      <c r="G8">
        <v>66.709999999999994</v>
      </c>
      <c r="H8">
        <v>0.23300000000000001</v>
      </c>
      <c r="K8">
        <v>33404</v>
      </c>
      <c r="L8" t="s">
        <v>6953</v>
      </c>
      <c r="M8">
        <v>0.36699999999999999</v>
      </c>
    </row>
    <row r="9" spans="1:13" x14ac:dyDescent="0.25">
      <c r="A9" t="s">
        <v>6954</v>
      </c>
      <c r="B9">
        <v>33403</v>
      </c>
      <c r="C9">
        <v>7896383730114</v>
      </c>
      <c r="D9">
        <v>139.9</v>
      </c>
      <c r="E9">
        <v>104.17</v>
      </c>
      <c r="F9">
        <v>23.42</v>
      </c>
      <c r="G9">
        <v>94.199100000000001</v>
      </c>
      <c r="H9">
        <v>3.3000000000000002E-2</v>
      </c>
      <c r="K9">
        <v>33403</v>
      </c>
      <c r="L9" t="s">
        <v>6954</v>
      </c>
      <c r="M9">
        <v>3.3000000000000002E-2</v>
      </c>
    </row>
    <row r="10" spans="1:13" x14ac:dyDescent="0.25">
      <c r="A10" t="s">
        <v>6955</v>
      </c>
      <c r="B10">
        <v>14915</v>
      </c>
      <c r="C10">
        <v>7896383700681</v>
      </c>
      <c r="D10">
        <v>34.9</v>
      </c>
      <c r="E10">
        <v>23.68</v>
      </c>
      <c r="F10">
        <v>28.82</v>
      </c>
      <c r="G10">
        <v>21.613</v>
      </c>
      <c r="H10">
        <v>0.83299999999999996</v>
      </c>
      <c r="K10">
        <v>14915</v>
      </c>
      <c r="L10" t="s">
        <v>6955</v>
      </c>
      <c r="M10">
        <v>0.76700000000000002</v>
      </c>
    </row>
    <row r="11" spans="1:13" x14ac:dyDescent="0.25">
      <c r="A11" t="s">
        <v>6956</v>
      </c>
      <c r="B11">
        <v>2916</v>
      </c>
      <c r="C11">
        <v>7896383700704</v>
      </c>
      <c r="D11">
        <v>59.9</v>
      </c>
      <c r="E11">
        <v>33.93</v>
      </c>
      <c r="F11">
        <v>36.11</v>
      </c>
      <c r="G11">
        <v>32.728000000000002</v>
      </c>
      <c r="H11">
        <v>0.16700000000000001</v>
      </c>
      <c r="K11">
        <v>2916</v>
      </c>
      <c r="L11" t="s">
        <v>6956</v>
      </c>
      <c r="M11">
        <v>0.16700000000000001</v>
      </c>
    </row>
    <row r="12" spans="1:13" x14ac:dyDescent="0.25">
      <c r="A12" t="s">
        <v>6957</v>
      </c>
      <c r="B12">
        <v>18521</v>
      </c>
      <c r="C12">
        <v>7896383730152</v>
      </c>
      <c r="D12">
        <v>29.9</v>
      </c>
      <c r="E12">
        <v>19.73</v>
      </c>
      <c r="F12">
        <v>31.05</v>
      </c>
      <c r="G12">
        <v>17.851600000000001</v>
      </c>
      <c r="H12">
        <v>0.66700000000000004</v>
      </c>
      <c r="K12">
        <v>18521</v>
      </c>
      <c r="L12" t="s">
        <v>6957</v>
      </c>
      <c r="M12">
        <v>0.66700000000000004</v>
      </c>
    </row>
    <row r="13" spans="1:13" x14ac:dyDescent="0.25">
      <c r="A13" t="s">
        <v>6958</v>
      </c>
      <c r="B13">
        <v>59569</v>
      </c>
      <c r="C13">
        <v>7893220282072</v>
      </c>
      <c r="D13">
        <v>159.9</v>
      </c>
      <c r="E13">
        <v>111.23</v>
      </c>
      <c r="F13">
        <v>22.14</v>
      </c>
      <c r="G13">
        <v>80.917599999999993</v>
      </c>
      <c r="H13">
        <v>0</v>
      </c>
      <c r="K13">
        <v>59569</v>
      </c>
      <c r="L13" t="s">
        <v>6958</v>
      </c>
      <c r="M13">
        <v>0</v>
      </c>
    </row>
    <row r="14" spans="1:13" x14ac:dyDescent="0.25">
      <c r="A14" t="s">
        <v>6959</v>
      </c>
      <c r="B14">
        <v>21924</v>
      </c>
      <c r="C14">
        <v>7891136057012</v>
      </c>
      <c r="D14">
        <v>54.9</v>
      </c>
      <c r="E14">
        <v>31.28</v>
      </c>
      <c r="F14">
        <v>39.47</v>
      </c>
      <c r="G14">
        <v>28.151399999999999</v>
      </c>
      <c r="H14">
        <v>3</v>
      </c>
      <c r="K14">
        <v>21924</v>
      </c>
      <c r="L14" t="s">
        <v>6959</v>
      </c>
      <c r="M14">
        <v>2.6669999999999998</v>
      </c>
    </row>
    <row r="15" spans="1:13" x14ac:dyDescent="0.25">
      <c r="A15" t="s">
        <v>6960</v>
      </c>
      <c r="B15">
        <v>34429</v>
      </c>
      <c r="C15">
        <v>7898280301510</v>
      </c>
      <c r="D15">
        <v>59.9</v>
      </c>
      <c r="E15">
        <v>33.54</v>
      </c>
      <c r="F15">
        <v>40.200000000000003</v>
      </c>
      <c r="G15">
        <v>30.2788</v>
      </c>
      <c r="H15">
        <v>6.7000000000000004E-2</v>
      </c>
      <c r="K15">
        <v>34429</v>
      </c>
      <c r="L15" t="s">
        <v>6960</v>
      </c>
      <c r="M15">
        <v>6.7000000000000004E-2</v>
      </c>
    </row>
    <row r="16" spans="1:13" x14ac:dyDescent="0.25">
      <c r="A16" t="s">
        <v>6961</v>
      </c>
      <c r="B16">
        <v>13286</v>
      </c>
      <c r="C16">
        <v>7898911010019</v>
      </c>
      <c r="D16">
        <v>79.900000000000006</v>
      </c>
      <c r="E16">
        <v>49.52</v>
      </c>
      <c r="F16">
        <v>33.56</v>
      </c>
      <c r="G16">
        <v>45.692900000000002</v>
      </c>
      <c r="H16">
        <v>0.36699999999999999</v>
      </c>
      <c r="K16">
        <v>13286</v>
      </c>
      <c r="L16" t="s">
        <v>6961</v>
      </c>
      <c r="M16">
        <v>0.36699999999999999</v>
      </c>
    </row>
    <row r="17" spans="1:13" x14ac:dyDescent="0.25">
      <c r="A17" t="s">
        <v>6962</v>
      </c>
      <c r="B17">
        <v>13288</v>
      </c>
      <c r="C17">
        <v>7896010006308</v>
      </c>
      <c r="D17">
        <v>54.9</v>
      </c>
      <c r="E17">
        <v>36.299999999999997</v>
      </c>
      <c r="F17">
        <v>30.87</v>
      </c>
      <c r="G17">
        <v>32.872199999999999</v>
      </c>
      <c r="H17">
        <v>5.4669999999999996</v>
      </c>
      <c r="K17">
        <v>13288</v>
      </c>
      <c r="L17" t="s">
        <v>6962</v>
      </c>
      <c r="M17">
        <v>5.0999999999999996</v>
      </c>
    </row>
    <row r="18" spans="1:13" x14ac:dyDescent="0.25">
      <c r="A18" t="s">
        <v>6963</v>
      </c>
      <c r="B18">
        <v>59462</v>
      </c>
      <c r="C18">
        <v>8000040011044</v>
      </c>
      <c r="D18">
        <v>99.9</v>
      </c>
      <c r="E18">
        <v>59.43</v>
      </c>
      <c r="F18">
        <v>36.770000000000003</v>
      </c>
      <c r="G18">
        <v>53.930199999999999</v>
      </c>
      <c r="H18">
        <v>0.1</v>
      </c>
      <c r="K18">
        <v>59462</v>
      </c>
      <c r="L18" t="s">
        <v>6963</v>
      </c>
      <c r="M18">
        <v>0.1</v>
      </c>
    </row>
    <row r="19" spans="1:13" x14ac:dyDescent="0.25">
      <c r="A19" t="s">
        <v>6964</v>
      </c>
      <c r="B19">
        <v>13356</v>
      </c>
      <c r="C19">
        <v>7891136065208</v>
      </c>
      <c r="D19">
        <v>26.9</v>
      </c>
      <c r="E19">
        <v>18.55</v>
      </c>
      <c r="F19">
        <v>28.16</v>
      </c>
      <c r="G19">
        <v>16.837299999999999</v>
      </c>
      <c r="H19">
        <v>0.53300000000000003</v>
      </c>
      <c r="K19">
        <v>13356</v>
      </c>
      <c r="L19" t="s">
        <v>6964</v>
      </c>
      <c r="M19">
        <v>0.53300000000000003</v>
      </c>
    </row>
    <row r="20" spans="1:13" x14ac:dyDescent="0.25">
      <c r="A20" t="s">
        <v>6965</v>
      </c>
      <c r="B20">
        <v>69473</v>
      </c>
      <c r="C20">
        <v>40341200</v>
      </c>
      <c r="D20">
        <v>189.9</v>
      </c>
      <c r="E20">
        <v>125</v>
      </c>
      <c r="F20">
        <v>31.01</v>
      </c>
      <c r="G20">
        <v>113.4383</v>
      </c>
      <c r="H20">
        <v>0</v>
      </c>
      <c r="K20">
        <v>69473</v>
      </c>
      <c r="L20" t="s">
        <v>6965</v>
      </c>
      <c r="M20">
        <v>0</v>
      </c>
    </row>
    <row r="21" spans="1:13" x14ac:dyDescent="0.25">
      <c r="A21" t="s">
        <v>6966</v>
      </c>
      <c r="B21">
        <v>59768</v>
      </c>
      <c r="C21">
        <v>3057230000253</v>
      </c>
      <c r="D21">
        <v>119.9</v>
      </c>
      <c r="E21">
        <v>82</v>
      </c>
      <c r="F21">
        <v>28.55</v>
      </c>
      <c r="G21">
        <v>74.572999999999993</v>
      </c>
      <c r="H21">
        <v>0.4</v>
      </c>
      <c r="K21">
        <v>59768</v>
      </c>
      <c r="L21" t="s">
        <v>6966</v>
      </c>
      <c r="M21">
        <v>6.7000000000000004E-2</v>
      </c>
    </row>
    <row r="22" spans="1:13" x14ac:dyDescent="0.25">
      <c r="A22" t="s">
        <v>6967</v>
      </c>
      <c r="B22">
        <v>63615</v>
      </c>
      <c r="C22">
        <v>3057230000277</v>
      </c>
      <c r="D22">
        <v>119.9</v>
      </c>
      <c r="E22">
        <v>77.56</v>
      </c>
      <c r="F22">
        <v>29.21</v>
      </c>
      <c r="G22">
        <v>73.782300000000006</v>
      </c>
      <c r="H22">
        <v>0.1</v>
      </c>
      <c r="K22">
        <v>63615</v>
      </c>
      <c r="L22" t="s">
        <v>6967</v>
      </c>
      <c r="M22">
        <v>6.7000000000000004E-2</v>
      </c>
    </row>
    <row r="23" spans="1:13" x14ac:dyDescent="0.25">
      <c r="A23" t="s">
        <v>6968</v>
      </c>
      <c r="B23">
        <v>67315</v>
      </c>
      <c r="C23">
        <v>7898221854358</v>
      </c>
      <c r="D23">
        <v>54.9</v>
      </c>
      <c r="E23">
        <v>39.78</v>
      </c>
      <c r="F23">
        <v>25</v>
      </c>
      <c r="G23">
        <v>36.096699999999998</v>
      </c>
      <c r="H23">
        <v>0.56699999999999995</v>
      </c>
      <c r="K23">
        <v>67315</v>
      </c>
      <c r="L23" t="s">
        <v>6968</v>
      </c>
      <c r="M23">
        <v>0.53300000000000003</v>
      </c>
    </row>
    <row r="24" spans="1:13" x14ac:dyDescent="0.25">
      <c r="A24" t="s">
        <v>6969</v>
      </c>
      <c r="B24">
        <v>28150</v>
      </c>
      <c r="C24">
        <v>7891121021004</v>
      </c>
      <c r="D24">
        <v>54.9</v>
      </c>
      <c r="E24">
        <v>36.659999999999997</v>
      </c>
      <c r="F24">
        <v>29.96</v>
      </c>
      <c r="G24">
        <v>33.374000000000002</v>
      </c>
      <c r="H24">
        <v>0.2</v>
      </c>
      <c r="K24">
        <v>28150</v>
      </c>
      <c r="L24" t="s">
        <v>6969</v>
      </c>
      <c r="M24">
        <v>0.16700000000000001</v>
      </c>
    </row>
    <row r="25" spans="1:13" x14ac:dyDescent="0.25">
      <c r="A25" t="s">
        <v>6970</v>
      </c>
      <c r="B25">
        <v>14775</v>
      </c>
      <c r="C25">
        <v>7896019302012</v>
      </c>
      <c r="D25">
        <v>59.9</v>
      </c>
      <c r="E25">
        <v>45.12</v>
      </c>
      <c r="F25">
        <v>23.78</v>
      </c>
      <c r="G25">
        <v>40.114600000000003</v>
      </c>
      <c r="H25">
        <v>0.2</v>
      </c>
      <c r="K25">
        <v>14775</v>
      </c>
      <c r="L25" t="s">
        <v>6970</v>
      </c>
      <c r="M25">
        <v>6.7000000000000004E-2</v>
      </c>
    </row>
    <row r="26" spans="1:13" x14ac:dyDescent="0.25">
      <c r="A26" t="s">
        <v>6971</v>
      </c>
      <c r="B26">
        <v>63228</v>
      </c>
      <c r="C26">
        <v>7898633724072</v>
      </c>
      <c r="D26">
        <v>59.9</v>
      </c>
      <c r="E26">
        <v>27.95</v>
      </c>
      <c r="F26">
        <v>48.4</v>
      </c>
      <c r="G26">
        <v>25.365600000000001</v>
      </c>
      <c r="H26">
        <v>0</v>
      </c>
      <c r="K26">
        <v>63228</v>
      </c>
      <c r="L26" t="s">
        <v>6971</v>
      </c>
      <c r="M26">
        <v>0</v>
      </c>
    </row>
    <row r="27" spans="1:13" x14ac:dyDescent="0.25">
      <c r="A27" t="s">
        <v>6972</v>
      </c>
      <c r="B27">
        <v>61940</v>
      </c>
      <c r="C27">
        <v>7893220260056</v>
      </c>
      <c r="D27">
        <v>49.9</v>
      </c>
      <c r="E27">
        <v>23.33</v>
      </c>
      <c r="F27">
        <v>38.74</v>
      </c>
      <c r="G27">
        <v>16.971800000000002</v>
      </c>
      <c r="H27">
        <v>0</v>
      </c>
      <c r="K27">
        <v>61940</v>
      </c>
      <c r="L27" t="s">
        <v>6972</v>
      </c>
      <c r="M27">
        <v>0</v>
      </c>
    </row>
    <row r="28" spans="1:13" x14ac:dyDescent="0.25">
      <c r="A28" t="s">
        <v>6973</v>
      </c>
      <c r="B28">
        <v>65350</v>
      </c>
      <c r="C28">
        <v>75496001008</v>
      </c>
      <c r="D28">
        <v>179.9</v>
      </c>
      <c r="E28">
        <v>99.2</v>
      </c>
      <c r="F28">
        <v>40.71</v>
      </c>
      <c r="G28">
        <v>90.02</v>
      </c>
      <c r="H28">
        <v>6.7000000000000004E-2</v>
      </c>
      <c r="K28">
        <v>65350</v>
      </c>
      <c r="L28" t="s">
        <v>6973</v>
      </c>
      <c r="M28">
        <v>6.7000000000000004E-2</v>
      </c>
    </row>
    <row r="29" spans="1:13" x14ac:dyDescent="0.25">
      <c r="A29" t="s">
        <v>6974</v>
      </c>
      <c r="B29">
        <v>65351</v>
      </c>
      <c r="C29">
        <v>75496331075</v>
      </c>
      <c r="D29">
        <v>179.9</v>
      </c>
      <c r="E29">
        <v>110.17</v>
      </c>
      <c r="F29">
        <v>33.29</v>
      </c>
      <c r="G29">
        <v>103.36320000000001</v>
      </c>
      <c r="H29">
        <v>3.3000000000000002E-2</v>
      </c>
      <c r="K29">
        <v>65351</v>
      </c>
      <c r="L29" t="s">
        <v>6974</v>
      </c>
      <c r="M29">
        <v>3.3000000000000002E-2</v>
      </c>
    </row>
    <row r="30" spans="1:13" x14ac:dyDescent="0.25">
      <c r="A30" t="s">
        <v>6975</v>
      </c>
      <c r="B30">
        <v>68835</v>
      </c>
      <c r="C30">
        <v>7891141038495</v>
      </c>
      <c r="D30">
        <v>7.9</v>
      </c>
      <c r="E30">
        <v>5.13</v>
      </c>
      <c r="F30">
        <v>22.98</v>
      </c>
      <c r="G30">
        <v>3.379</v>
      </c>
      <c r="H30">
        <v>1.633</v>
      </c>
      <c r="K30">
        <v>68835</v>
      </c>
      <c r="L30" t="s">
        <v>6975</v>
      </c>
      <c r="M30">
        <v>1.333</v>
      </c>
    </row>
    <row r="31" spans="1:13" x14ac:dyDescent="0.25">
      <c r="A31" t="s">
        <v>6976</v>
      </c>
      <c r="B31">
        <v>68834</v>
      </c>
      <c r="C31">
        <v>7891141038518</v>
      </c>
      <c r="D31">
        <v>7.9</v>
      </c>
      <c r="E31">
        <v>5.14</v>
      </c>
      <c r="F31">
        <v>22.93</v>
      </c>
      <c r="G31">
        <v>3.3824999999999998</v>
      </c>
      <c r="H31">
        <v>2.1</v>
      </c>
      <c r="K31">
        <v>68834</v>
      </c>
      <c r="L31" t="s">
        <v>6976</v>
      </c>
      <c r="M31">
        <v>2.1669999999999998</v>
      </c>
    </row>
    <row r="32" spans="1:13" x14ac:dyDescent="0.25">
      <c r="A32" t="s">
        <v>6977</v>
      </c>
      <c r="B32">
        <v>66413</v>
      </c>
      <c r="C32">
        <v>7898154660286</v>
      </c>
      <c r="D32">
        <v>59.9</v>
      </c>
      <c r="E32">
        <v>37.11</v>
      </c>
      <c r="F32">
        <v>35.9</v>
      </c>
      <c r="G32">
        <v>32.8566</v>
      </c>
      <c r="H32">
        <v>0</v>
      </c>
      <c r="K32">
        <v>66413</v>
      </c>
      <c r="L32" t="s">
        <v>6977</v>
      </c>
      <c r="M32">
        <v>0</v>
      </c>
    </row>
    <row r="33" spans="1:13" x14ac:dyDescent="0.25">
      <c r="A33" t="s">
        <v>6978</v>
      </c>
      <c r="B33">
        <v>66414</v>
      </c>
      <c r="C33">
        <v>7898154660347</v>
      </c>
      <c r="D33">
        <v>39.9</v>
      </c>
      <c r="E33">
        <v>28.72</v>
      </c>
      <c r="F33">
        <v>26.65</v>
      </c>
      <c r="G33">
        <v>25.575299999999999</v>
      </c>
      <c r="H33">
        <v>3.3000000000000002E-2</v>
      </c>
      <c r="K33">
        <v>66414</v>
      </c>
      <c r="L33" t="s">
        <v>6978</v>
      </c>
      <c r="M33">
        <v>3.3000000000000002E-2</v>
      </c>
    </row>
    <row r="34" spans="1:13" x14ac:dyDescent="0.25">
      <c r="A34" t="s">
        <v>6979</v>
      </c>
      <c r="B34">
        <v>56086</v>
      </c>
      <c r="C34">
        <v>7897275153936</v>
      </c>
      <c r="D34">
        <v>39.9</v>
      </c>
      <c r="E34">
        <v>29.3</v>
      </c>
      <c r="F34">
        <v>24.11</v>
      </c>
      <c r="G34">
        <v>26.5898</v>
      </c>
      <c r="H34">
        <v>0.5</v>
      </c>
      <c r="K34">
        <v>56086</v>
      </c>
      <c r="L34" t="s">
        <v>6979</v>
      </c>
      <c r="M34">
        <v>0.5</v>
      </c>
    </row>
    <row r="35" spans="1:13" x14ac:dyDescent="0.25">
      <c r="A35" t="s">
        <v>6980</v>
      </c>
      <c r="B35">
        <v>49161</v>
      </c>
      <c r="C35">
        <v>7896336810740</v>
      </c>
      <c r="D35">
        <v>19.899999999999999</v>
      </c>
      <c r="E35">
        <v>10.23</v>
      </c>
      <c r="F35">
        <v>44.12</v>
      </c>
      <c r="G35">
        <v>9.2791999999999994</v>
      </c>
      <c r="H35">
        <v>1</v>
      </c>
      <c r="K35">
        <v>49161</v>
      </c>
      <c r="L35" t="s">
        <v>6980</v>
      </c>
      <c r="M35">
        <v>0.9</v>
      </c>
    </row>
    <row r="36" spans="1:13" x14ac:dyDescent="0.25">
      <c r="A36" t="s">
        <v>6981</v>
      </c>
      <c r="B36">
        <v>69523</v>
      </c>
      <c r="C36">
        <v>7898010861383</v>
      </c>
      <c r="D36">
        <v>109.9</v>
      </c>
      <c r="E36">
        <v>86.33</v>
      </c>
      <c r="F36">
        <v>19.47</v>
      </c>
      <c r="G36">
        <v>78.340599999999995</v>
      </c>
      <c r="H36">
        <v>0.217</v>
      </c>
      <c r="K36">
        <v>69523</v>
      </c>
      <c r="L36" t="s">
        <v>6981</v>
      </c>
      <c r="M36">
        <v>0.26700000000000002</v>
      </c>
    </row>
    <row r="37" spans="1:13" x14ac:dyDescent="0.25">
      <c r="A37" t="s">
        <v>6982</v>
      </c>
      <c r="B37">
        <v>66412</v>
      </c>
      <c r="C37">
        <v>7898154660293</v>
      </c>
      <c r="D37">
        <v>39.9</v>
      </c>
      <c r="E37">
        <v>27.41</v>
      </c>
      <c r="F37">
        <v>28.4</v>
      </c>
      <c r="G37">
        <v>24.877300000000002</v>
      </c>
      <c r="H37">
        <v>0</v>
      </c>
      <c r="K37">
        <v>66412</v>
      </c>
      <c r="L37" t="s">
        <v>6982</v>
      </c>
      <c r="M37">
        <v>0</v>
      </c>
    </row>
    <row r="38" spans="1:13" x14ac:dyDescent="0.25">
      <c r="A38" t="s">
        <v>6983</v>
      </c>
      <c r="B38">
        <v>69524</v>
      </c>
      <c r="C38">
        <v>7898010861338</v>
      </c>
      <c r="D38">
        <v>69.900000000000006</v>
      </c>
      <c r="E38">
        <v>50.68</v>
      </c>
      <c r="F38">
        <v>24.96</v>
      </c>
      <c r="G38">
        <v>45.990600000000001</v>
      </c>
      <c r="H38">
        <v>0.17699999999999999</v>
      </c>
      <c r="K38">
        <v>69524</v>
      </c>
      <c r="L38" t="s">
        <v>6983</v>
      </c>
      <c r="M38">
        <v>0</v>
      </c>
    </row>
    <row r="39" spans="1:13" x14ac:dyDescent="0.25">
      <c r="A39" t="s">
        <v>6984</v>
      </c>
      <c r="B39">
        <v>35988</v>
      </c>
      <c r="C39">
        <v>7898013030267</v>
      </c>
      <c r="D39">
        <v>76.900000000000006</v>
      </c>
      <c r="E39">
        <v>52.64</v>
      </c>
      <c r="F39">
        <v>28.63</v>
      </c>
      <c r="G39">
        <v>47.771900000000002</v>
      </c>
      <c r="H39">
        <v>0</v>
      </c>
      <c r="K39">
        <v>35988</v>
      </c>
      <c r="L39" t="s">
        <v>6984</v>
      </c>
      <c r="M39">
        <v>0</v>
      </c>
    </row>
    <row r="40" spans="1:13" x14ac:dyDescent="0.25">
      <c r="A40" t="s">
        <v>6985</v>
      </c>
      <c r="B40">
        <v>35987</v>
      </c>
      <c r="C40">
        <v>7898013030380</v>
      </c>
      <c r="D40">
        <v>76.900000000000006</v>
      </c>
      <c r="E40">
        <v>52.49</v>
      </c>
      <c r="F40">
        <v>28.81</v>
      </c>
      <c r="G40">
        <v>47.630899999999997</v>
      </c>
      <c r="H40">
        <v>3.3000000000000002E-2</v>
      </c>
      <c r="K40">
        <v>35987</v>
      </c>
      <c r="L40" t="s">
        <v>6985</v>
      </c>
      <c r="M40">
        <v>3.3000000000000002E-2</v>
      </c>
    </row>
    <row r="41" spans="1:13" x14ac:dyDescent="0.25">
      <c r="A41" t="s">
        <v>6986</v>
      </c>
      <c r="B41">
        <v>49619</v>
      </c>
      <c r="C41">
        <v>7893220300776</v>
      </c>
      <c r="D41">
        <v>49.9</v>
      </c>
      <c r="E41">
        <v>23.33</v>
      </c>
      <c r="F41">
        <v>38.74</v>
      </c>
      <c r="G41">
        <v>16.971800000000002</v>
      </c>
      <c r="H41">
        <v>0</v>
      </c>
      <c r="K41">
        <v>49619</v>
      </c>
      <c r="L41" t="s">
        <v>6986</v>
      </c>
      <c r="M41">
        <v>0</v>
      </c>
    </row>
    <row r="42" spans="1:13" x14ac:dyDescent="0.25">
      <c r="A42" t="s">
        <v>6987</v>
      </c>
      <c r="B42">
        <v>69061</v>
      </c>
      <c r="C42">
        <v>5942122012811</v>
      </c>
      <c r="D42">
        <v>129.9</v>
      </c>
      <c r="E42">
        <v>82.07</v>
      </c>
      <c r="F42">
        <v>27.93</v>
      </c>
      <c r="G42">
        <v>81.607299999999995</v>
      </c>
      <c r="H42">
        <v>3.3000000000000002E-2</v>
      </c>
      <c r="K42">
        <v>69061</v>
      </c>
      <c r="L42" t="s">
        <v>6987</v>
      </c>
      <c r="M42">
        <v>3.3000000000000002E-2</v>
      </c>
    </row>
    <row r="43" spans="1:13" x14ac:dyDescent="0.25">
      <c r="A43" t="s">
        <v>6988</v>
      </c>
      <c r="B43">
        <v>69060</v>
      </c>
      <c r="C43">
        <v>5942122012675</v>
      </c>
      <c r="D43">
        <v>119.9</v>
      </c>
      <c r="E43">
        <v>84.36</v>
      </c>
      <c r="F43">
        <v>26.9</v>
      </c>
      <c r="G43">
        <v>76.560699999999997</v>
      </c>
      <c r="H43">
        <v>6.7000000000000004E-2</v>
      </c>
      <c r="K43">
        <v>69060</v>
      </c>
      <c r="L43" t="s">
        <v>6988</v>
      </c>
      <c r="M43">
        <v>6.7000000000000004E-2</v>
      </c>
    </row>
    <row r="44" spans="1:13" x14ac:dyDescent="0.25">
      <c r="A44" t="s">
        <v>6989</v>
      </c>
      <c r="B44">
        <v>23375</v>
      </c>
      <c r="C44">
        <v>7898276971062</v>
      </c>
      <c r="D44">
        <v>549.9</v>
      </c>
      <c r="E44">
        <v>354.95</v>
      </c>
      <c r="F44">
        <v>32.24</v>
      </c>
      <c r="G44">
        <v>321.75619999999998</v>
      </c>
      <c r="H44">
        <v>3.3000000000000002E-2</v>
      </c>
      <c r="K44">
        <v>23375</v>
      </c>
      <c r="L44" t="s">
        <v>6989</v>
      </c>
      <c r="M44">
        <v>3.3000000000000002E-2</v>
      </c>
    </row>
    <row r="45" spans="1:13" x14ac:dyDescent="0.25">
      <c r="A45" t="s">
        <v>6990</v>
      </c>
      <c r="B45">
        <v>2920</v>
      </c>
      <c r="C45">
        <v>7896080001401</v>
      </c>
      <c r="D45">
        <v>59.9</v>
      </c>
      <c r="E45">
        <v>42.46</v>
      </c>
      <c r="F45">
        <v>25.41</v>
      </c>
      <c r="G45">
        <v>39.135899999999999</v>
      </c>
      <c r="H45">
        <v>0.5</v>
      </c>
      <c r="K45">
        <v>2920</v>
      </c>
      <c r="L45" t="s">
        <v>6990</v>
      </c>
      <c r="M45">
        <v>0.46700000000000003</v>
      </c>
    </row>
    <row r="46" spans="1:13" x14ac:dyDescent="0.25">
      <c r="A46" t="s">
        <v>6991</v>
      </c>
      <c r="B46">
        <v>2921</v>
      </c>
      <c r="C46">
        <v>7896010006360</v>
      </c>
      <c r="D46">
        <v>24.9</v>
      </c>
      <c r="E46">
        <v>15.77</v>
      </c>
      <c r="F46">
        <v>33.35</v>
      </c>
      <c r="G46">
        <v>14.291399999999999</v>
      </c>
      <c r="H46">
        <v>4.3</v>
      </c>
      <c r="K46">
        <v>2921</v>
      </c>
      <c r="L46" t="s">
        <v>6991</v>
      </c>
      <c r="M46">
        <v>3.9</v>
      </c>
    </row>
    <row r="47" spans="1:13" x14ac:dyDescent="0.25">
      <c r="A47" t="s">
        <v>6992</v>
      </c>
      <c r="B47">
        <v>53893</v>
      </c>
      <c r="C47">
        <v>5604422144202</v>
      </c>
      <c r="D47">
        <v>129.9</v>
      </c>
      <c r="E47">
        <v>89.24</v>
      </c>
      <c r="F47">
        <v>27.79</v>
      </c>
      <c r="G47">
        <v>81.788600000000002</v>
      </c>
      <c r="H47">
        <v>6.7000000000000004E-2</v>
      </c>
      <c r="K47">
        <v>53893</v>
      </c>
      <c r="L47" t="s">
        <v>6992</v>
      </c>
      <c r="M47">
        <v>6.7000000000000004E-2</v>
      </c>
    </row>
    <row r="48" spans="1:13" x14ac:dyDescent="0.25">
      <c r="A48" t="s">
        <v>6993</v>
      </c>
      <c r="B48">
        <v>36404</v>
      </c>
      <c r="C48">
        <v>8410337062084</v>
      </c>
      <c r="D48">
        <v>99.9</v>
      </c>
      <c r="E48">
        <v>66.47</v>
      </c>
      <c r="F48">
        <v>30.37</v>
      </c>
      <c r="G48">
        <v>60.32</v>
      </c>
      <c r="H48">
        <v>0</v>
      </c>
      <c r="K48">
        <v>36404</v>
      </c>
      <c r="L48" t="s">
        <v>6993</v>
      </c>
      <c r="M48">
        <v>3.3000000000000002E-2</v>
      </c>
    </row>
    <row r="49" spans="1:13" x14ac:dyDescent="0.25">
      <c r="A49" t="s">
        <v>6994</v>
      </c>
      <c r="B49">
        <v>60826</v>
      </c>
      <c r="C49">
        <v>7898904741371</v>
      </c>
      <c r="D49">
        <v>79.900000000000006</v>
      </c>
      <c r="E49">
        <v>51.28</v>
      </c>
      <c r="F49">
        <v>29.47</v>
      </c>
      <c r="G49">
        <v>48.96</v>
      </c>
      <c r="H49">
        <v>3.3000000000000002E-2</v>
      </c>
      <c r="K49">
        <v>60826</v>
      </c>
      <c r="L49" t="s">
        <v>6994</v>
      </c>
      <c r="M49">
        <v>0</v>
      </c>
    </row>
    <row r="50" spans="1:13" x14ac:dyDescent="0.25">
      <c r="A50" t="s">
        <v>6995</v>
      </c>
      <c r="B50">
        <v>67931</v>
      </c>
      <c r="C50">
        <v>7898994985709</v>
      </c>
      <c r="D50">
        <v>109.9</v>
      </c>
      <c r="E50">
        <v>89.6</v>
      </c>
      <c r="F50">
        <v>16.760000000000002</v>
      </c>
      <c r="G50">
        <v>81.3108</v>
      </c>
      <c r="H50">
        <v>3.3000000000000002E-2</v>
      </c>
      <c r="K50">
        <v>67931</v>
      </c>
      <c r="L50" t="s">
        <v>6995</v>
      </c>
      <c r="M50">
        <v>0</v>
      </c>
    </row>
    <row r="51" spans="1:13" x14ac:dyDescent="0.25">
      <c r="A51" t="s">
        <v>6996</v>
      </c>
      <c r="B51">
        <v>69163</v>
      </c>
      <c r="C51">
        <v>7898069770070</v>
      </c>
      <c r="D51">
        <v>899.9</v>
      </c>
      <c r="E51">
        <v>589.75</v>
      </c>
      <c r="F51">
        <v>31.28</v>
      </c>
      <c r="G51">
        <v>535.20060000000001</v>
      </c>
      <c r="H51">
        <v>0</v>
      </c>
      <c r="K51">
        <v>69163</v>
      </c>
      <c r="L51" t="s">
        <v>6996</v>
      </c>
      <c r="M51">
        <v>0</v>
      </c>
    </row>
    <row r="52" spans="1:13" x14ac:dyDescent="0.25">
      <c r="A52" t="s">
        <v>6997</v>
      </c>
      <c r="B52">
        <v>58835</v>
      </c>
      <c r="C52">
        <v>7898069770018</v>
      </c>
      <c r="D52">
        <v>649.9</v>
      </c>
      <c r="E52">
        <v>427.13</v>
      </c>
      <c r="F52">
        <v>31.11</v>
      </c>
      <c r="G52">
        <v>387.62119999999999</v>
      </c>
      <c r="H52">
        <v>0</v>
      </c>
      <c r="K52">
        <v>58835</v>
      </c>
      <c r="L52" t="s">
        <v>6997</v>
      </c>
      <c r="M52">
        <v>0</v>
      </c>
    </row>
    <row r="53" spans="1:13" x14ac:dyDescent="0.25">
      <c r="A53" t="s">
        <v>6998</v>
      </c>
      <c r="B53">
        <v>69525</v>
      </c>
      <c r="C53">
        <v>7898010860676</v>
      </c>
      <c r="D53">
        <v>349.9</v>
      </c>
      <c r="E53">
        <v>250.38</v>
      </c>
      <c r="F53">
        <v>25.81</v>
      </c>
      <c r="G53">
        <v>227.22</v>
      </c>
      <c r="H53">
        <v>0</v>
      </c>
      <c r="K53">
        <v>69525</v>
      </c>
      <c r="L53" t="s">
        <v>6998</v>
      </c>
      <c r="M53">
        <v>0</v>
      </c>
    </row>
    <row r="54" spans="1:13" x14ac:dyDescent="0.25">
      <c r="A54" t="s">
        <v>6999</v>
      </c>
      <c r="B54">
        <v>59468</v>
      </c>
      <c r="C54">
        <v>7898304990553</v>
      </c>
      <c r="D54">
        <v>39.9</v>
      </c>
      <c r="E54">
        <v>24.97</v>
      </c>
      <c r="F54">
        <v>33.96</v>
      </c>
      <c r="G54">
        <v>22.657299999999999</v>
      </c>
      <c r="H54">
        <v>3.3000000000000002E-2</v>
      </c>
      <c r="K54">
        <v>59468</v>
      </c>
      <c r="L54" t="s">
        <v>6999</v>
      </c>
      <c r="M54">
        <v>3.3000000000000002E-2</v>
      </c>
    </row>
    <row r="55" spans="1:13" x14ac:dyDescent="0.25">
      <c r="A55" t="s">
        <v>7000</v>
      </c>
      <c r="B55">
        <v>54841</v>
      </c>
      <c r="C55">
        <v>7898304990652</v>
      </c>
      <c r="D55">
        <v>49.9</v>
      </c>
      <c r="E55">
        <v>34.76</v>
      </c>
      <c r="F55">
        <v>28.35</v>
      </c>
      <c r="G55">
        <v>31.136399999999998</v>
      </c>
      <c r="H55">
        <v>0</v>
      </c>
      <c r="K55">
        <v>54841</v>
      </c>
      <c r="L55" t="s">
        <v>7000</v>
      </c>
      <c r="M55">
        <v>0</v>
      </c>
    </row>
    <row r="56" spans="1:13" x14ac:dyDescent="0.25">
      <c r="A56" t="s">
        <v>7001</v>
      </c>
      <c r="B56">
        <v>69514</v>
      </c>
      <c r="C56">
        <v>7898010861161</v>
      </c>
      <c r="D56">
        <v>54.9</v>
      </c>
      <c r="E56">
        <v>36.78</v>
      </c>
      <c r="F56">
        <v>29.95</v>
      </c>
      <c r="G56">
        <v>33.3797</v>
      </c>
      <c r="H56">
        <v>0.19500000000000001</v>
      </c>
      <c r="K56">
        <v>69514</v>
      </c>
      <c r="L56" t="s">
        <v>7001</v>
      </c>
      <c r="M56">
        <v>0</v>
      </c>
    </row>
    <row r="57" spans="1:13" x14ac:dyDescent="0.25">
      <c r="A57" t="s">
        <v>7002</v>
      </c>
      <c r="B57">
        <v>3204</v>
      </c>
      <c r="C57">
        <v>7898010861307</v>
      </c>
      <c r="D57">
        <v>39.9</v>
      </c>
      <c r="E57">
        <v>31.73</v>
      </c>
      <c r="F57">
        <v>18.59</v>
      </c>
      <c r="G57">
        <v>28.791799999999999</v>
      </c>
      <c r="H57">
        <v>0.65900000000000003</v>
      </c>
      <c r="K57">
        <v>3204</v>
      </c>
      <c r="L57" t="s">
        <v>7002</v>
      </c>
      <c r="M57">
        <v>0.63300000000000001</v>
      </c>
    </row>
    <row r="58" spans="1:13" x14ac:dyDescent="0.25">
      <c r="A58" t="s">
        <v>7003</v>
      </c>
      <c r="B58">
        <v>60828</v>
      </c>
      <c r="C58">
        <v>7898904741616</v>
      </c>
      <c r="D58">
        <v>69.900000000000006</v>
      </c>
      <c r="E58">
        <v>55.24</v>
      </c>
      <c r="F58">
        <v>18.850000000000001</v>
      </c>
      <c r="G58">
        <v>50.2577</v>
      </c>
      <c r="H58">
        <v>0.13300000000000001</v>
      </c>
      <c r="K58">
        <v>60828</v>
      </c>
      <c r="L58" t="s">
        <v>7003</v>
      </c>
      <c r="M58">
        <v>0.1</v>
      </c>
    </row>
    <row r="59" spans="1:13" x14ac:dyDescent="0.25">
      <c r="A59" t="s">
        <v>7004</v>
      </c>
      <c r="B59">
        <v>62861</v>
      </c>
      <c r="C59">
        <v>7898904741364</v>
      </c>
      <c r="D59">
        <v>79.900000000000006</v>
      </c>
      <c r="E59">
        <v>54.3</v>
      </c>
      <c r="F59">
        <v>29.04</v>
      </c>
      <c r="G59">
        <v>49.305799999999998</v>
      </c>
      <c r="H59">
        <v>0.23300000000000001</v>
      </c>
      <c r="K59">
        <v>62861</v>
      </c>
      <c r="L59" t="s">
        <v>7004</v>
      </c>
      <c r="M59">
        <v>0.16700000000000001</v>
      </c>
    </row>
    <row r="60" spans="1:13" x14ac:dyDescent="0.25">
      <c r="A60" t="s">
        <v>7005</v>
      </c>
      <c r="B60">
        <v>60824</v>
      </c>
      <c r="C60">
        <v>7898904741081</v>
      </c>
      <c r="D60">
        <v>79.900000000000006</v>
      </c>
      <c r="E60">
        <v>48.24</v>
      </c>
      <c r="F60">
        <v>35.94</v>
      </c>
      <c r="G60">
        <v>43.793999999999997</v>
      </c>
      <c r="H60">
        <v>0</v>
      </c>
      <c r="K60">
        <v>60824</v>
      </c>
      <c r="L60" t="s">
        <v>7005</v>
      </c>
      <c r="M60">
        <v>0</v>
      </c>
    </row>
    <row r="61" spans="1:13" x14ac:dyDescent="0.25">
      <c r="A61" t="s">
        <v>7006</v>
      </c>
      <c r="B61">
        <v>62860</v>
      </c>
      <c r="C61">
        <v>7898904741692</v>
      </c>
      <c r="D61">
        <v>79.900000000000006</v>
      </c>
      <c r="E61">
        <v>55.59</v>
      </c>
      <c r="F61">
        <v>27.69</v>
      </c>
      <c r="G61">
        <v>50.386899999999997</v>
      </c>
      <c r="H61">
        <v>0.13300000000000001</v>
      </c>
      <c r="K61">
        <v>62860</v>
      </c>
      <c r="L61" t="s">
        <v>7006</v>
      </c>
      <c r="M61">
        <v>0.1</v>
      </c>
    </row>
    <row r="62" spans="1:13" x14ac:dyDescent="0.25">
      <c r="A62" t="s">
        <v>7007</v>
      </c>
      <c r="B62">
        <v>60829</v>
      </c>
      <c r="C62">
        <v>7898904741432</v>
      </c>
      <c r="D62">
        <v>239.9</v>
      </c>
      <c r="E62">
        <v>156.19999999999999</v>
      </c>
      <c r="F62">
        <v>31.09</v>
      </c>
      <c r="G62">
        <v>143.1207</v>
      </c>
      <c r="H62">
        <v>0</v>
      </c>
      <c r="K62">
        <v>60829</v>
      </c>
      <c r="L62" t="s">
        <v>7007</v>
      </c>
      <c r="M62">
        <v>0</v>
      </c>
    </row>
    <row r="63" spans="1:13" x14ac:dyDescent="0.25">
      <c r="A63" t="s">
        <v>7008</v>
      </c>
      <c r="B63">
        <v>60825</v>
      </c>
      <c r="C63">
        <v>7898904741401</v>
      </c>
      <c r="D63">
        <v>79.900000000000006</v>
      </c>
      <c r="E63">
        <v>47.34</v>
      </c>
      <c r="F63">
        <v>36.200000000000003</v>
      </c>
      <c r="G63">
        <v>43.588999999999999</v>
      </c>
      <c r="H63">
        <v>3.3000000000000002E-2</v>
      </c>
      <c r="K63">
        <v>60825</v>
      </c>
      <c r="L63" t="s">
        <v>7008</v>
      </c>
      <c r="M63">
        <v>0</v>
      </c>
    </row>
    <row r="64" spans="1:13" x14ac:dyDescent="0.25">
      <c r="A64" t="s">
        <v>7009</v>
      </c>
      <c r="B64">
        <v>62864</v>
      </c>
      <c r="C64">
        <v>7898904741722</v>
      </c>
      <c r="D64">
        <v>199.9</v>
      </c>
      <c r="E64">
        <v>139.83000000000001</v>
      </c>
      <c r="F64">
        <v>26.17</v>
      </c>
      <c r="G64">
        <v>129.0994</v>
      </c>
      <c r="H64">
        <v>0</v>
      </c>
      <c r="K64">
        <v>62864</v>
      </c>
      <c r="L64" t="s">
        <v>7009</v>
      </c>
      <c r="M64">
        <v>0</v>
      </c>
    </row>
    <row r="65" spans="1:13" x14ac:dyDescent="0.25">
      <c r="A65" t="s">
        <v>7010</v>
      </c>
      <c r="B65">
        <v>60827</v>
      </c>
      <c r="C65">
        <v>7898904741609</v>
      </c>
      <c r="D65">
        <v>79.900000000000006</v>
      </c>
      <c r="E65">
        <v>52.53</v>
      </c>
      <c r="F65">
        <v>28.2</v>
      </c>
      <c r="G65">
        <v>49.979300000000002</v>
      </c>
      <c r="H65">
        <v>0</v>
      </c>
      <c r="K65">
        <v>60827</v>
      </c>
      <c r="L65" t="s">
        <v>7010</v>
      </c>
      <c r="M65">
        <v>0</v>
      </c>
    </row>
    <row r="66" spans="1:13" x14ac:dyDescent="0.25">
      <c r="A66" t="s">
        <v>7011</v>
      </c>
      <c r="B66">
        <v>57164</v>
      </c>
      <c r="C66">
        <v>7898939469639</v>
      </c>
      <c r="D66">
        <v>39.9</v>
      </c>
      <c r="E66">
        <v>27.62</v>
      </c>
      <c r="F66">
        <v>27.91</v>
      </c>
      <c r="G66">
        <v>25.0749</v>
      </c>
      <c r="H66">
        <v>0.4</v>
      </c>
      <c r="K66">
        <v>57164</v>
      </c>
      <c r="L66" t="s">
        <v>7011</v>
      </c>
      <c r="M66">
        <v>0.36699999999999999</v>
      </c>
    </row>
    <row r="67" spans="1:13" x14ac:dyDescent="0.25">
      <c r="A67" t="s">
        <v>7012</v>
      </c>
      <c r="B67">
        <v>57163</v>
      </c>
      <c r="C67">
        <v>7898939469585</v>
      </c>
      <c r="D67">
        <v>39.9</v>
      </c>
      <c r="E67">
        <v>25.51</v>
      </c>
      <c r="F67">
        <v>32.72</v>
      </c>
      <c r="G67">
        <v>23.152000000000001</v>
      </c>
      <c r="H67">
        <v>3.3000000000000002E-2</v>
      </c>
      <c r="K67">
        <v>57163</v>
      </c>
      <c r="L67" t="s">
        <v>7012</v>
      </c>
      <c r="M67">
        <v>3.3000000000000002E-2</v>
      </c>
    </row>
    <row r="68" spans="1:13" x14ac:dyDescent="0.25">
      <c r="A68" t="s">
        <v>7013</v>
      </c>
      <c r="B68">
        <v>57162</v>
      </c>
      <c r="C68">
        <v>7898939469363</v>
      </c>
      <c r="D68">
        <v>29.9</v>
      </c>
      <c r="E68">
        <v>23.27</v>
      </c>
      <c r="F68">
        <v>20.13</v>
      </c>
      <c r="G68">
        <v>21.116099999999999</v>
      </c>
      <c r="H68">
        <v>0.3</v>
      </c>
      <c r="K68">
        <v>57162</v>
      </c>
      <c r="L68" t="s">
        <v>7013</v>
      </c>
      <c r="M68">
        <v>0.26700000000000002</v>
      </c>
    </row>
    <row r="69" spans="1:13" x14ac:dyDescent="0.25">
      <c r="A69" t="s">
        <v>7014</v>
      </c>
      <c r="B69">
        <v>57165</v>
      </c>
      <c r="C69">
        <v>7898939469387</v>
      </c>
      <c r="D69">
        <v>349</v>
      </c>
      <c r="E69">
        <v>247.47</v>
      </c>
      <c r="F69">
        <v>27.38</v>
      </c>
      <c r="G69">
        <v>221.17</v>
      </c>
      <c r="H69">
        <v>0.13300000000000001</v>
      </c>
      <c r="K69">
        <v>57165</v>
      </c>
      <c r="L69" t="s">
        <v>7014</v>
      </c>
      <c r="M69">
        <v>0.13300000000000001</v>
      </c>
    </row>
    <row r="70" spans="1:13" x14ac:dyDescent="0.25">
      <c r="A70" t="s">
        <v>7015</v>
      </c>
      <c r="B70">
        <v>64545</v>
      </c>
      <c r="C70">
        <v>7897574199604</v>
      </c>
      <c r="D70">
        <v>39.9</v>
      </c>
      <c r="E70">
        <v>29.3</v>
      </c>
      <c r="F70">
        <v>24.11</v>
      </c>
      <c r="G70">
        <v>26.589600000000001</v>
      </c>
      <c r="H70">
        <v>0.13300000000000001</v>
      </c>
      <c r="K70">
        <v>64545</v>
      </c>
      <c r="L70" t="s">
        <v>7015</v>
      </c>
      <c r="M70">
        <v>0.13300000000000001</v>
      </c>
    </row>
    <row r="71" spans="1:13" x14ac:dyDescent="0.25">
      <c r="A71" t="s">
        <v>7016</v>
      </c>
      <c r="B71">
        <v>20782</v>
      </c>
      <c r="C71">
        <v>7898116761181</v>
      </c>
      <c r="D71">
        <v>49.9</v>
      </c>
      <c r="E71">
        <v>29.12</v>
      </c>
      <c r="F71">
        <v>37.78</v>
      </c>
      <c r="G71">
        <v>26.43</v>
      </c>
      <c r="H71">
        <v>0</v>
      </c>
      <c r="K71">
        <v>20782</v>
      </c>
      <c r="L71" t="s">
        <v>7016</v>
      </c>
      <c r="M71">
        <v>0</v>
      </c>
    </row>
    <row r="72" spans="1:13" x14ac:dyDescent="0.25">
      <c r="A72" t="s">
        <v>7017</v>
      </c>
      <c r="B72">
        <v>21229</v>
      </c>
      <c r="C72">
        <v>7898255980641</v>
      </c>
      <c r="D72">
        <v>99.9</v>
      </c>
      <c r="E72">
        <v>69.599999999999994</v>
      </c>
      <c r="F72">
        <v>25.7</v>
      </c>
      <c r="G72">
        <v>64.986900000000006</v>
      </c>
      <c r="H72">
        <v>1.133</v>
      </c>
      <c r="K72">
        <v>21229</v>
      </c>
      <c r="L72" t="s">
        <v>7017</v>
      </c>
      <c r="M72">
        <v>0.26700000000000002</v>
      </c>
    </row>
    <row r="73" spans="1:13" x14ac:dyDescent="0.25">
      <c r="A73" t="s">
        <v>7018</v>
      </c>
      <c r="B73">
        <v>54798</v>
      </c>
      <c r="C73">
        <v>7898255980405</v>
      </c>
      <c r="D73">
        <v>99.9</v>
      </c>
      <c r="E73">
        <v>72.89</v>
      </c>
      <c r="F73">
        <v>24.29</v>
      </c>
      <c r="G73">
        <v>66.391400000000004</v>
      </c>
      <c r="H73">
        <v>0.33300000000000002</v>
      </c>
      <c r="K73">
        <v>54798</v>
      </c>
      <c r="L73" t="s">
        <v>7018</v>
      </c>
      <c r="M73">
        <v>6.7000000000000004E-2</v>
      </c>
    </row>
    <row r="74" spans="1:13" x14ac:dyDescent="0.25">
      <c r="A74" t="s">
        <v>7019</v>
      </c>
      <c r="B74">
        <v>27641</v>
      </c>
      <c r="C74">
        <v>7898007610017</v>
      </c>
      <c r="D74">
        <v>109.9</v>
      </c>
      <c r="E74">
        <v>70.2</v>
      </c>
      <c r="F74">
        <v>32.78</v>
      </c>
      <c r="G74">
        <v>63.71</v>
      </c>
      <c r="H74">
        <v>0</v>
      </c>
      <c r="K74">
        <v>27641</v>
      </c>
      <c r="L74" t="s">
        <v>7019</v>
      </c>
      <c r="M74">
        <v>0</v>
      </c>
    </row>
    <row r="75" spans="1:13" x14ac:dyDescent="0.25">
      <c r="A75" t="s">
        <v>7020</v>
      </c>
      <c r="B75">
        <v>69162</v>
      </c>
      <c r="C75">
        <v>7898069770063</v>
      </c>
      <c r="D75">
        <v>899.9</v>
      </c>
      <c r="E75">
        <v>660.53</v>
      </c>
      <c r="F75">
        <v>24.14</v>
      </c>
      <c r="G75">
        <v>599.42830000000004</v>
      </c>
      <c r="H75">
        <v>0</v>
      </c>
      <c r="K75">
        <v>69162</v>
      </c>
      <c r="L75" t="s">
        <v>7020</v>
      </c>
      <c r="M75">
        <v>0</v>
      </c>
    </row>
    <row r="76" spans="1:13" x14ac:dyDescent="0.25">
      <c r="A76" t="s">
        <v>7021</v>
      </c>
      <c r="B76">
        <v>69164</v>
      </c>
      <c r="C76">
        <v>7898069770025</v>
      </c>
      <c r="D76">
        <v>779.9</v>
      </c>
      <c r="E76">
        <v>600.69000000000005</v>
      </c>
      <c r="F76">
        <v>20.85</v>
      </c>
      <c r="G76">
        <v>545.12890000000004</v>
      </c>
      <c r="H76">
        <v>12</v>
      </c>
      <c r="K76">
        <v>69164</v>
      </c>
      <c r="L76" t="s">
        <v>7021</v>
      </c>
      <c r="M76">
        <v>12</v>
      </c>
    </row>
    <row r="77" spans="1:13" x14ac:dyDescent="0.25">
      <c r="A77" t="s">
        <v>7022</v>
      </c>
      <c r="B77">
        <v>66410</v>
      </c>
      <c r="C77">
        <v>7898154660316</v>
      </c>
      <c r="D77">
        <v>49.9</v>
      </c>
      <c r="E77">
        <v>31.01</v>
      </c>
      <c r="F77">
        <v>34.24</v>
      </c>
      <c r="G77">
        <v>28.197399999999998</v>
      </c>
      <c r="H77">
        <v>0.3</v>
      </c>
      <c r="K77">
        <v>66410</v>
      </c>
      <c r="L77" t="s">
        <v>7022</v>
      </c>
      <c r="M77">
        <v>0.26700000000000002</v>
      </c>
    </row>
    <row r="78" spans="1:13" x14ac:dyDescent="0.25">
      <c r="A78" t="s">
        <v>7023</v>
      </c>
      <c r="B78">
        <v>49203</v>
      </c>
      <c r="C78">
        <v>7898154663119</v>
      </c>
      <c r="D78">
        <v>39.9</v>
      </c>
      <c r="E78">
        <v>31.21</v>
      </c>
      <c r="F78">
        <v>19.690000000000001</v>
      </c>
      <c r="G78">
        <v>28.354199999999999</v>
      </c>
      <c r="H78">
        <v>0.2</v>
      </c>
      <c r="K78">
        <v>49203</v>
      </c>
      <c r="L78" t="s">
        <v>7023</v>
      </c>
      <c r="M78">
        <v>3.3000000000000002E-2</v>
      </c>
    </row>
    <row r="79" spans="1:13" x14ac:dyDescent="0.25">
      <c r="A79" t="s">
        <v>7024</v>
      </c>
      <c r="B79">
        <v>49200</v>
      </c>
      <c r="C79">
        <v>7898154661658</v>
      </c>
      <c r="D79">
        <v>36.9</v>
      </c>
      <c r="E79">
        <v>23.46</v>
      </c>
      <c r="F79">
        <v>33.67</v>
      </c>
      <c r="G79">
        <v>21.062799999999999</v>
      </c>
      <c r="H79">
        <v>0.36699999999999999</v>
      </c>
      <c r="K79">
        <v>49200</v>
      </c>
      <c r="L79" t="s">
        <v>7024</v>
      </c>
      <c r="M79">
        <v>0.13300000000000001</v>
      </c>
    </row>
    <row r="80" spans="1:13" x14ac:dyDescent="0.25">
      <c r="A80" t="s">
        <v>7025</v>
      </c>
      <c r="B80">
        <v>58462</v>
      </c>
      <c r="C80">
        <v>7898154668527</v>
      </c>
      <c r="D80">
        <v>39.9</v>
      </c>
      <c r="E80">
        <v>22.78</v>
      </c>
      <c r="F80">
        <v>38.950000000000003</v>
      </c>
      <c r="G80">
        <v>20.67</v>
      </c>
      <c r="H80">
        <v>3.3000000000000002E-2</v>
      </c>
      <c r="K80">
        <v>58462</v>
      </c>
      <c r="L80" t="s">
        <v>7025</v>
      </c>
      <c r="M80">
        <v>3.3000000000000002E-2</v>
      </c>
    </row>
    <row r="81" spans="1:13" x14ac:dyDescent="0.25">
      <c r="A81" t="s">
        <v>7026</v>
      </c>
      <c r="B81">
        <v>49199</v>
      </c>
      <c r="C81">
        <v>7898154669722</v>
      </c>
      <c r="D81">
        <v>189.9</v>
      </c>
      <c r="E81">
        <v>129.58000000000001</v>
      </c>
      <c r="F81">
        <v>28.96</v>
      </c>
      <c r="G81">
        <v>117.3378</v>
      </c>
      <c r="H81">
        <v>0.1</v>
      </c>
      <c r="K81">
        <v>49199</v>
      </c>
      <c r="L81" t="s">
        <v>7026</v>
      </c>
      <c r="M81">
        <v>3.3000000000000002E-2</v>
      </c>
    </row>
    <row r="82" spans="1:13" x14ac:dyDescent="0.25">
      <c r="A82" t="s">
        <v>7027</v>
      </c>
      <c r="B82">
        <v>69212</v>
      </c>
      <c r="C82">
        <v>7898154661108</v>
      </c>
      <c r="D82">
        <v>179.9</v>
      </c>
      <c r="E82">
        <v>107.22</v>
      </c>
      <c r="F82">
        <v>36.659999999999997</v>
      </c>
      <c r="G82">
        <v>97.3</v>
      </c>
      <c r="H82">
        <v>0</v>
      </c>
      <c r="K82">
        <v>69212</v>
      </c>
      <c r="L82" t="s">
        <v>7027</v>
      </c>
      <c r="M82">
        <v>0</v>
      </c>
    </row>
    <row r="83" spans="1:13" x14ac:dyDescent="0.25">
      <c r="A83" t="s">
        <v>7028</v>
      </c>
      <c r="B83">
        <v>3207</v>
      </c>
      <c r="C83">
        <v>7898154665069</v>
      </c>
      <c r="D83">
        <v>49.9</v>
      </c>
      <c r="E83">
        <v>29.57</v>
      </c>
      <c r="F83">
        <v>38.21</v>
      </c>
      <c r="G83">
        <v>26.217199999999998</v>
      </c>
      <c r="H83">
        <v>0.2</v>
      </c>
      <c r="K83">
        <v>3207</v>
      </c>
      <c r="L83" t="s">
        <v>7028</v>
      </c>
      <c r="M83">
        <v>0.13300000000000001</v>
      </c>
    </row>
    <row r="84" spans="1:13" x14ac:dyDescent="0.25">
      <c r="A84" t="s">
        <v>7029</v>
      </c>
      <c r="B84">
        <v>49201</v>
      </c>
      <c r="C84">
        <v>7898154665144</v>
      </c>
      <c r="D84">
        <v>49.9</v>
      </c>
      <c r="E84">
        <v>29.86</v>
      </c>
      <c r="F84">
        <v>36.630000000000003</v>
      </c>
      <c r="G84">
        <v>27.0045</v>
      </c>
      <c r="H84">
        <v>0.23300000000000001</v>
      </c>
      <c r="K84">
        <v>49201</v>
      </c>
      <c r="L84" t="s">
        <v>7029</v>
      </c>
      <c r="M84">
        <v>0.16700000000000001</v>
      </c>
    </row>
    <row r="85" spans="1:13" x14ac:dyDescent="0.25">
      <c r="A85" t="s">
        <v>7030</v>
      </c>
      <c r="B85">
        <v>57270</v>
      </c>
      <c r="C85">
        <v>7898154660071</v>
      </c>
      <c r="D85">
        <v>349.9</v>
      </c>
      <c r="E85">
        <v>245.96</v>
      </c>
      <c r="F85">
        <v>26.96</v>
      </c>
      <c r="G85">
        <v>223.21</v>
      </c>
      <c r="H85">
        <v>0</v>
      </c>
      <c r="K85">
        <v>57270</v>
      </c>
      <c r="L85" t="s">
        <v>7030</v>
      </c>
      <c r="M85">
        <v>0</v>
      </c>
    </row>
    <row r="86" spans="1:13" x14ac:dyDescent="0.25">
      <c r="A86" t="s">
        <v>7031</v>
      </c>
      <c r="B86">
        <v>49168</v>
      </c>
      <c r="C86">
        <v>7898154669456</v>
      </c>
      <c r="D86">
        <v>89.9</v>
      </c>
      <c r="E86">
        <v>59.03</v>
      </c>
      <c r="F86">
        <v>31.16</v>
      </c>
      <c r="G86">
        <v>53.570300000000003</v>
      </c>
      <c r="H86">
        <v>6.7000000000000004E-2</v>
      </c>
      <c r="K86">
        <v>49168</v>
      </c>
      <c r="L86" t="s">
        <v>7031</v>
      </c>
      <c r="M86">
        <v>6.7000000000000004E-2</v>
      </c>
    </row>
    <row r="87" spans="1:13" x14ac:dyDescent="0.25">
      <c r="A87" t="s">
        <v>7032</v>
      </c>
      <c r="B87">
        <v>69211</v>
      </c>
      <c r="C87">
        <v>7898154661092</v>
      </c>
      <c r="D87">
        <v>179.9</v>
      </c>
      <c r="E87">
        <v>107.22</v>
      </c>
      <c r="F87">
        <v>36.659999999999997</v>
      </c>
      <c r="G87">
        <v>97.3</v>
      </c>
      <c r="H87">
        <v>0</v>
      </c>
      <c r="K87">
        <v>69211</v>
      </c>
      <c r="L87" t="s">
        <v>7032</v>
      </c>
      <c r="M87">
        <v>0</v>
      </c>
    </row>
    <row r="88" spans="1:13" x14ac:dyDescent="0.25">
      <c r="A88" t="s">
        <v>7033</v>
      </c>
      <c r="B88">
        <v>29360</v>
      </c>
      <c r="C88">
        <v>7898924668016</v>
      </c>
      <c r="D88">
        <v>109.9</v>
      </c>
      <c r="E88">
        <v>79.349999999999994</v>
      </c>
      <c r="F88">
        <v>25.23</v>
      </c>
      <c r="G88">
        <v>72.009600000000006</v>
      </c>
      <c r="H88">
        <v>0</v>
      </c>
      <c r="K88">
        <v>29360</v>
      </c>
      <c r="L88" t="s">
        <v>7033</v>
      </c>
      <c r="M88">
        <v>0</v>
      </c>
    </row>
    <row r="89" spans="1:13" x14ac:dyDescent="0.25">
      <c r="A89" t="s">
        <v>7034</v>
      </c>
      <c r="B89">
        <v>44041</v>
      </c>
      <c r="C89">
        <v>7897877000089</v>
      </c>
      <c r="D89">
        <v>36.9</v>
      </c>
      <c r="E89">
        <v>22.82</v>
      </c>
      <c r="F89">
        <v>34.630000000000003</v>
      </c>
      <c r="G89">
        <v>20.7075</v>
      </c>
      <c r="H89">
        <v>0</v>
      </c>
      <c r="K89">
        <v>44041</v>
      </c>
      <c r="L89" t="s">
        <v>7034</v>
      </c>
      <c r="M89">
        <v>0</v>
      </c>
    </row>
    <row r="90" spans="1:13" x14ac:dyDescent="0.25">
      <c r="A90" t="s">
        <v>7035</v>
      </c>
      <c r="B90">
        <v>67317</v>
      </c>
      <c r="C90">
        <v>7898221854372</v>
      </c>
      <c r="D90">
        <v>54.9</v>
      </c>
      <c r="E90">
        <v>40.58</v>
      </c>
      <c r="F90">
        <v>23.69</v>
      </c>
      <c r="G90">
        <v>36.817300000000003</v>
      </c>
      <c r="H90">
        <v>0.23300000000000001</v>
      </c>
      <c r="K90">
        <v>67317</v>
      </c>
      <c r="L90" t="s">
        <v>7035</v>
      </c>
      <c r="M90">
        <v>0.23300000000000001</v>
      </c>
    </row>
    <row r="91" spans="1:13" x14ac:dyDescent="0.25">
      <c r="A91" t="s">
        <v>7036</v>
      </c>
      <c r="B91">
        <v>67316</v>
      </c>
      <c r="C91">
        <v>7898221854389</v>
      </c>
      <c r="D91">
        <v>49.9</v>
      </c>
      <c r="E91">
        <v>35.299999999999997</v>
      </c>
      <c r="F91">
        <v>26.54</v>
      </c>
      <c r="G91">
        <v>32.038600000000002</v>
      </c>
      <c r="H91">
        <v>3.3000000000000002E-2</v>
      </c>
      <c r="K91">
        <v>67316</v>
      </c>
      <c r="L91" t="s">
        <v>7036</v>
      </c>
      <c r="M91">
        <v>3.3000000000000002E-2</v>
      </c>
    </row>
    <row r="92" spans="1:13" x14ac:dyDescent="0.25">
      <c r="A92" t="s">
        <v>7037</v>
      </c>
      <c r="B92">
        <v>65867</v>
      </c>
      <c r="C92">
        <v>7898954956541</v>
      </c>
      <c r="D92">
        <v>29.9</v>
      </c>
      <c r="E92">
        <v>25</v>
      </c>
      <c r="F92">
        <v>14.87</v>
      </c>
      <c r="G92">
        <v>22.6891</v>
      </c>
      <c r="H92">
        <v>0.13300000000000001</v>
      </c>
      <c r="K92">
        <v>65867</v>
      </c>
      <c r="L92" t="s">
        <v>7037</v>
      </c>
      <c r="M92">
        <v>0.1</v>
      </c>
    </row>
    <row r="93" spans="1:13" x14ac:dyDescent="0.25">
      <c r="A93" t="s">
        <v>7038</v>
      </c>
      <c r="B93">
        <v>65864</v>
      </c>
      <c r="C93">
        <v>7898954956299</v>
      </c>
      <c r="D93">
        <v>29.9</v>
      </c>
      <c r="E93">
        <v>25</v>
      </c>
      <c r="F93">
        <v>14.87</v>
      </c>
      <c r="G93">
        <v>22.6892</v>
      </c>
      <c r="H93">
        <v>6.7000000000000004E-2</v>
      </c>
      <c r="K93">
        <v>65864</v>
      </c>
      <c r="L93" t="s">
        <v>7038</v>
      </c>
      <c r="M93">
        <v>6.7000000000000004E-2</v>
      </c>
    </row>
    <row r="94" spans="1:13" x14ac:dyDescent="0.25">
      <c r="A94" t="s">
        <v>7039</v>
      </c>
      <c r="B94">
        <v>65866</v>
      </c>
      <c r="C94">
        <v>7898954956534</v>
      </c>
      <c r="D94">
        <v>29.9</v>
      </c>
      <c r="E94">
        <v>27</v>
      </c>
      <c r="F94">
        <v>8.81</v>
      </c>
      <c r="G94">
        <v>24.500900000000001</v>
      </c>
      <c r="H94">
        <v>0.2</v>
      </c>
      <c r="K94">
        <v>65866</v>
      </c>
      <c r="L94" t="s">
        <v>7039</v>
      </c>
      <c r="M94">
        <v>0.2</v>
      </c>
    </row>
    <row r="95" spans="1:13" x14ac:dyDescent="0.25">
      <c r="A95" t="s">
        <v>7040</v>
      </c>
      <c r="B95">
        <v>65865</v>
      </c>
      <c r="C95">
        <v>7898954956282</v>
      </c>
      <c r="D95">
        <v>29.9</v>
      </c>
      <c r="E95">
        <v>23</v>
      </c>
      <c r="F95">
        <v>20.95</v>
      </c>
      <c r="G95">
        <v>20.871300000000002</v>
      </c>
      <c r="H95">
        <v>6.7000000000000004E-2</v>
      </c>
      <c r="K95">
        <v>65865</v>
      </c>
      <c r="L95" t="s">
        <v>7040</v>
      </c>
      <c r="M95">
        <v>6.7000000000000004E-2</v>
      </c>
    </row>
    <row r="96" spans="1:13" x14ac:dyDescent="0.25">
      <c r="A96" t="s">
        <v>7041</v>
      </c>
      <c r="B96">
        <v>55688</v>
      </c>
      <c r="C96">
        <v>7896002111409</v>
      </c>
      <c r="D96">
        <v>439.9</v>
      </c>
      <c r="E96">
        <v>265.48</v>
      </c>
      <c r="F96">
        <v>35.979999999999997</v>
      </c>
      <c r="G96">
        <v>240.92330000000001</v>
      </c>
      <c r="H96">
        <v>0</v>
      </c>
      <c r="K96">
        <v>55688</v>
      </c>
      <c r="L96" t="s">
        <v>7041</v>
      </c>
      <c r="M96">
        <v>0</v>
      </c>
    </row>
    <row r="97" spans="1:13" x14ac:dyDescent="0.25">
      <c r="A97" t="s">
        <v>7042</v>
      </c>
      <c r="B97">
        <v>39661</v>
      </c>
      <c r="C97">
        <v>7896002111393</v>
      </c>
      <c r="D97">
        <v>169.9</v>
      </c>
      <c r="E97">
        <v>121.71</v>
      </c>
      <c r="F97">
        <v>24.89</v>
      </c>
      <c r="G97">
        <v>111.8944</v>
      </c>
      <c r="H97">
        <v>6.7000000000000004E-2</v>
      </c>
      <c r="K97">
        <v>39661</v>
      </c>
      <c r="L97" t="s">
        <v>7042</v>
      </c>
      <c r="M97">
        <v>6.7000000000000004E-2</v>
      </c>
    </row>
    <row r="98" spans="1:13" x14ac:dyDescent="0.25">
      <c r="A98" t="s">
        <v>7043</v>
      </c>
      <c r="B98">
        <v>39662</v>
      </c>
      <c r="C98">
        <v>7896002111386</v>
      </c>
      <c r="D98">
        <v>159.9</v>
      </c>
      <c r="E98">
        <v>123.78</v>
      </c>
      <c r="F98">
        <v>20.5</v>
      </c>
      <c r="G98">
        <v>112.3293</v>
      </c>
      <c r="H98">
        <v>0</v>
      </c>
      <c r="K98">
        <v>39662</v>
      </c>
      <c r="L98" t="s">
        <v>7043</v>
      </c>
      <c r="M98">
        <v>0</v>
      </c>
    </row>
    <row r="99" spans="1:13" x14ac:dyDescent="0.25">
      <c r="A99" t="s">
        <v>7044</v>
      </c>
      <c r="B99">
        <v>54844</v>
      </c>
      <c r="C99">
        <v>7898304990058</v>
      </c>
      <c r="D99">
        <v>49.9</v>
      </c>
      <c r="E99">
        <v>24.55</v>
      </c>
      <c r="F99">
        <v>46.11</v>
      </c>
      <c r="G99">
        <v>22.276700000000002</v>
      </c>
      <c r="H99">
        <v>0</v>
      </c>
      <c r="K99">
        <v>54844</v>
      </c>
      <c r="L99" t="s">
        <v>7044</v>
      </c>
      <c r="M99">
        <v>0</v>
      </c>
    </row>
    <row r="100" spans="1:13" x14ac:dyDescent="0.25">
      <c r="A100" t="s">
        <v>7045</v>
      </c>
      <c r="B100">
        <v>3180</v>
      </c>
      <c r="C100">
        <v>7897877000065</v>
      </c>
      <c r="D100">
        <v>54.9</v>
      </c>
      <c r="E100">
        <v>39.31</v>
      </c>
      <c r="F100">
        <v>24.24</v>
      </c>
      <c r="G100">
        <v>36.5154</v>
      </c>
      <c r="H100">
        <v>0.5</v>
      </c>
      <c r="K100">
        <v>3180</v>
      </c>
      <c r="L100" t="s">
        <v>7045</v>
      </c>
      <c r="M100">
        <v>0.433</v>
      </c>
    </row>
    <row r="101" spans="1:13" x14ac:dyDescent="0.25">
      <c r="A101" t="s">
        <v>7046</v>
      </c>
      <c r="B101">
        <v>67666</v>
      </c>
      <c r="C101">
        <v>7897877000652</v>
      </c>
      <c r="D101">
        <v>54.9</v>
      </c>
      <c r="E101">
        <v>36.86</v>
      </c>
      <c r="F101">
        <v>29.64</v>
      </c>
      <c r="G101">
        <v>33.550899999999999</v>
      </c>
      <c r="H101">
        <v>0.23300000000000001</v>
      </c>
      <c r="K101">
        <v>67666</v>
      </c>
      <c r="L101" t="s">
        <v>7046</v>
      </c>
      <c r="M101">
        <v>0.16700000000000001</v>
      </c>
    </row>
    <row r="102" spans="1:13" x14ac:dyDescent="0.25">
      <c r="A102" t="s">
        <v>7047</v>
      </c>
      <c r="B102">
        <v>31612</v>
      </c>
      <c r="C102">
        <v>7897877000270</v>
      </c>
      <c r="D102">
        <v>54.9</v>
      </c>
      <c r="E102">
        <v>36.520000000000003</v>
      </c>
      <c r="F102">
        <v>29.99</v>
      </c>
      <c r="G102">
        <v>33.358899999999998</v>
      </c>
      <c r="H102">
        <v>0.1</v>
      </c>
      <c r="K102">
        <v>31612</v>
      </c>
      <c r="L102" t="s">
        <v>7047</v>
      </c>
      <c r="M102">
        <v>0.1</v>
      </c>
    </row>
    <row r="103" spans="1:13" x14ac:dyDescent="0.25">
      <c r="A103" t="s">
        <v>7048</v>
      </c>
      <c r="B103">
        <v>66346</v>
      </c>
      <c r="C103">
        <v>7897877000621</v>
      </c>
      <c r="D103">
        <v>379.9</v>
      </c>
      <c r="E103">
        <v>266.63</v>
      </c>
      <c r="F103">
        <v>27.06</v>
      </c>
      <c r="G103">
        <v>241.97040000000001</v>
      </c>
      <c r="H103">
        <v>0</v>
      </c>
      <c r="K103">
        <v>66346</v>
      </c>
      <c r="L103" t="s">
        <v>7048</v>
      </c>
      <c r="M103">
        <v>0</v>
      </c>
    </row>
    <row r="104" spans="1:13" x14ac:dyDescent="0.25">
      <c r="A104" t="s">
        <v>7049</v>
      </c>
      <c r="B104">
        <v>43944</v>
      </c>
      <c r="C104">
        <v>7897877000263</v>
      </c>
      <c r="D104">
        <v>99.9</v>
      </c>
      <c r="E104">
        <v>62.21</v>
      </c>
      <c r="F104">
        <v>34.24</v>
      </c>
      <c r="G104">
        <v>56.457999999999998</v>
      </c>
      <c r="H104">
        <v>0</v>
      </c>
      <c r="K104">
        <v>43944</v>
      </c>
      <c r="L104" t="s">
        <v>7049</v>
      </c>
      <c r="M104">
        <v>0</v>
      </c>
    </row>
    <row r="105" spans="1:13" x14ac:dyDescent="0.25">
      <c r="A105" t="s">
        <v>7050</v>
      </c>
      <c r="B105">
        <v>43945</v>
      </c>
      <c r="C105">
        <v>7897877000164</v>
      </c>
      <c r="D105">
        <v>99.9</v>
      </c>
      <c r="E105">
        <v>68.73</v>
      </c>
      <c r="F105">
        <v>28.32</v>
      </c>
      <c r="G105">
        <v>62.369100000000003</v>
      </c>
      <c r="H105">
        <v>6.7000000000000004E-2</v>
      </c>
      <c r="K105">
        <v>43945</v>
      </c>
      <c r="L105" t="s">
        <v>7050</v>
      </c>
      <c r="M105">
        <v>6.7000000000000004E-2</v>
      </c>
    </row>
    <row r="106" spans="1:13" x14ac:dyDescent="0.25">
      <c r="A106" t="s">
        <v>7051</v>
      </c>
      <c r="B106">
        <v>43943</v>
      </c>
      <c r="C106">
        <v>7897877000256</v>
      </c>
      <c r="D106">
        <v>49.9</v>
      </c>
      <c r="E106">
        <v>36.19</v>
      </c>
      <c r="F106">
        <v>24.81</v>
      </c>
      <c r="G106">
        <v>32.9054</v>
      </c>
      <c r="H106">
        <v>0.26700000000000002</v>
      </c>
      <c r="K106">
        <v>43943</v>
      </c>
      <c r="L106" t="s">
        <v>7051</v>
      </c>
      <c r="M106">
        <v>0.26700000000000002</v>
      </c>
    </row>
    <row r="107" spans="1:13" x14ac:dyDescent="0.25">
      <c r="A107" t="s">
        <v>7052</v>
      </c>
      <c r="B107">
        <v>50636</v>
      </c>
      <c r="C107">
        <v>7897877000492</v>
      </c>
      <c r="D107">
        <v>54.9</v>
      </c>
      <c r="E107">
        <v>37.229999999999997</v>
      </c>
      <c r="F107">
        <v>28.26</v>
      </c>
      <c r="G107">
        <v>34.308399999999999</v>
      </c>
      <c r="H107">
        <v>0.33300000000000002</v>
      </c>
      <c r="K107">
        <v>50636</v>
      </c>
      <c r="L107" t="s">
        <v>7052</v>
      </c>
      <c r="M107">
        <v>0.3</v>
      </c>
    </row>
    <row r="108" spans="1:13" x14ac:dyDescent="0.25">
      <c r="A108" t="s">
        <v>7053</v>
      </c>
      <c r="B108">
        <v>66347</v>
      </c>
      <c r="C108">
        <v>7897877000409</v>
      </c>
      <c r="D108">
        <v>59.9</v>
      </c>
      <c r="E108">
        <v>43.27</v>
      </c>
      <c r="F108">
        <v>25.19</v>
      </c>
      <c r="G108">
        <v>39.269799999999996</v>
      </c>
      <c r="H108">
        <v>0.1</v>
      </c>
      <c r="K108">
        <v>66347</v>
      </c>
      <c r="L108" t="s">
        <v>7053</v>
      </c>
      <c r="M108">
        <v>6.7000000000000004E-2</v>
      </c>
    </row>
    <row r="109" spans="1:13" x14ac:dyDescent="0.25">
      <c r="A109" t="s">
        <v>7054</v>
      </c>
      <c r="B109">
        <v>28913</v>
      </c>
      <c r="C109">
        <v>7897877000249</v>
      </c>
      <c r="D109">
        <v>54.9</v>
      </c>
      <c r="E109">
        <v>37.75</v>
      </c>
      <c r="F109">
        <v>28.07</v>
      </c>
      <c r="G109">
        <v>34.409100000000002</v>
      </c>
      <c r="H109">
        <v>0.6</v>
      </c>
      <c r="K109">
        <v>28913</v>
      </c>
      <c r="L109" t="s">
        <v>7054</v>
      </c>
      <c r="M109">
        <v>0.46700000000000003</v>
      </c>
    </row>
    <row r="110" spans="1:13" x14ac:dyDescent="0.25">
      <c r="A110" t="s">
        <v>7055</v>
      </c>
      <c r="B110">
        <v>35990</v>
      </c>
      <c r="C110">
        <v>7898255980399</v>
      </c>
      <c r="D110">
        <v>36.9</v>
      </c>
      <c r="E110">
        <v>25.07</v>
      </c>
      <c r="F110">
        <v>29.05</v>
      </c>
      <c r="G110">
        <v>22.766400000000001</v>
      </c>
      <c r="H110">
        <v>1.367</v>
      </c>
      <c r="K110">
        <v>35990</v>
      </c>
      <c r="L110" t="s">
        <v>7055</v>
      </c>
      <c r="M110">
        <v>0.33300000000000002</v>
      </c>
    </row>
    <row r="111" spans="1:13" x14ac:dyDescent="0.25">
      <c r="A111" t="s">
        <v>7056</v>
      </c>
      <c r="B111">
        <v>66536</v>
      </c>
      <c r="C111">
        <v>7898255980603</v>
      </c>
      <c r="D111">
        <v>39.9</v>
      </c>
      <c r="E111">
        <v>29.45</v>
      </c>
      <c r="F111">
        <v>23.38</v>
      </c>
      <c r="G111">
        <v>26.8796</v>
      </c>
      <c r="H111">
        <v>1.4330000000000001</v>
      </c>
      <c r="K111">
        <v>66536</v>
      </c>
      <c r="L111" t="s">
        <v>7056</v>
      </c>
      <c r="M111">
        <v>0.2</v>
      </c>
    </row>
    <row r="112" spans="1:13" x14ac:dyDescent="0.25">
      <c r="A112" t="s">
        <v>7057</v>
      </c>
      <c r="B112">
        <v>64560</v>
      </c>
      <c r="C112">
        <v>7898255980436</v>
      </c>
      <c r="D112">
        <v>31.9</v>
      </c>
      <c r="E112">
        <v>22.57</v>
      </c>
      <c r="F112">
        <v>26.9</v>
      </c>
      <c r="G112">
        <v>20.368200000000002</v>
      </c>
      <c r="H112">
        <v>1.5669999999999999</v>
      </c>
      <c r="K112">
        <v>64560</v>
      </c>
      <c r="L112" t="s">
        <v>7057</v>
      </c>
      <c r="M112">
        <v>0.66700000000000004</v>
      </c>
    </row>
    <row r="113" spans="1:13" x14ac:dyDescent="0.25">
      <c r="A113" t="s">
        <v>7058</v>
      </c>
      <c r="B113">
        <v>69189</v>
      </c>
      <c r="C113">
        <v>7898255980610</v>
      </c>
      <c r="D113">
        <v>99.9</v>
      </c>
      <c r="E113">
        <v>66.739999999999995</v>
      </c>
      <c r="F113">
        <v>30.12</v>
      </c>
      <c r="G113">
        <v>60.566099999999999</v>
      </c>
      <c r="H113">
        <v>0.185</v>
      </c>
      <c r="K113">
        <v>69189</v>
      </c>
      <c r="L113" t="s">
        <v>7058</v>
      </c>
      <c r="M113">
        <v>0.1</v>
      </c>
    </row>
    <row r="114" spans="1:13" x14ac:dyDescent="0.25">
      <c r="A114" t="s">
        <v>7059</v>
      </c>
      <c r="B114">
        <v>66837</v>
      </c>
      <c r="C114">
        <v>7898255980474</v>
      </c>
      <c r="D114">
        <v>99.9</v>
      </c>
      <c r="E114">
        <v>65.95</v>
      </c>
      <c r="F114">
        <v>29.79</v>
      </c>
      <c r="G114">
        <v>60.900100000000002</v>
      </c>
      <c r="H114">
        <v>3.3000000000000002E-2</v>
      </c>
      <c r="K114">
        <v>66837</v>
      </c>
      <c r="L114" t="s">
        <v>7059</v>
      </c>
      <c r="M114">
        <v>0</v>
      </c>
    </row>
    <row r="115" spans="1:13" x14ac:dyDescent="0.25">
      <c r="A115" t="s">
        <v>7060</v>
      </c>
      <c r="B115">
        <v>66838</v>
      </c>
      <c r="C115">
        <v>7898255980467</v>
      </c>
      <c r="D115">
        <v>99.9</v>
      </c>
      <c r="E115">
        <v>65.56</v>
      </c>
      <c r="F115">
        <v>30.88</v>
      </c>
      <c r="G115">
        <v>59.814999999999998</v>
      </c>
      <c r="H115">
        <v>3.3000000000000002E-2</v>
      </c>
      <c r="K115">
        <v>66838</v>
      </c>
      <c r="L115" t="s">
        <v>7060</v>
      </c>
      <c r="M115">
        <v>0</v>
      </c>
    </row>
    <row r="116" spans="1:13" x14ac:dyDescent="0.25">
      <c r="A116" t="s">
        <v>7061</v>
      </c>
      <c r="B116">
        <v>69511</v>
      </c>
      <c r="C116">
        <v>7898010860164</v>
      </c>
      <c r="D116">
        <v>54.9</v>
      </c>
      <c r="E116">
        <v>37.32</v>
      </c>
      <c r="F116">
        <v>29.05</v>
      </c>
      <c r="G116">
        <v>33.871000000000002</v>
      </c>
      <c r="H116">
        <v>0.42299999999999999</v>
      </c>
      <c r="K116">
        <v>69511</v>
      </c>
      <c r="L116" t="s">
        <v>7061</v>
      </c>
      <c r="M116">
        <v>0.35</v>
      </c>
    </row>
    <row r="117" spans="1:13" x14ac:dyDescent="0.25">
      <c r="A117" t="s">
        <v>7062</v>
      </c>
      <c r="B117">
        <v>69517</v>
      </c>
      <c r="C117">
        <v>7898010860027</v>
      </c>
      <c r="D117">
        <v>42.9</v>
      </c>
      <c r="E117">
        <v>29.34</v>
      </c>
      <c r="F117">
        <v>28.68</v>
      </c>
      <c r="G117">
        <v>26.6282</v>
      </c>
      <c r="H117">
        <v>0.183</v>
      </c>
      <c r="K117">
        <v>69517</v>
      </c>
      <c r="L117" t="s">
        <v>7062</v>
      </c>
      <c r="M117">
        <v>0</v>
      </c>
    </row>
    <row r="118" spans="1:13" x14ac:dyDescent="0.25">
      <c r="A118" t="s">
        <v>7063</v>
      </c>
      <c r="B118">
        <v>3181</v>
      </c>
      <c r="C118">
        <v>7898010861284</v>
      </c>
      <c r="D118">
        <v>39.9</v>
      </c>
      <c r="E118">
        <v>29.02</v>
      </c>
      <c r="F118">
        <v>28.03</v>
      </c>
      <c r="G118">
        <v>25.024799999999999</v>
      </c>
      <c r="H118">
        <v>0.8</v>
      </c>
      <c r="K118">
        <v>3181</v>
      </c>
      <c r="L118" t="s">
        <v>7063</v>
      </c>
      <c r="M118">
        <v>0.76700000000000002</v>
      </c>
    </row>
    <row r="119" spans="1:13" x14ac:dyDescent="0.25">
      <c r="A119" t="s">
        <v>7064</v>
      </c>
      <c r="B119">
        <v>69520</v>
      </c>
      <c r="C119">
        <v>7898010860171</v>
      </c>
      <c r="D119">
        <v>120.9</v>
      </c>
      <c r="E119">
        <v>85.57</v>
      </c>
      <c r="F119">
        <v>26.52</v>
      </c>
      <c r="G119">
        <v>77.656400000000005</v>
      </c>
      <c r="H119">
        <v>5.2999999999999999E-2</v>
      </c>
      <c r="K119">
        <v>69520</v>
      </c>
      <c r="L119" t="s">
        <v>7064</v>
      </c>
      <c r="M119">
        <v>0</v>
      </c>
    </row>
    <row r="120" spans="1:13" x14ac:dyDescent="0.25">
      <c r="A120" t="s">
        <v>7065</v>
      </c>
      <c r="B120">
        <v>69512</v>
      </c>
      <c r="C120">
        <v>7898010861246</v>
      </c>
      <c r="D120">
        <v>54.9</v>
      </c>
      <c r="E120">
        <v>34.24</v>
      </c>
      <c r="F120">
        <v>34.159999999999997</v>
      </c>
      <c r="G120">
        <v>31.0686</v>
      </c>
      <c r="H120">
        <v>0</v>
      </c>
      <c r="K120">
        <v>69512</v>
      </c>
      <c r="L120" t="s">
        <v>7065</v>
      </c>
      <c r="M120">
        <v>0</v>
      </c>
    </row>
    <row r="121" spans="1:13" x14ac:dyDescent="0.25">
      <c r="A121" t="s">
        <v>7066</v>
      </c>
      <c r="B121">
        <v>69515</v>
      </c>
      <c r="C121">
        <v>7898010861253</v>
      </c>
      <c r="D121">
        <v>39.9</v>
      </c>
      <c r="E121">
        <v>26.46</v>
      </c>
      <c r="F121">
        <v>30.58</v>
      </c>
      <c r="G121">
        <v>24.007400000000001</v>
      </c>
      <c r="H121">
        <v>0.23599999999999999</v>
      </c>
      <c r="K121">
        <v>69515</v>
      </c>
      <c r="L121" t="s">
        <v>7066</v>
      </c>
      <c r="M121">
        <v>0.1</v>
      </c>
    </row>
    <row r="122" spans="1:13" x14ac:dyDescent="0.25">
      <c r="A122" t="s">
        <v>7067</v>
      </c>
      <c r="B122">
        <v>27648</v>
      </c>
      <c r="C122">
        <v>7898255980016</v>
      </c>
      <c r="D122">
        <v>74.900000000000006</v>
      </c>
      <c r="E122">
        <v>55.96</v>
      </c>
      <c r="F122">
        <v>22.42</v>
      </c>
      <c r="G122">
        <v>51.179499999999997</v>
      </c>
      <c r="H122">
        <v>0.33300000000000002</v>
      </c>
      <c r="K122">
        <v>27648</v>
      </c>
      <c r="L122" t="s">
        <v>7067</v>
      </c>
      <c r="M122">
        <v>6.7000000000000004E-2</v>
      </c>
    </row>
    <row r="123" spans="1:13" x14ac:dyDescent="0.25">
      <c r="A123" t="s">
        <v>7068</v>
      </c>
      <c r="B123">
        <v>27646</v>
      </c>
      <c r="C123">
        <v>7898255980245</v>
      </c>
      <c r="D123">
        <v>74.900000000000006</v>
      </c>
      <c r="E123">
        <v>55.03</v>
      </c>
      <c r="F123">
        <v>24.07</v>
      </c>
      <c r="G123">
        <v>49.942799999999998</v>
      </c>
      <c r="H123">
        <v>3.3000000000000002E-2</v>
      </c>
      <c r="K123">
        <v>27646</v>
      </c>
      <c r="L123" t="s">
        <v>7068</v>
      </c>
      <c r="M123">
        <v>3.3000000000000002E-2</v>
      </c>
    </row>
    <row r="124" spans="1:13" x14ac:dyDescent="0.25">
      <c r="A124" t="s">
        <v>7069</v>
      </c>
      <c r="B124">
        <v>27647</v>
      </c>
      <c r="C124">
        <v>7898255980047</v>
      </c>
      <c r="D124">
        <v>74.900000000000006</v>
      </c>
      <c r="E124">
        <v>56.71</v>
      </c>
      <c r="F124">
        <v>22.01</v>
      </c>
      <c r="G124">
        <v>51.485700000000001</v>
      </c>
      <c r="H124">
        <v>0.13300000000000001</v>
      </c>
      <c r="K124">
        <v>27647</v>
      </c>
      <c r="L124" t="s">
        <v>7069</v>
      </c>
      <c r="M124">
        <v>0.1</v>
      </c>
    </row>
    <row r="125" spans="1:13" x14ac:dyDescent="0.25">
      <c r="A125" t="s">
        <v>7070</v>
      </c>
      <c r="B125">
        <v>67227</v>
      </c>
      <c r="C125">
        <v>7898954956589</v>
      </c>
      <c r="D125">
        <v>359.9</v>
      </c>
      <c r="E125">
        <v>280</v>
      </c>
      <c r="F125">
        <v>20.149999999999999</v>
      </c>
      <c r="G125">
        <v>254.1</v>
      </c>
      <c r="H125">
        <v>3.3000000000000002E-2</v>
      </c>
      <c r="K125">
        <v>67227</v>
      </c>
      <c r="L125" t="s">
        <v>7070</v>
      </c>
      <c r="M125">
        <v>3.3000000000000002E-2</v>
      </c>
    </row>
    <row r="126" spans="1:13" x14ac:dyDescent="0.25">
      <c r="A126" t="s">
        <v>7071</v>
      </c>
      <c r="B126">
        <v>65863</v>
      </c>
      <c r="C126">
        <v>7898954956107</v>
      </c>
      <c r="D126">
        <v>199.9</v>
      </c>
      <c r="E126">
        <v>130</v>
      </c>
      <c r="F126">
        <v>31.73</v>
      </c>
      <c r="G126">
        <v>117.976</v>
      </c>
      <c r="H126">
        <v>0</v>
      </c>
      <c r="K126">
        <v>65863</v>
      </c>
      <c r="L126" t="s">
        <v>7071</v>
      </c>
      <c r="M126">
        <v>0</v>
      </c>
    </row>
    <row r="127" spans="1:13" x14ac:dyDescent="0.25">
      <c r="A127" t="s">
        <v>7072</v>
      </c>
      <c r="B127">
        <v>27643</v>
      </c>
      <c r="C127">
        <v>7896548900161</v>
      </c>
      <c r="D127">
        <v>99.9</v>
      </c>
      <c r="E127">
        <v>69.489999999999995</v>
      </c>
      <c r="F127">
        <v>27.77</v>
      </c>
      <c r="G127">
        <v>62.915300000000002</v>
      </c>
      <c r="H127">
        <v>3.3000000000000002E-2</v>
      </c>
      <c r="K127">
        <v>27643</v>
      </c>
      <c r="L127" t="s">
        <v>7072</v>
      </c>
      <c r="M127">
        <v>3.3000000000000002E-2</v>
      </c>
    </row>
    <row r="128" spans="1:13" x14ac:dyDescent="0.25">
      <c r="A128" t="s">
        <v>7073</v>
      </c>
      <c r="B128">
        <v>28881</v>
      </c>
      <c r="C128">
        <v>7896050200858</v>
      </c>
      <c r="D128">
        <v>69.900000000000006</v>
      </c>
      <c r="E128">
        <v>23.91</v>
      </c>
      <c r="F128">
        <v>59.7</v>
      </c>
      <c r="G128">
        <v>21.7012</v>
      </c>
      <c r="H128">
        <v>3.3000000000000002E-2</v>
      </c>
      <c r="K128">
        <v>28881</v>
      </c>
      <c r="L128" t="s">
        <v>7073</v>
      </c>
      <c r="M128">
        <v>3.3000000000000002E-2</v>
      </c>
    </row>
    <row r="129" spans="1:13" x14ac:dyDescent="0.25">
      <c r="A129" t="s">
        <v>7074</v>
      </c>
      <c r="B129">
        <v>69346</v>
      </c>
      <c r="C129">
        <v>7896050200261</v>
      </c>
      <c r="D129">
        <v>12.9</v>
      </c>
      <c r="E129">
        <v>8.4</v>
      </c>
      <c r="F129">
        <v>31.68</v>
      </c>
      <c r="G129">
        <v>7.6204000000000001</v>
      </c>
      <c r="H129">
        <v>113.21599999999999</v>
      </c>
      <c r="K129">
        <v>69346</v>
      </c>
      <c r="L129" t="s">
        <v>7074</v>
      </c>
      <c r="M129">
        <v>154.30699999999999</v>
      </c>
    </row>
    <row r="130" spans="1:13" x14ac:dyDescent="0.25">
      <c r="A130" t="s">
        <v>7075</v>
      </c>
      <c r="B130">
        <v>34391</v>
      </c>
      <c r="C130">
        <v>7896050200124</v>
      </c>
      <c r="D130">
        <v>15.9</v>
      </c>
      <c r="E130">
        <v>11.34</v>
      </c>
      <c r="F130">
        <v>26.42</v>
      </c>
      <c r="G130">
        <v>10.2286</v>
      </c>
      <c r="H130">
        <v>16.766999999999999</v>
      </c>
      <c r="K130">
        <v>34391</v>
      </c>
      <c r="L130" t="s">
        <v>7075</v>
      </c>
      <c r="M130">
        <v>15.266999999999999</v>
      </c>
    </row>
    <row r="131" spans="1:13" x14ac:dyDescent="0.25">
      <c r="A131" t="s">
        <v>7076</v>
      </c>
      <c r="B131">
        <v>69345</v>
      </c>
      <c r="C131">
        <v>7896050200865</v>
      </c>
      <c r="D131">
        <v>49.9</v>
      </c>
      <c r="E131">
        <v>30.71</v>
      </c>
      <c r="F131">
        <v>34.9</v>
      </c>
      <c r="G131">
        <v>27.869499999999999</v>
      </c>
      <c r="H131">
        <v>0.14000000000000001</v>
      </c>
      <c r="K131">
        <v>69345</v>
      </c>
      <c r="L131" t="s">
        <v>7076</v>
      </c>
      <c r="M131">
        <v>0.14000000000000001</v>
      </c>
    </row>
    <row r="132" spans="1:13" x14ac:dyDescent="0.25">
      <c r="A132" t="s">
        <v>7077</v>
      </c>
      <c r="B132">
        <v>69342</v>
      </c>
      <c r="C132">
        <v>7896050200810</v>
      </c>
      <c r="D132">
        <v>149.9</v>
      </c>
      <c r="E132">
        <v>93.53</v>
      </c>
      <c r="F132">
        <v>34.130000000000003</v>
      </c>
      <c r="G132">
        <v>84.875799999999998</v>
      </c>
      <c r="H132">
        <v>0</v>
      </c>
      <c r="K132">
        <v>69342</v>
      </c>
      <c r="L132" t="s">
        <v>7077</v>
      </c>
      <c r="M132">
        <v>0</v>
      </c>
    </row>
    <row r="133" spans="1:13" x14ac:dyDescent="0.25">
      <c r="A133" t="s">
        <v>7078</v>
      </c>
      <c r="B133">
        <v>69344</v>
      </c>
      <c r="C133">
        <v>7896050201466</v>
      </c>
      <c r="D133">
        <v>249.9</v>
      </c>
      <c r="E133">
        <v>179.22</v>
      </c>
      <c r="F133">
        <v>25.67</v>
      </c>
      <c r="G133">
        <v>162.6414</v>
      </c>
      <c r="H133">
        <v>0</v>
      </c>
      <c r="K133">
        <v>69344</v>
      </c>
      <c r="L133" t="s">
        <v>7078</v>
      </c>
      <c r="M133">
        <v>0</v>
      </c>
    </row>
    <row r="134" spans="1:13" x14ac:dyDescent="0.25">
      <c r="A134" t="s">
        <v>7079</v>
      </c>
      <c r="B134">
        <v>34393</v>
      </c>
      <c r="C134">
        <v>7896050200889</v>
      </c>
      <c r="D134">
        <v>199.9</v>
      </c>
      <c r="E134">
        <v>119.84</v>
      </c>
      <c r="F134">
        <v>36.35</v>
      </c>
      <c r="G134">
        <v>108.7521</v>
      </c>
      <c r="H134">
        <v>0</v>
      </c>
      <c r="K134">
        <v>34393</v>
      </c>
      <c r="L134" t="s">
        <v>7079</v>
      </c>
      <c r="M134">
        <v>0</v>
      </c>
    </row>
    <row r="135" spans="1:13" x14ac:dyDescent="0.25">
      <c r="A135" t="s">
        <v>7080</v>
      </c>
      <c r="B135">
        <v>69343</v>
      </c>
      <c r="C135">
        <v>7896050201114</v>
      </c>
      <c r="D135">
        <v>199.9</v>
      </c>
      <c r="E135">
        <v>119.84</v>
      </c>
      <c r="F135">
        <v>36.35</v>
      </c>
      <c r="G135">
        <v>108.752</v>
      </c>
      <c r="H135">
        <v>4.2000000000000003E-2</v>
      </c>
      <c r="K135">
        <v>69343</v>
      </c>
      <c r="L135" t="s">
        <v>7080</v>
      </c>
      <c r="M135">
        <v>4.2000000000000003E-2</v>
      </c>
    </row>
    <row r="136" spans="1:13" x14ac:dyDescent="0.25">
      <c r="A136" t="s">
        <v>7081</v>
      </c>
      <c r="B136">
        <v>49219</v>
      </c>
      <c r="C136">
        <v>7898013033596</v>
      </c>
      <c r="D136">
        <v>99.9</v>
      </c>
      <c r="E136">
        <v>65.28</v>
      </c>
      <c r="F136">
        <v>31.45</v>
      </c>
      <c r="G136">
        <v>59.238500000000002</v>
      </c>
      <c r="H136">
        <v>1.5329999999999999</v>
      </c>
      <c r="K136">
        <v>49219</v>
      </c>
      <c r="L136" t="s">
        <v>7081</v>
      </c>
      <c r="M136">
        <v>0.56699999999999995</v>
      </c>
    </row>
    <row r="137" spans="1:13" x14ac:dyDescent="0.25">
      <c r="A137" t="s">
        <v>7082</v>
      </c>
      <c r="B137">
        <v>28910</v>
      </c>
      <c r="C137">
        <v>7898013039376</v>
      </c>
      <c r="D137">
        <v>89.9</v>
      </c>
      <c r="E137">
        <v>56.46</v>
      </c>
      <c r="F137">
        <v>33.909999999999997</v>
      </c>
      <c r="G137">
        <v>51.097000000000001</v>
      </c>
      <c r="H137">
        <v>0.1</v>
      </c>
      <c r="K137">
        <v>28910</v>
      </c>
      <c r="L137" t="s">
        <v>7082</v>
      </c>
      <c r="M137">
        <v>0.1</v>
      </c>
    </row>
    <row r="138" spans="1:13" x14ac:dyDescent="0.25">
      <c r="A138" t="s">
        <v>7083</v>
      </c>
      <c r="B138">
        <v>49221</v>
      </c>
      <c r="C138">
        <v>7898013033572</v>
      </c>
      <c r="D138">
        <v>89.9</v>
      </c>
      <c r="E138">
        <v>56.83</v>
      </c>
      <c r="F138">
        <v>33.299999999999997</v>
      </c>
      <c r="G138">
        <v>51.645000000000003</v>
      </c>
      <c r="H138">
        <v>0.16700000000000001</v>
      </c>
      <c r="K138">
        <v>49221</v>
      </c>
      <c r="L138" t="s">
        <v>7083</v>
      </c>
      <c r="M138">
        <v>0.13300000000000001</v>
      </c>
    </row>
    <row r="139" spans="1:13" x14ac:dyDescent="0.25">
      <c r="A139" t="s">
        <v>7084</v>
      </c>
      <c r="B139">
        <v>35984</v>
      </c>
      <c r="C139">
        <v>7898013032186</v>
      </c>
      <c r="D139">
        <v>249.9</v>
      </c>
      <c r="E139">
        <v>173.67</v>
      </c>
      <c r="F139">
        <v>27.2</v>
      </c>
      <c r="G139">
        <v>158.8186</v>
      </c>
      <c r="H139">
        <v>0</v>
      </c>
      <c r="K139">
        <v>35984</v>
      </c>
      <c r="L139" t="s">
        <v>7084</v>
      </c>
      <c r="M139">
        <v>0</v>
      </c>
    </row>
    <row r="140" spans="1:13" x14ac:dyDescent="0.25">
      <c r="A140" t="s">
        <v>7085</v>
      </c>
      <c r="B140">
        <v>57993</v>
      </c>
      <c r="C140">
        <v>7898013033046</v>
      </c>
      <c r="D140">
        <v>299.89999999999998</v>
      </c>
      <c r="E140">
        <v>191.63</v>
      </c>
      <c r="F140">
        <v>32.76</v>
      </c>
      <c r="G140">
        <v>173.9006</v>
      </c>
      <c r="H140">
        <v>6.7000000000000004E-2</v>
      </c>
      <c r="K140">
        <v>57993</v>
      </c>
      <c r="L140" t="s">
        <v>7085</v>
      </c>
      <c r="M140">
        <v>6.7000000000000004E-2</v>
      </c>
    </row>
    <row r="141" spans="1:13" x14ac:dyDescent="0.25">
      <c r="A141" t="s">
        <v>7086</v>
      </c>
      <c r="B141">
        <v>48059</v>
      </c>
      <c r="C141">
        <v>7898013032100</v>
      </c>
      <c r="D141">
        <v>249.9</v>
      </c>
      <c r="E141">
        <v>173.66</v>
      </c>
      <c r="F141">
        <v>27.69</v>
      </c>
      <c r="G141">
        <v>157.595</v>
      </c>
      <c r="H141">
        <v>0</v>
      </c>
      <c r="K141">
        <v>48059</v>
      </c>
      <c r="L141" t="s">
        <v>7086</v>
      </c>
      <c r="M141">
        <v>0</v>
      </c>
    </row>
    <row r="142" spans="1:13" x14ac:dyDescent="0.25">
      <c r="A142" t="s">
        <v>7087</v>
      </c>
      <c r="B142">
        <v>28914</v>
      </c>
      <c r="C142">
        <v>7898013032117</v>
      </c>
      <c r="D142">
        <v>89.9</v>
      </c>
      <c r="E142">
        <v>56.51</v>
      </c>
      <c r="F142">
        <v>33.78</v>
      </c>
      <c r="G142">
        <v>51.218699999999998</v>
      </c>
      <c r="H142">
        <v>0.1</v>
      </c>
      <c r="K142">
        <v>28914</v>
      </c>
      <c r="L142" t="s">
        <v>7087</v>
      </c>
      <c r="M142">
        <v>6.7000000000000004E-2</v>
      </c>
    </row>
    <row r="143" spans="1:13" x14ac:dyDescent="0.25">
      <c r="A143" t="s">
        <v>7088</v>
      </c>
      <c r="B143">
        <v>35982</v>
      </c>
      <c r="C143">
        <v>7898013032162</v>
      </c>
      <c r="D143">
        <v>87.73</v>
      </c>
      <c r="E143">
        <v>57.78</v>
      </c>
      <c r="F143">
        <v>30.97</v>
      </c>
      <c r="G143">
        <v>52.439300000000003</v>
      </c>
      <c r="H143">
        <v>0</v>
      </c>
      <c r="K143">
        <v>35982</v>
      </c>
      <c r="L143" t="s">
        <v>7088</v>
      </c>
      <c r="M143">
        <v>0</v>
      </c>
    </row>
    <row r="144" spans="1:13" x14ac:dyDescent="0.25">
      <c r="A144" t="s">
        <v>7089</v>
      </c>
      <c r="B144">
        <v>31143</v>
      </c>
      <c r="C144">
        <v>7896383730510</v>
      </c>
      <c r="D144">
        <v>179.9</v>
      </c>
      <c r="E144">
        <v>112.94</v>
      </c>
      <c r="F144">
        <v>33.33</v>
      </c>
      <c r="G144">
        <v>103.3066</v>
      </c>
      <c r="H144">
        <v>0</v>
      </c>
      <c r="K144">
        <v>31143</v>
      </c>
      <c r="L144" t="s">
        <v>7089</v>
      </c>
      <c r="M144">
        <v>0</v>
      </c>
    </row>
    <row r="145" spans="1:13" x14ac:dyDescent="0.25">
      <c r="A145" t="s">
        <v>7090</v>
      </c>
      <c r="B145">
        <v>60608</v>
      </c>
      <c r="C145">
        <v>7893220264436</v>
      </c>
      <c r="D145">
        <v>99.9</v>
      </c>
      <c r="E145">
        <v>47.47</v>
      </c>
      <c r="F145">
        <v>38.18</v>
      </c>
      <c r="G145">
        <v>34.537999999999997</v>
      </c>
      <c r="H145">
        <v>0</v>
      </c>
      <c r="K145">
        <v>60608</v>
      </c>
      <c r="L145" t="s">
        <v>7090</v>
      </c>
      <c r="M145">
        <v>0</v>
      </c>
    </row>
    <row r="146" spans="1:13" x14ac:dyDescent="0.25">
      <c r="A146" t="s">
        <v>7091</v>
      </c>
      <c r="B146">
        <v>63999</v>
      </c>
      <c r="C146">
        <v>7893220294273</v>
      </c>
      <c r="D146">
        <v>24.9</v>
      </c>
      <c r="E146">
        <v>12.5</v>
      </c>
      <c r="F146">
        <v>44.76</v>
      </c>
      <c r="G146">
        <v>11.4505</v>
      </c>
      <c r="H146">
        <v>0.16700000000000001</v>
      </c>
      <c r="K146">
        <v>63999</v>
      </c>
      <c r="L146" t="s">
        <v>7091</v>
      </c>
      <c r="M146">
        <v>0.16700000000000001</v>
      </c>
    </row>
    <row r="147" spans="1:13" x14ac:dyDescent="0.25">
      <c r="A147" t="s">
        <v>7092</v>
      </c>
      <c r="B147">
        <v>67280</v>
      </c>
      <c r="C147">
        <v>7891098042392</v>
      </c>
      <c r="D147">
        <v>13.9</v>
      </c>
      <c r="E147">
        <v>8.27</v>
      </c>
      <c r="F147">
        <v>29.44</v>
      </c>
      <c r="G147">
        <v>6.0206999999999997</v>
      </c>
      <c r="H147">
        <v>2.633</v>
      </c>
      <c r="K147">
        <v>67280</v>
      </c>
      <c r="L147" t="s">
        <v>7092</v>
      </c>
      <c r="M147">
        <v>2.6669999999999998</v>
      </c>
    </row>
    <row r="148" spans="1:13" x14ac:dyDescent="0.25">
      <c r="A148" t="s">
        <v>7093</v>
      </c>
      <c r="B148">
        <v>67279</v>
      </c>
      <c r="C148">
        <v>7891098042385</v>
      </c>
      <c r="D148">
        <v>13.9</v>
      </c>
      <c r="E148">
        <v>8.2899999999999991</v>
      </c>
      <c r="F148">
        <v>29.37</v>
      </c>
      <c r="G148">
        <v>6.0303000000000004</v>
      </c>
      <c r="H148">
        <v>1.9330000000000001</v>
      </c>
      <c r="K148">
        <v>67279</v>
      </c>
      <c r="L148" t="s">
        <v>7093</v>
      </c>
      <c r="M148">
        <v>2.1669999999999998</v>
      </c>
    </row>
    <row r="149" spans="1:13" x14ac:dyDescent="0.25">
      <c r="A149" t="s">
        <v>7094</v>
      </c>
      <c r="B149">
        <v>64951</v>
      </c>
      <c r="C149">
        <v>3359952005005</v>
      </c>
      <c r="D149">
        <v>699.9</v>
      </c>
      <c r="E149">
        <v>493.26</v>
      </c>
      <c r="F149">
        <v>19.41</v>
      </c>
      <c r="G149">
        <v>324.32130000000001</v>
      </c>
      <c r="H149">
        <v>0</v>
      </c>
      <c r="K149">
        <v>64951</v>
      </c>
      <c r="L149" t="s">
        <v>7094</v>
      </c>
      <c r="M149">
        <v>0</v>
      </c>
    </row>
    <row r="150" spans="1:13" x14ac:dyDescent="0.25">
      <c r="A150" t="s">
        <v>7095</v>
      </c>
      <c r="B150">
        <v>64952</v>
      </c>
      <c r="C150">
        <v>3359950180551</v>
      </c>
      <c r="D150">
        <v>799.9</v>
      </c>
      <c r="E150">
        <v>563.27</v>
      </c>
      <c r="F150">
        <v>19.45</v>
      </c>
      <c r="G150">
        <v>370.35</v>
      </c>
      <c r="H150">
        <v>0</v>
      </c>
      <c r="K150">
        <v>64952</v>
      </c>
      <c r="L150" t="s">
        <v>7095</v>
      </c>
      <c r="M150">
        <v>0</v>
      </c>
    </row>
    <row r="151" spans="1:13" x14ac:dyDescent="0.25">
      <c r="A151" t="s">
        <v>7096</v>
      </c>
      <c r="B151">
        <v>46239</v>
      </c>
      <c r="C151">
        <v>3185370722329</v>
      </c>
      <c r="D151" s="1">
        <v>2219.9</v>
      </c>
      <c r="E151" s="1">
        <v>1395.8</v>
      </c>
      <c r="F151">
        <v>23.77</v>
      </c>
      <c r="G151">
        <v>931.86630000000002</v>
      </c>
      <c r="H151">
        <v>3.3000000000000002E-2</v>
      </c>
      <c r="K151">
        <v>46239</v>
      </c>
      <c r="L151" t="s">
        <v>7096</v>
      </c>
      <c r="M151">
        <v>3.3000000000000002E-2</v>
      </c>
    </row>
    <row r="152" spans="1:13" x14ac:dyDescent="0.25">
      <c r="A152" t="s">
        <v>7097</v>
      </c>
      <c r="B152">
        <v>65293</v>
      </c>
      <c r="C152">
        <v>3043700104613</v>
      </c>
      <c r="D152">
        <v>499.9</v>
      </c>
      <c r="E152">
        <v>354.91</v>
      </c>
      <c r="F152">
        <v>19.07</v>
      </c>
      <c r="G152">
        <v>233.35480000000001</v>
      </c>
      <c r="H152">
        <v>0</v>
      </c>
      <c r="K152">
        <v>65293</v>
      </c>
      <c r="L152" t="s">
        <v>7097</v>
      </c>
      <c r="M152">
        <v>0</v>
      </c>
    </row>
    <row r="153" spans="1:13" x14ac:dyDescent="0.25">
      <c r="A153" t="s">
        <v>7098</v>
      </c>
      <c r="B153">
        <v>62759</v>
      </c>
      <c r="C153">
        <v>3185370010624</v>
      </c>
      <c r="D153" s="1">
        <v>4299.8999999999996</v>
      </c>
      <c r="E153" s="1">
        <v>2644.85</v>
      </c>
      <c r="F153">
        <v>25.31</v>
      </c>
      <c r="G153" s="1">
        <v>1738.99</v>
      </c>
      <c r="H153">
        <v>0</v>
      </c>
      <c r="K153">
        <v>62759</v>
      </c>
      <c r="L153" t="s">
        <v>7098</v>
      </c>
      <c r="M153">
        <v>0</v>
      </c>
    </row>
    <row r="154" spans="1:13" x14ac:dyDescent="0.25">
      <c r="A154" t="s">
        <v>7099</v>
      </c>
      <c r="B154">
        <v>16003</v>
      </c>
      <c r="C154">
        <v>3185370729960</v>
      </c>
      <c r="D154">
        <v>454.74</v>
      </c>
      <c r="E154">
        <v>261.23</v>
      </c>
      <c r="F154">
        <v>23.26</v>
      </c>
      <c r="G154">
        <v>193.20240000000001</v>
      </c>
      <c r="H154">
        <v>0</v>
      </c>
      <c r="K154">
        <v>16003</v>
      </c>
      <c r="L154" t="s">
        <v>7099</v>
      </c>
      <c r="M154">
        <v>0</v>
      </c>
    </row>
    <row r="155" spans="1:13" x14ac:dyDescent="0.25">
      <c r="A155" t="s">
        <v>7100</v>
      </c>
      <c r="B155">
        <v>23203</v>
      </c>
      <c r="C155">
        <v>3185370068441</v>
      </c>
      <c r="D155">
        <v>499.9</v>
      </c>
      <c r="E155">
        <v>320.44</v>
      </c>
      <c r="F155">
        <v>23.31</v>
      </c>
      <c r="G155">
        <v>212.14160000000001</v>
      </c>
      <c r="H155">
        <v>0</v>
      </c>
      <c r="K155">
        <v>23203</v>
      </c>
      <c r="L155" t="s">
        <v>7100</v>
      </c>
      <c r="M155">
        <v>0</v>
      </c>
    </row>
    <row r="156" spans="1:13" x14ac:dyDescent="0.25">
      <c r="A156" t="s">
        <v>7101</v>
      </c>
      <c r="B156">
        <v>23202</v>
      </c>
      <c r="C156">
        <v>3185370074831</v>
      </c>
      <c r="D156">
        <v>549.9</v>
      </c>
      <c r="E156">
        <v>322.58</v>
      </c>
      <c r="F156">
        <v>27.26</v>
      </c>
      <c r="G156">
        <v>211.6643</v>
      </c>
      <c r="H156">
        <v>0</v>
      </c>
      <c r="K156">
        <v>23202</v>
      </c>
      <c r="L156" t="s">
        <v>7101</v>
      </c>
      <c r="M156">
        <v>0</v>
      </c>
    </row>
    <row r="157" spans="1:13" x14ac:dyDescent="0.25">
      <c r="A157" t="s">
        <v>7102</v>
      </c>
      <c r="B157">
        <v>64144</v>
      </c>
      <c r="C157">
        <v>3185370457054</v>
      </c>
      <c r="D157">
        <v>599.9</v>
      </c>
      <c r="E157">
        <v>424.05</v>
      </c>
      <c r="F157">
        <v>19.27</v>
      </c>
      <c r="G157">
        <v>278.81020000000001</v>
      </c>
      <c r="H157">
        <v>0</v>
      </c>
      <c r="K157">
        <v>64144</v>
      </c>
      <c r="L157" t="s">
        <v>7102</v>
      </c>
      <c r="M157">
        <v>0</v>
      </c>
    </row>
    <row r="158" spans="1:13" x14ac:dyDescent="0.25">
      <c r="A158" t="s">
        <v>7103</v>
      </c>
      <c r="B158">
        <v>64145</v>
      </c>
      <c r="C158">
        <v>3185370615492</v>
      </c>
      <c r="D158">
        <v>699.9</v>
      </c>
      <c r="E158">
        <v>481.44</v>
      </c>
      <c r="F158">
        <v>20.52</v>
      </c>
      <c r="G158">
        <v>316.54950000000002</v>
      </c>
      <c r="H158">
        <v>0</v>
      </c>
      <c r="K158">
        <v>64145</v>
      </c>
      <c r="L158" t="s">
        <v>7103</v>
      </c>
      <c r="M158">
        <v>0</v>
      </c>
    </row>
    <row r="159" spans="1:13" x14ac:dyDescent="0.25">
      <c r="A159" t="s">
        <v>7104</v>
      </c>
      <c r="B159">
        <v>69103</v>
      </c>
      <c r="C159">
        <v>3113880105219</v>
      </c>
      <c r="D159">
        <v>499.9</v>
      </c>
      <c r="E159">
        <v>310.23</v>
      </c>
      <c r="F159">
        <v>24.95</v>
      </c>
      <c r="G159">
        <v>203.97630000000001</v>
      </c>
      <c r="H159">
        <v>0</v>
      </c>
      <c r="K159">
        <v>69103</v>
      </c>
      <c r="L159" t="s">
        <v>7104</v>
      </c>
      <c r="M159">
        <v>0</v>
      </c>
    </row>
    <row r="160" spans="1:13" x14ac:dyDescent="0.25">
      <c r="A160" t="s">
        <v>7105</v>
      </c>
      <c r="B160">
        <v>64211</v>
      </c>
      <c r="C160">
        <v>3049614214813</v>
      </c>
      <c r="D160">
        <v>749.9</v>
      </c>
      <c r="E160">
        <v>453.22</v>
      </c>
      <c r="F160">
        <v>26.01</v>
      </c>
      <c r="G160">
        <v>297.9914</v>
      </c>
      <c r="H160">
        <v>0</v>
      </c>
      <c r="K160">
        <v>64211</v>
      </c>
      <c r="L160" t="s">
        <v>7105</v>
      </c>
      <c r="M160">
        <v>0</v>
      </c>
    </row>
    <row r="161" spans="1:13" x14ac:dyDescent="0.25">
      <c r="A161" t="s">
        <v>7106</v>
      </c>
      <c r="B161">
        <v>23206</v>
      </c>
      <c r="C161">
        <v>3049614222245</v>
      </c>
      <c r="D161">
        <v>534.9</v>
      </c>
      <c r="E161">
        <v>312</v>
      </c>
      <c r="F161">
        <v>27.4</v>
      </c>
      <c r="G161">
        <v>205.1404</v>
      </c>
      <c r="H161">
        <v>3.3000000000000002E-2</v>
      </c>
      <c r="K161">
        <v>23206</v>
      </c>
      <c r="L161" t="s">
        <v>7106</v>
      </c>
      <c r="M161">
        <v>0</v>
      </c>
    </row>
    <row r="162" spans="1:13" x14ac:dyDescent="0.25">
      <c r="A162" t="s">
        <v>7107</v>
      </c>
      <c r="B162">
        <v>23205</v>
      </c>
      <c r="C162">
        <v>3049614083921</v>
      </c>
      <c r="D162">
        <v>589.9</v>
      </c>
      <c r="E162">
        <v>393.1</v>
      </c>
      <c r="F162">
        <v>21.44</v>
      </c>
      <c r="G162">
        <v>261.38569999999999</v>
      </c>
      <c r="H162">
        <v>0</v>
      </c>
      <c r="K162">
        <v>23205</v>
      </c>
      <c r="L162" t="s">
        <v>7107</v>
      </c>
      <c r="M162">
        <v>0</v>
      </c>
    </row>
    <row r="163" spans="1:13" x14ac:dyDescent="0.25">
      <c r="A163" t="s">
        <v>7108</v>
      </c>
      <c r="B163">
        <v>62760</v>
      </c>
      <c r="C163">
        <v>3049610004609</v>
      </c>
      <c r="D163" s="1">
        <v>4799.8999999999996</v>
      </c>
      <c r="E163" s="1">
        <v>2923.86</v>
      </c>
      <c r="F163">
        <v>25.7</v>
      </c>
      <c r="G163" s="1">
        <v>1922.44</v>
      </c>
      <c r="H163">
        <v>0</v>
      </c>
      <c r="K163">
        <v>62760</v>
      </c>
      <c r="L163" t="s">
        <v>7108</v>
      </c>
      <c r="M163">
        <v>0</v>
      </c>
    </row>
    <row r="164" spans="1:13" x14ac:dyDescent="0.25">
      <c r="A164" t="s">
        <v>7109</v>
      </c>
      <c r="B164">
        <v>64141</v>
      </c>
      <c r="C164">
        <v>3049614214370</v>
      </c>
      <c r="D164">
        <v>699.9</v>
      </c>
      <c r="E164">
        <v>461.1</v>
      </c>
      <c r="F164">
        <v>22.43</v>
      </c>
      <c r="G164">
        <v>303.17</v>
      </c>
      <c r="H164">
        <v>0</v>
      </c>
      <c r="K164">
        <v>64141</v>
      </c>
      <c r="L164" t="s">
        <v>7109</v>
      </c>
      <c r="M164">
        <v>0</v>
      </c>
    </row>
    <row r="165" spans="1:13" x14ac:dyDescent="0.25">
      <c r="A165" t="s">
        <v>7110</v>
      </c>
      <c r="B165">
        <v>64143</v>
      </c>
      <c r="C165">
        <v>3049614214349</v>
      </c>
      <c r="D165">
        <v>749.9</v>
      </c>
      <c r="E165">
        <v>438.51</v>
      </c>
      <c r="F165">
        <v>27.3</v>
      </c>
      <c r="G165">
        <v>288.32119999999998</v>
      </c>
      <c r="H165">
        <v>0</v>
      </c>
      <c r="K165">
        <v>64143</v>
      </c>
      <c r="L165" t="s">
        <v>7110</v>
      </c>
      <c r="M165">
        <v>0</v>
      </c>
    </row>
    <row r="166" spans="1:13" x14ac:dyDescent="0.25">
      <c r="A166" t="s">
        <v>7111</v>
      </c>
      <c r="B166">
        <v>23207</v>
      </c>
      <c r="C166">
        <v>3049614083983</v>
      </c>
      <c r="D166">
        <v>749.9</v>
      </c>
      <c r="E166">
        <v>441.37</v>
      </c>
      <c r="F166">
        <v>25.58</v>
      </c>
      <c r="G166">
        <v>301.2287</v>
      </c>
      <c r="H166">
        <v>0</v>
      </c>
      <c r="K166">
        <v>23207</v>
      </c>
      <c r="L166" t="s">
        <v>7111</v>
      </c>
      <c r="M166">
        <v>0</v>
      </c>
    </row>
    <row r="167" spans="1:13" x14ac:dyDescent="0.25">
      <c r="A167" t="s">
        <v>7112</v>
      </c>
      <c r="B167">
        <v>64292</v>
      </c>
      <c r="C167">
        <v>3049614215643</v>
      </c>
      <c r="D167">
        <v>749.9</v>
      </c>
      <c r="E167">
        <v>345.88</v>
      </c>
      <c r="F167">
        <v>30.37</v>
      </c>
      <c r="G167">
        <v>265.29250000000002</v>
      </c>
      <c r="H167">
        <v>0</v>
      </c>
      <c r="K167">
        <v>64292</v>
      </c>
      <c r="L167" t="s">
        <v>7112</v>
      </c>
      <c r="M167">
        <v>0</v>
      </c>
    </row>
    <row r="168" spans="1:13" x14ac:dyDescent="0.25">
      <c r="A168" t="s">
        <v>7113</v>
      </c>
      <c r="B168">
        <v>61859</v>
      </c>
      <c r="C168">
        <v>3258064114486</v>
      </c>
      <c r="D168" s="1">
        <v>2799.9</v>
      </c>
      <c r="E168" s="1">
        <v>1756.58</v>
      </c>
      <c r="F168">
        <v>24.5</v>
      </c>
      <c r="G168" s="1">
        <v>1154.953</v>
      </c>
      <c r="H168">
        <v>0</v>
      </c>
      <c r="K168">
        <v>61859</v>
      </c>
      <c r="L168" t="s">
        <v>7113</v>
      </c>
      <c r="M168">
        <v>0</v>
      </c>
    </row>
    <row r="169" spans="1:13" x14ac:dyDescent="0.25">
      <c r="A169" t="s">
        <v>7114</v>
      </c>
      <c r="B169">
        <v>61902</v>
      </c>
      <c r="C169">
        <v>3043700103319</v>
      </c>
      <c r="D169">
        <v>579.9</v>
      </c>
      <c r="E169">
        <v>251.53</v>
      </c>
      <c r="F169">
        <v>37.229999999999997</v>
      </c>
      <c r="G169">
        <v>165.3793</v>
      </c>
      <c r="H169">
        <v>0</v>
      </c>
      <c r="K169">
        <v>61902</v>
      </c>
      <c r="L169" t="s">
        <v>7114</v>
      </c>
      <c r="M169">
        <v>0</v>
      </c>
    </row>
    <row r="170" spans="1:13" x14ac:dyDescent="0.25">
      <c r="A170" t="s">
        <v>7115</v>
      </c>
      <c r="B170">
        <v>16004</v>
      </c>
      <c r="C170">
        <v>3113889000294</v>
      </c>
      <c r="D170">
        <v>475.19</v>
      </c>
      <c r="E170">
        <v>352.12</v>
      </c>
      <c r="F170">
        <v>17.03</v>
      </c>
      <c r="G170">
        <v>231.517</v>
      </c>
      <c r="H170">
        <v>0</v>
      </c>
      <c r="K170">
        <v>16004</v>
      </c>
      <c r="L170" t="s">
        <v>7115</v>
      </c>
      <c r="M170">
        <v>0</v>
      </c>
    </row>
    <row r="171" spans="1:13" x14ac:dyDescent="0.25">
      <c r="A171" t="s">
        <v>7116</v>
      </c>
      <c r="B171">
        <v>61860</v>
      </c>
      <c r="C171">
        <v>318570812009</v>
      </c>
      <c r="D171">
        <v>899.9</v>
      </c>
      <c r="E171">
        <v>548.71</v>
      </c>
      <c r="F171">
        <v>25.66</v>
      </c>
      <c r="G171">
        <v>360.77850000000001</v>
      </c>
      <c r="H171">
        <v>0</v>
      </c>
      <c r="K171">
        <v>61860</v>
      </c>
      <c r="L171" t="s">
        <v>7116</v>
      </c>
      <c r="M171">
        <v>0</v>
      </c>
    </row>
    <row r="172" spans="1:13" x14ac:dyDescent="0.25">
      <c r="A172" t="s">
        <v>7117</v>
      </c>
      <c r="B172">
        <v>61861</v>
      </c>
      <c r="C172">
        <v>3185370712016</v>
      </c>
      <c r="D172">
        <v>899.9</v>
      </c>
      <c r="E172">
        <v>548.71</v>
      </c>
      <c r="F172">
        <v>25.66</v>
      </c>
      <c r="G172">
        <v>360.77710000000002</v>
      </c>
      <c r="H172">
        <v>0</v>
      </c>
      <c r="K172">
        <v>61861</v>
      </c>
      <c r="L172" t="s">
        <v>7117</v>
      </c>
      <c r="M172">
        <v>0</v>
      </c>
    </row>
    <row r="173" spans="1:13" x14ac:dyDescent="0.25">
      <c r="A173" t="s">
        <v>7118</v>
      </c>
      <c r="B173">
        <v>61785</v>
      </c>
      <c r="C173">
        <v>3016570001030</v>
      </c>
      <c r="D173">
        <v>491.31</v>
      </c>
      <c r="E173">
        <v>378.81</v>
      </c>
      <c r="F173">
        <v>15.04</v>
      </c>
      <c r="G173">
        <v>249.1397</v>
      </c>
      <c r="H173">
        <v>0</v>
      </c>
      <c r="K173">
        <v>61785</v>
      </c>
      <c r="L173" t="s">
        <v>7118</v>
      </c>
      <c r="M173">
        <v>0</v>
      </c>
    </row>
    <row r="174" spans="1:13" x14ac:dyDescent="0.25">
      <c r="A174" t="s">
        <v>7119</v>
      </c>
      <c r="B174">
        <v>61931</v>
      </c>
      <c r="C174">
        <v>3049614052774</v>
      </c>
      <c r="D174" s="1">
        <v>1999.9</v>
      </c>
      <c r="E174" s="1">
        <v>1520.91</v>
      </c>
      <c r="F174">
        <v>15.75</v>
      </c>
      <c r="G174" s="1">
        <v>1000</v>
      </c>
      <c r="H174">
        <v>0</v>
      </c>
      <c r="K174">
        <v>61931</v>
      </c>
      <c r="L174" t="s">
        <v>7119</v>
      </c>
      <c r="M174">
        <v>0</v>
      </c>
    </row>
    <row r="175" spans="1:13" x14ac:dyDescent="0.25">
      <c r="A175" t="s">
        <v>7120</v>
      </c>
      <c r="B175">
        <v>63224</v>
      </c>
      <c r="C175">
        <v>7898051535076</v>
      </c>
      <c r="D175">
        <v>119.9</v>
      </c>
      <c r="E175">
        <v>70</v>
      </c>
      <c r="F175">
        <v>37.770000000000003</v>
      </c>
      <c r="G175">
        <v>63.521700000000003</v>
      </c>
      <c r="H175">
        <v>0</v>
      </c>
      <c r="K175">
        <v>63224</v>
      </c>
      <c r="L175" t="s">
        <v>7120</v>
      </c>
      <c r="M175">
        <v>0</v>
      </c>
    </row>
    <row r="176" spans="1:13" x14ac:dyDescent="0.25">
      <c r="A176" t="s">
        <v>7121</v>
      </c>
      <c r="B176">
        <v>63227</v>
      </c>
      <c r="C176">
        <v>7898051535168</v>
      </c>
      <c r="D176">
        <v>119.9</v>
      </c>
      <c r="E176">
        <v>70</v>
      </c>
      <c r="F176">
        <v>37.770000000000003</v>
      </c>
      <c r="G176">
        <v>63.524000000000001</v>
      </c>
      <c r="H176">
        <v>0</v>
      </c>
      <c r="K176">
        <v>63227</v>
      </c>
      <c r="L176" t="s">
        <v>7121</v>
      </c>
      <c r="M176">
        <v>0</v>
      </c>
    </row>
    <row r="177" spans="1:13" x14ac:dyDescent="0.25">
      <c r="A177" t="s">
        <v>7122</v>
      </c>
      <c r="B177">
        <v>63226</v>
      </c>
      <c r="C177">
        <v>7898633724348</v>
      </c>
      <c r="D177">
        <v>189.9</v>
      </c>
      <c r="E177">
        <v>126.32</v>
      </c>
      <c r="F177">
        <v>30.39</v>
      </c>
      <c r="G177">
        <v>114.6317</v>
      </c>
      <c r="H177">
        <v>0</v>
      </c>
      <c r="K177">
        <v>63226</v>
      </c>
      <c r="L177" t="s">
        <v>7122</v>
      </c>
      <c r="M177">
        <v>0</v>
      </c>
    </row>
    <row r="178" spans="1:13" x14ac:dyDescent="0.25">
      <c r="A178" t="s">
        <v>7123</v>
      </c>
      <c r="B178">
        <v>55975</v>
      </c>
      <c r="C178">
        <v>3245990969419</v>
      </c>
      <c r="D178">
        <v>689.9</v>
      </c>
      <c r="E178">
        <v>497.42</v>
      </c>
      <c r="F178">
        <v>25.32</v>
      </c>
      <c r="G178">
        <v>451.41210000000001</v>
      </c>
      <c r="H178">
        <v>0</v>
      </c>
      <c r="K178">
        <v>55975</v>
      </c>
      <c r="L178" t="s">
        <v>7123</v>
      </c>
      <c r="M178">
        <v>0</v>
      </c>
    </row>
    <row r="179" spans="1:13" x14ac:dyDescent="0.25">
      <c r="A179" t="s">
        <v>7124</v>
      </c>
      <c r="B179">
        <v>55974</v>
      </c>
      <c r="C179">
        <v>3245995960015</v>
      </c>
      <c r="D179">
        <v>429.9</v>
      </c>
      <c r="E179">
        <v>306.58999999999997</v>
      </c>
      <c r="F179">
        <v>26.03</v>
      </c>
      <c r="G179">
        <v>278.23259999999999</v>
      </c>
      <c r="H179">
        <v>0</v>
      </c>
      <c r="K179">
        <v>55974</v>
      </c>
      <c r="L179" t="s">
        <v>7124</v>
      </c>
      <c r="M179">
        <v>0</v>
      </c>
    </row>
    <row r="180" spans="1:13" x14ac:dyDescent="0.25">
      <c r="A180" t="s">
        <v>7125</v>
      </c>
      <c r="B180">
        <v>44525</v>
      </c>
      <c r="C180">
        <v>3024482270109</v>
      </c>
      <c r="D180">
        <v>599.9</v>
      </c>
      <c r="E180">
        <v>438.46</v>
      </c>
      <c r="F180">
        <v>22.96</v>
      </c>
      <c r="G180">
        <v>406.67</v>
      </c>
      <c r="H180">
        <v>0</v>
      </c>
      <c r="K180">
        <v>44525</v>
      </c>
      <c r="L180" t="s">
        <v>7125</v>
      </c>
      <c r="M180">
        <v>0</v>
      </c>
    </row>
    <row r="181" spans="1:13" x14ac:dyDescent="0.25">
      <c r="A181" t="s">
        <v>7126</v>
      </c>
      <c r="B181">
        <v>66045</v>
      </c>
      <c r="C181">
        <v>66045</v>
      </c>
      <c r="D181">
        <v>39.9</v>
      </c>
      <c r="E181">
        <v>10</v>
      </c>
      <c r="F181">
        <v>81.67</v>
      </c>
      <c r="G181">
        <v>3.6223999999999998</v>
      </c>
      <c r="H181">
        <v>0.36699999999999999</v>
      </c>
      <c r="K181">
        <v>66045</v>
      </c>
      <c r="L181" t="s">
        <v>7126</v>
      </c>
      <c r="M181">
        <v>0.36699999999999999</v>
      </c>
    </row>
    <row r="182" spans="1:13" x14ac:dyDescent="0.25">
      <c r="A182" t="s">
        <v>7127</v>
      </c>
      <c r="B182">
        <v>66032</v>
      </c>
      <c r="C182">
        <v>1000000003642</v>
      </c>
      <c r="D182">
        <v>12.9</v>
      </c>
      <c r="E182">
        <v>7.33</v>
      </c>
      <c r="F182">
        <v>78.81</v>
      </c>
      <c r="G182">
        <v>1.5406</v>
      </c>
      <c r="H182">
        <v>0.16700000000000001</v>
      </c>
      <c r="K182">
        <v>66032</v>
      </c>
      <c r="L182" t="s">
        <v>7127</v>
      </c>
      <c r="M182">
        <v>0.13300000000000001</v>
      </c>
    </row>
    <row r="183" spans="1:13" x14ac:dyDescent="0.25">
      <c r="A183" t="s">
        <v>7128</v>
      </c>
      <c r="B183">
        <v>61531</v>
      </c>
      <c r="C183">
        <v>798190114521</v>
      </c>
      <c r="D183">
        <v>19.899999999999999</v>
      </c>
      <c r="E183">
        <v>13.72</v>
      </c>
      <c r="F183">
        <v>28.19</v>
      </c>
      <c r="G183">
        <v>12.45</v>
      </c>
      <c r="H183">
        <v>0</v>
      </c>
      <c r="K183">
        <v>61531</v>
      </c>
      <c r="L183" t="s">
        <v>7128</v>
      </c>
      <c r="M183">
        <v>0</v>
      </c>
    </row>
    <row r="184" spans="1:13" x14ac:dyDescent="0.25">
      <c r="A184" t="s">
        <v>7129</v>
      </c>
      <c r="B184">
        <v>66031</v>
      </c>
      <c r="C184">
        <v>1000000003635</v>
      </c>
      <c r="D184">
        <v>8.9</v>
      </c>
      <c r="E184">
        <v>3.87</v>
      </c>
      <c r="F184">
        <v>86.17</v>
      </c>
      <c r="G184">
        <v>0.40739999999999998</v>
      </c>
      <c r="H184">
        <v>0.13300000000000001</v>
      </c>
      <c r="K184">
        <v>66031</v>
      </c>
      <c r="L184" t="s">
        <v>7129</v>
      </c>
      <c r="M184">
        <v>0.13300000000000001</v>
      </c>
    </row>
    <row r="185" spans="1:13" x14ac:dyDescent="0.25">
      <c r="A185" t="s">
        <v>7130</v>
      </c>
      <c r="B185">
        <v>58550</v>
      </c>
      <c r="C185">
        <v>1000000000214</v>
      </c>
      <c r="D185">
        <v>24.9</v>
      </c>
      <c r="E185">
        <v>17.940000000000001</v>
      </c>
      <c r="F185">
        <v>29.23</v>
      </c>
      <c r="G185">
        <v>15.3195</v>
      </c>
      <c r="H185">
        <v>3.3000000000000002E-2</v>
      </c>
      <c r="K185">
        <v>58550</v>
      </c>
      <c r="L185" t="s">
        <v>7130</v>
      </c>
      <c r="M185">
        <v>3.3000000000000002E-2</v>
      </c>
    </row>
    <row r="186" spans="1:13" x14ac:dyDescent="0.25">
      <c r="A186" t="s">
        <v>7131</v>
      </c>
      <c r="B186">
        <v>58547</v>
      </c>
      <c r="C186">
        <v>1000000000221</v>
      </c>
      <c r="D186">
        <v>24.9</v>
      </c>
      <c r="E186">
        <v>12.99</v>
      </c>
      <c r="F186">
        <v>43.42</v>
      </c>
      <c r="G186">
        <v>11.785299999999999</v>
      </c>
      <c r="H186">
        <v>0</v>
      </c>
      <c r="K186">
        <v>58547</v>
      </c>
      <c r="L186" t="s">
        <v>7131</v>
      </c>
      <c r="M186">
        <v>0</v>
      </c>
    </row>
    <row r="187" spans="1:13" x14ac:dyDescent="0.25">
      <c r="A187" t="s">
        <v>7132</v>
      </c>
      <c r="B187">
        <v>58549</v>
      </c>
      <c r="C187">
        <v>1000000000207</v>
      </c>
      <c r="D187">
        <v>14.9</v>
      </c>
      <c r="E187">
        <v>13.37</v>
      </c>
      <c r="F187">
        <v>9.32</v>
      </c>
      <c r="G187">
        <v>12.1325</v>
      </c>
      <c r="H187">
        <v>0</v>
      </c>
      <c r="K187">
        <v>58549</v>
      </c>
      <c r="L187" t="s">
        <v>7132</v>
      </c>
      <c r="M187">
        <v>0</v>
      </c>
    </row>
    <row r="188" spans="1:13" x14ac:dyDescent="0.25">
      <c r="A188" t="s">
        <v>7133</v>
      </c>
      <c r="B188">
        <v>61670</v>
      </c>
      <c r="C188">
        <v>1000000000658</v>
      </c>
      <c r="D188">
        <v>29.9</v>
      </c>
      <c r="E188">
        <v>17.149999999999999</v>
      </c>
      <c r="F188">
        <v>37.72</v>
      </c>
      <c r="G188">
        <v>15.855</v>
      </c>
      <c r="H188">
        <v>0</v>
      </c>
      <c r="K188">
        <v>61670</v>
      </c>
      <c r="L188" t="s">
        <v>7133</v>
      </c>
      <c r="M188">
        <v>0</v>
      </c>
    </row>
    <row r="189" spans="1:13" x14ac:dyDescent="0.25">
      <c r="A189" t="s">
        <v>7134</v>
      </c>
      <c r="B189">
        <v>63051</v>
      </c>
      <c r="C189">
        <v>1000000003734</v>
      </c>
      <c r="D189">
        <v>15.9</v>
      </c>
      <c r="E189">
        <v>5.0199999999999996</v>
      </c>
      <c r="F189">
        <v>62.56</v>
      </c>
      <c r="G189">
        <v>4.4828000000000001</v>
      </c>
      <c r="H189">
        <v>0.16700000000000001</v>
      </c>
      <c r="K189">
        <v>63051</v>
      </c>
      <c r="L189" t="s">
        <v>7134</v>
      </c>
      <c r="M189">
        <v>0.1</v>
      </c>
    </row>
    <row r="190" spans="1:13" x14ac:dyDescent="0.25">
      <c r="A190" t="s">
        <v>7135</v>
      </c>
      <c r="B190">
        <v>49391</v>
      </c>
      <c r="C190">
        <v>7893220306426</v>
      </c>
      <c r="D190">
        <v>22.9</v>
      </c>
      <c r="E190">
        <v>8.67</v>
      </c>
      <c r="F190">
        <v>56.37</v>
      </c>
      <c r="G190">
        <v>7.8734999999999999</v>
      </c>
      <c r="H190">
        <v>0.5</v>
      </c>
      <c r="K190">
        <v>49391</v>
      </c>
      <c r="L190" t="s">
        <v>7135</v>
      </c>
      <c r="M190">
        <v>0.5</v>
      </c>
    </row>
    <row r="191" spans="1:13" x14ac:dyDescent="0.25">
      <c r="A191" t="s">
        <v>7136</v>
      </c>
      <c r="B191">
        <v>28584</v>
      </c>
      <c r="C191">
        <v>1000000000542</v>
      </c>
      <c r="D191">
        <v>39.9</v>
      </c>
      <c r="E191">
        <v>22.17</v>
      </c>
      <c r="F191">
        <v>40.33</v>
      </c>
      <c r="G191">
        <v>20.119</v>
      </c>
      <c r="H191">
        <v>0</v>
      </c>
      <c r="K191">
        <v>28584</v>
      </c>
      <c r="L191" t="s">
        <v>7136</v>
      </c>
      <c r="M191">
        <v>0</v>
      </c>
    </row>
    <row r="192" spans="1:13" x14ac:dyDescent="0.25">
      <c r="A192" t="s">
        <v>7137</v>
      </c>
      <c r="B192">
        <v>65028</v>
      </c>
      <c r="C192">
        <v>7898994771012</v>
      </c>
      <c r="D192">
        <v>69.900000000000006</v>
      </c>
      <c r="E192">
        <v>51.2</v>
      </c>
      <c r="F192">
        <v>24.28</v>
      </c>
      <c r="G192">
        <v>46.460500000000003</v>
      </c>
      <c r="H192">
        <v>17.7</v>
      </c>
      <c r="K192">
        <v>65028</v>
      </c>
      <c r="L192" t="s">
        <v>7137</v>
      </c>
      <c r="M192">
        <v>6.4669999999999996</v>
      </c>
    </row>
    <row r="193" spans="1:13" x14ac:dyDescent="0.25">
      <c r="A193" t="s">
        <v>7138</v>
      </c>
      <c r="B193">
        <v>57422</v>
      </c>
      <c r="C193">
        <v>7891121031003</v>
      </c>
      <c r="D193">
        <v>69.900000000000006</v>
      </c>
      <c r="E193">
        <v>46.55</v>
      </c>
      <c r="F193">
        <v>30.32</v>
      </c>
      <c r="G193">
        <v>42.24</v>
      </c>
      <c r="H193">
        <v>3.3000000000000002E-2</v>
      </c>
      <c r="K193">
        <v>57422</v>
      </c>
      <c r="L193" t="s">
        <v>7138</v>
      </c>
      <c r="M193">
        <v>3.3000000000000002E-2</v>
      </c>
    </row>
    <row r="194" spans="1:13" x14ac:dyDescent="0.25">
      <c r="A194" t="s">
        <v>7139</v>
      </c>
      <c r="B194">
        <v>57708</v>
      </c>
      <c r="C194">
        <v>7893220072840</v>
      </c>
      <c r="D194">
        <v>54.9</v>
      </c>
      <c r="E194">
        <v>29.76</v>
      </c>
      <c r="F194">
        <v>34.15</v>
      </c>
      <c r="G194">
        <v>21.190200000000001</v>
      </c>
      <c r="H194">
        <v>0.13300000000000001</v>
      </c>
      <c r="K194">
        <v>57708</v>
      </c>
      <c r="L194" t="s">
        <v>7139</v>
      </c>
      <c r="M194">
        <v>0.13300000000000001</v>
      </c>
    </row>
    <row r="195" spans="1:13" x14ac:dyDescent="0.25">
      <c r="A195" t="s">
        <v>7140</v>
      </c>
      <c r="B195">
        <v>49620</v>
      </c>
      <c r="C195">
        <v>8593401849092</v>
      </c>
      <c r="D195">
        <v>99.9</v>
      </c>
      <c r="E195">
        <v>71.12</v>
      </c>
      <c r="F195">
        <v>25.28</v>
      </c>
      <c r="G195">
        <v>65.409300000000002</v>
      </c>
      <c r="H195">
        <v>0.66700000000000004</v>
      </c>
      <c r="K195">
        <v>49620</v>
      </c>
      <c r="L195" t="s">
        <v>7140</v>
      </c>
      <c r="M195">
        <v>0.6</v>
      </c>
    </row>
    <row r="196" spans="1:13" x14ac:dyDescent="0.25">
      <c r="A196" t="s">
        <v>7141</v>
      </c>
      <c r="B196">
        <v>66302</v>
      </c>
      <c r="C196">
        <v>7893220309700</v>
      </c>
      <c r="D196">
        <v>199.9</v>
      </c>
      <c r="E196">
        <v>103.93</v>
      </c>
      <c r="F196">
        <v>43.57</v>
      </c>
      <c r="G196">
        <v>94.318299999999994</v>
      </c>
      <c r="H196">
        <v>6.7000000000000004E-2</v>
      </c>
      <c r="K196">
        <v>66302</v>
      </c>
      <c r="L196" t="s">
        <v>7141</v>
      </c>
      <c r="M196">
        <v>6.7000000000000004E-2</v>
      </c>
    </row>
    <row r="197" spans="1:13" x14ac:dyDescent="0.25">
      <c r="A197" t="s">
        <v>7142</v>
      </c>
      <c r="B197">
        <v>66875</v>
      </c>
      <c r="C197">
        <v>7893220306075</v>
      </c>
      <c r="D197">
        <v>49.9</v>
      </c>
      <c r="E197">
        <v>23.66</v>
      </c>
      <c r="F197">
        <v>47.72</v>
      </c>
      <c r="G197">
        <v>21.470300000000002</v>
      </c>
      <c r="H197">
        <v>0.56699999999999995</v>
      </c>
      <c r="K197">
        <v>66875</v>
      </c>
      <c r="L197" t="s">
        <v>7142</v>
      </c>
      <c r="M197">
        <v>6.7000000000000004E-2</v>
      </c>
    </row>
    <row r="198" spans="1:13" x14ac:dyDescent="0.25">
      <c r="A198" t="s">
        <v>7143</v>
      </c>
      <c r="B198">
        <v>62964</v>
      </c>
      <c r="C198">
        <v>7896100503458</v>
      </c>
      <c r="D198">
        <v>39.9</v>
      </c>
      <c r="E198">
        <v>26.55</v>
      </c>
      <c r="F198">
        <v>21.99</v>
      </c>
      <c r="G198">
        <v>17.459099999999999</v>
      </c>
      <c r="H198">
        <v>6.7000000000000004E-2</v>
      </c>
      <c r="K198">
        <v>62964</v>
      </c>
      <c r="L198" t="s">
        <v>7143</v>
      </c>
      <c r="M198">
        <v>6.7000000000000004E-2</v>
      </c>
    </row>
    <row r="199" spans="1:13" x14ac:dyDescent="0.25">
      <c r="A199" t="s">
        <v>7144</v>
      </c>
      <c r="B199">
        <v>62958</v>
      </c>
      <c r="C199">
        <v>7896100500969</v>
      </c>
      <c r="D199">
        <v>39.9</v>
      </c>
      <c r="E199">
        <v>26.5</v>
      </c>
      <c r="F199">
        <v>22.09</v>
      </c>
      <c r="G199">
        <v>17.422000000000001</v>
      </c>
      <c r="H199">
        <v>0</v>
      </c>
      <c r="K199">
        <v>62958</v>
      </c>
      <c r="L199" t="s">
        <v>7144</v>
      </c>
      <c r="M199">
        <v>0</v>
      </c>
    </row>
    <row r="200" spans="1:13" x14ac:dyDescent="0.25">
      <c r="A200" t="s">
        <v>7145</v>
      </c>
      <c r="B200">
        <v>9583</v>
      </c>
      <c r="C200">
        <v>7891141018541</v>
      </c>
      <c r="D200">
        <v>39.9</v>
      </c>
      <c r="E200">
        <v>22.49</v>
      </c>
      <c r="F200">
        <v>28.77</v>
      </c>
      <c r="G200">
        <v>14.753500000000001</v>
      </c>
      <c r="H200">
        <v>5.9669999999999996</v>
      </c>
      <c r="K200">
        <v>9583</v>
      </c>
      <c r="L200" t="s">
        <v>7145</v>
      </c>
      <c r="M200">
        <v>3.3</v>
      </c>
    </row>
    <row r="201" spans="1:13" x14ac:dyDescent="0.25">
      <c r="A201" t="s">
        <v>7146</v>
      </c>
      <c r="B201">
        <v>15860</v>
      </c>
      <c r="C201">
        <v>7891141024917</v>
      </c>
      <c r="D201">
        <v>39.9</v>
      </c>
      <c r="E201">
        <v>23.42</v>
      </c>
      <c r="F201">
        <v>27.15</v>
      </c>
      <c r="G201">
        <v>15.4018</v>
      </c>
      <c r="H201">
        <v>7.2</v>
      </c>
      <c r="K201">
        <v>15860</v>
      </c>
      <c r="L201" t="s">
        <v>7146</v>
      </c>
      <c r="M201">
        <v>4.867</v>
      </c>
    </row>
    <row r="202" spans="1:13" x14ac:dyDescent="0.25">
      <c r="A202" t="s">
        <v>7147</v>
      </c>
      <c r="B202">
        <v>55645</v>
      </c>
      <c r="C202">
        <v>7891141033254</v>
      </c>
      <c r="D202">
        <v>39.9</v>
      </c>
      <c r="E202">
        <v>23.42</v>
      </c>
      <c r="F202">
        <v>37.71</v>
      </c>
      <c r="G202">
        <v>21.1614</v>
      </c>
      <c r="H202">
        <v>1.2</v>
      </c>
      <c r="K202">
        <v>55645</v>
      </c>
      <c r="L202" t="s">
        <v>7147</v>
      </c>
      <c r="M202">
        <v>1.2</v>
      </c>
    </row>
    <row r="203" spans="1:13" x14ac:dyDescent="0.25">
      <c r="A203" t="s">
        <v>7148</v>
      </c>
      <c r="B203">
        <v>64929</v>
      </c>
      <c r="C203">
        <v>7891141037856</v>
      </c>
      <c r="D203">
        <v>39.9</v>
      </c>
      <c r="E203">
        <v>23.22</v>
      </c>
      <c r="F203">
        <v>37.99</v>
      </c>
      <c r="G203">
        <v>21.0501</v>
      </c>
      <c r="H203">
        <v>1.633</v>
      </c>
      <c r="K203">
        <v>64929</v>
      </c>
      <c r="L203" t="s">
        <v>7148</v>
      </c>
      <c r="M203">
        <v>1.5</v>
      </c>
    </row>
    <row r="204" spans="1:13" x14ac:dyDescent="0.25">
      <c r="A204" t="s">
        <v>7149</v>
      </c>
      <c r="B204">
        <v>68738</v>
      </c>
      <c r="C204">
        <v>3299641124054</v>
      </c>
      <c r="D204">
        <v>129.9</v>
      </c>
      <c r="E204">
        <v>84.88</v>
      </c>
      <c r="F204">
        <v>22.79</v>
      </c>
      <c r="G204">
        <v>55.809699999999999</v>
      </c>
      <c r="H204">
        <v>0</v>
      </c>
      <c r="K204">
        <v>68738</v>
      </c>
      <c r="L204" t="s">
        <v>7149</v>
      </c>
      <c r="M204">
        <v>0</v>
      </c>
    </row>
    <row r="205" spans="1:13" x14ac:dyDescent="0.25">
      <c r="A205" t="s">
        <v>7150</v>
      </c>
      <c r="B205">
        <v>68447</v>
      </c>
      <c r="C205">
        <v>7896931615511</v>
      </c>
      <c r="D205">
        <v>19.899999999999999</v>
      </c>
      <c r="E205">
        <v>20.62</v>
      </c>
      <c r="F205">
        <v>-2.29</v>
      </c>
      <c r="G205">
        <v>13.540800000000001</v>
      </c>
      <c r="H205">
        <v>2.4329999999999998</v>
      </c>
      <c r="K205">
        <v>68447</v>
      </c>
      <c r="L205" t="s">
        <v>7150</v>
      </c>
      <c r="M205">
        <v>0.1</v>
      </c>
    </row>
    <row r="206" spans="1:13" x14ac:dyDescent="0.25">
      <c r="A206" t="s">
        <v>7151</v>
      </c>
      <c r="B206">
        <v>50912</v>
      </c>
      <c r="C206">
        <v>7896931615719</v>
      </c>
      <c r="D206">
        <v>19.899999999999999</v>
      </c>
      <c r="E206">
        <v>13.63</v>
      </c>
      <c r="F206">
        <v>28.82</v>
      </c>
      <c r="G206">
        <v>12.324</v>
      </c>
      <c r="H206">
        <v>1.367</v>
      </c>
      <c r="K206">
        <v>50912</v>
      </c>
      <c r="L206" t="s">
        <v>7151</v>
      </c>
      <c r="M206">
        <v>1.3</v>
      </c>
    </row>
    <row r="207" spans="1:13" x14ac:dyDescent="0.25">
      <c r="A207" t="s">
        <v>7152</v>
      </c>
      <c r="B207">
        <v>68448</v>
      </c>
      <c r="C207">
        <v>7896931615528</v>
      </c>
      <c r="D207">
        <v>19.899999999999999</v>
      </c>
      <c r="E207">
        <v>20.76</v>
      </c>
      <c r="F207">
        <v>-2.83</v>
      </c>
      <c r="G207">
        <v>13.6479</v>
      </c>
      <c r="H207">
        <v>3</v>
      </c>
      <c r="K207">
        <v>68448</v>
      </c>
      <c r="L207" t="s">
        <v>7152</v>
      </c>
      <c r="M207">
        <v>0.3</v>
      </c>
    </row>
    <row r="208" spans="1:13" x14ac:dyDescent="0.25">
      <c r="A208" t="s">
        <v>7153</v>
      </c>
      <c r="B208">
        <v>68449</v>
      </c>
      <c r="C208">
        <v>7896931615504</v>
      </c>
      <c r="D208">
        <v>19.899999999999999</v>
      </c>
      <c r="E208">
        <v>20.77</v>
      </c>
      <c r="F208">
        <v>-2.92</v>
      </c>
      <c r="G208">
        <v>13.6655</v>
      </c>
      <c r="H208">
        <v>2.4670000000000001</v>
      </c>
      <c r="K208">
        <v>68449</v>
      </c>
      <c r="L208" t="s">
        <v>7153</v>
      </c>
      <c r="M208">
        <v>0.76700000000000002</v>
      </c>
    </row>
    <row r="209" spans="1:13" x14ac:dyDescent="0.25">
      <c r="A209" t="s">
        <v>7154</v>
      </c>
      <c r="B209">
        <v>51559</v>
      </c>
      <c r="C209">
        <v>7896452112001</v>
      </c>
      <c r="D209">
        <v>59.9</v>
      </c>
      <c r="E209">
        <v>37.19</v>
      </c>
      <c r="F209">
        <v>24.55</v>
      </c>
      <c r="G209">
        <v>24.677199999999999</v>
      </c>
      <c r="H209">
        <v>0.433</v>
      </c>
      <c r="K209">
        <v>51559</v>
      </c>
      <c r="L209" t="s">
        <v>7154</v>
      </c>
      <c r="M209">
        <v>0.36699999999999999</v>
      </c>
    </row>
    <row r="210" spans="1:13" x14ac:dyDescent="0.25">
      <c r="A210" t="s">
        <v>7155</v>
      </c>
      <c r="B210">
        <v>51539</v>
      </c>
      <c r="C210">
        <v>7896452112117</v>
      </c>
      <c r="D210">
        <v>59.9</v>
      </c>
      <c r="E210">
        <v>39.25</v>
      </c>
      <c r="F210">
        <v>22</v>
      </c>
      <c r="G210">
        <v>26.203900000000001</v>
      </c>
      <c r="H210">
        <v>0.86699999999999999</v>
      </c>
      <c r="K210">
        <v>51539</v>
      </c>
      <c r="L210" t="s">
        <v>7155</v>
      </c>
      <c r="M210">
        <v>0.7</v>
      </c>
    </row>
    <row r="211" spans="1:13" x14ac:dyDescent="0.25">
      <c r="A211" t="s">
        <v>7156</v>
      </c>
      <c r="B211">
        <v>51557</v>
      </c>
      <c r="C211">
        <v>7896452112506</v>
      </c>
      <c r="D211">
        <v>49.9</v>
      </c>
      <c r="E211">
        <v>29.11</v>
      </c>
      <c r="F211">
        <v>26.09</v>
      </c>
      <c r="G211">
        <v>19.788</v>
      </c>
      <c r="H211">
        <v>4.4669999999999996</v>
      </c>
      <c r="K211">
        <v>51557</v>
      </c>
      <c r="L211" t="s">
        <v>7156</v>
      </c>
      <c r="M211">
        <v>1.2669999999999999</v>
      </c>
    </row>
    <row r="212" spans="1:13" x14ac:dyDescent="0.25">
      <c r="A212" t="s">
        <v>7157</v>
      </c>
      <c r="B212">
        <v>51558</v>
      </c>
      <c r="C212">
        <v>7896452112582</v>
      </c>
      <c r="D212">
        <v>59.9</v>
      </c>
      <c r="E212">
        <v>35.39</v>
      </c>
      <c r="F212">
        <v>28.11</v>
      </c>
      <c r="G212">
        <v>22.547999999999998</v>
      </c>
      <c r="H212">
        <v>3.0670000000000002</v>
      </c>
      <c r="K212">
        <v>51558</v>
      </c>
      <c r="L212" t="s">
        <v>7157</v>
      </c>
      <c r="M212">
        <v>2.6</v>
      </c>
    </row>
    <row r="213" spans="1:13" x14ac:dyDescent="0.25">
      <c r="A213" t="s">
        <v>7158</v>
      </c>
      <c r="B213">
        <v>51538</v>
      </c>
      <c r="C213">
        <v>7896452112094</v>
      </c>
      <c r="D213">
        <v>59.9</v>
      </c>
      <c r="E213">
        <v>36.79</v>
      </c>
      <c r="F213">
        <v>25.04</v>
      </c>
      <c r="G213">
        <v>24.3855</v>
      </c>
      <c r="H213">
        <v>0.33300000000000002</v>
      </c>
      <c r="K213">
        <v>51538</v>
      </c>
      <c r="L213" t="s">
        <v>7158</v>
      </c>
      <c r="M213">
        <v>0.33300000000000002</v>
      </c>
    </row>
    <row r="214" spans="1:13" x14ac:dyDescent="0.25">
      <c r="A214" t="s">
        <v>7159</v>
      </c>
      <c r="B214">
        <v>65491</v>
      </c>
      <c r="C214">
        <v>7898276972137</v>
      </c>
      <c r="D214">
        <v>199.9</v>
      </c>
      <c r="E214">
        <v>126.3</v>
      </c>
      <c r="F214">
        <v>24.21</v>
      </c>
      <c r="G214">
        <v>83.040800000000004</v>
      </c>
      <c r="H214">
        <v>0</v>
      </c>
      <c r="K214">
        <v>65491</v>
      </c>
      <c r="L214" t="s">
        <v>7159</v>
      </c>
      <c r="M214">
        <v>0</v>
      </c>
    </row>
    <row r="215" spans="1:13" x14ac:dyDescent="0.25">
      <c r="A215" t="s">
        <v>7160</v>
      </c>
      <c r="B215">
        <v>65492</v>
      </c>
      <c r="C215">
        <v>7898276972144</v>
      </c>
      <c r="D215">
        <v>199.9</v>
      </c>
      <c r="E215">
        <v>126.76</v>
      </c>
      <c r="F215">
        <v>22.64</v>
      </c>
      <c r="G215">
        <v>86.171499999999995</v>
      </c>
      <c r="H215">
        <v>3.3000000000000002E-2</v>
      </c>
      <c r="K215">
        <v>65492</v>
      </c>
      <c r="L215" t="s">
        <v>7160</v>
      </c>
      <c r="M215">
        <v>3.3000000000000002E-2</v>
      </c>
    </row>
    <row r="216" spans="1:13" x14ac:dyDescent="0.25">
      <c r="A216" t="s">
        <v>7161</v>
      </c>
      <c r="B216">
        <v>57563</v>
      </c>
      <c r="C216">
        <v>7898276972441</v>
      </c>
      <c r="D216">
        <v>169.9</v>
      </c>
      <c r="E216">
        <v>97.94</v>
      </c>
      <c r="F216">
        <v>23.91</v>
      </c>
      <c r="G216">
        <v>71.090400000000002</v>
      </c>
      <c r="H216">
        <v>3.3000000000000002E-2</v>
      </c>
      <c r="K216">
        <v>57563</v>
      </c>
      <c r="L216" t="s">
        <v>7161</v>
      </c>
      <c r="M216">
        <v>3.3000000000000002E-2</v>
      </c>
    </row>
    <row r="217" spans="1:13" x14ac:dyDescent="0.25">
      <c r="A217" t="s">
        <v>7162</v>
      </c>
      <c r="B217">
        <v>23368</v>
      </c>
      <c r="C217">
        <v>7898276971000</v>
      </c>
      <c r="D217">
        <v>69.900000000000006</v>
      </c>
      <c r="E217">
        <v>45.82</v>
      </c>
      <c r="F217">
        <v>22.97</v>
      </c>
      <c r="G217">
        <v>29.904599999999999</v>
      </c>
      <c r="H217">
        <v>1.1000000000000001</v>
      </c>
      <c r="K217">
        <v>23368</v>
      </c>
      <c r="L217" t="s">
        <v>7162</v>
      </c>
      <c r="M217">
        <v>0.83299999999999996</v>
      </c>
    </row>
    <row r="218" spans="1:13" x14ac:dyDescent="0.25">
      <c r="A218" t="s">
        <v>7163</v>
      </c>
      <c r="B218">
        <v>23376</v>
      </c>
      <c r="C218">
        <v>7898276971017</v>
      </c>
      <c r="D218">
        <v>69.900000000000006</v>
      </c>
      <c r="E218">
        <v>44.21</v>
      </c>
      <c r="F218">
        <v>23.82</v>
      </c>
      <c r="G218">
        <v>29.3093</v>
      </c>
      <c r="H218">
        <v>0.9</v>
      </c>
      <c r="K218">
        <v>23376</v>
      </c>
      <c r="L218" t="s">
        <v>7163</v>
      </c>
      <c r="M218">
        <v>0.1</v>
      </c>
    </row>
    <row r="219" spans="1:13" x14ac:dyDescent="0.25">
      <c r="A219" t="s">
        <v>7164</v>
      </c>
      <c r="B219">
        <v>63015</v>
      </c>
      <c r="C219">
        <v>7898276972861</v>
      </c>
      <c r="D219">
        <v>99.9</v>
      </c>
      <c r="E219">
        <v>68.069999999999993</v>
      </c>
      <c r="F219">
        <v>20.95</v>
      </c>
      <c r="G219">
        <v>44.755200000000002</v>
      </c>
      <c r="H219">
        <v>0</v>
      </c>
      <c r="K219">
        <v>63015</v>
      </c>
      <c r="L219" t="s">
        <v>7164</v>
      </c>
      <c r="M219">
        <v>0</v>
      </c>
    </row>
    <row r="220" spans="1:13" x14ac:dyDescent="0.25">
      <c r="A220" t="s">
        <v>7165</v>
      </c>
      <c r="B220">
        <v>63013</v>
      </c>
      <c r="C220">
        <v>7898276972885</v>
      </c>
      <c r="D220">
        <v>99.9</v>
      </c>
      <c r="E220">
        <v>60.23</v>
      </c>
      <c r="F220">
        <v>26.14</v>
      </c>
      <c r="G220">
        <v>39.5747</v>
      </c>
      <c r="H220">
        <v>0.13300000000000001</v>
      </c>
      <c r="K220">
        <v>63013</v>
      </c>
      <c r="L220" t="s">
        <v>7165</v>
      </c>
      <c r="M220">
        <v>0.13300000000000001</v>
      </c>
    </row>
    <row r="221" spans="1:13" x14ac:dyDescent="0.25">
      <c r="A221" t="s">
        <v>7166</v>
      </c>
      <c r="B221">
        <v>23344</v>
      </c>
      <c r="C221">
        <v>7898276971383</v>
      </c>
      <c r="D221">
        <v>59.9</v>
      </c>
      <c r="E221">
        <v>39.82</v>
      </c>
      <c r="F221">
        <v>22.04</v>
      </c>
      <c r="G221">
        <v>26.183299999999999</v>
      </c>
      <c r="H221">
        <v>0.5</v>
      </c>
      <c r="K221">
        <v>23344</v>
      </c>
      <c r="L221" t="s">
        <v>7166</v>
      </c>
      <c r="M221">
        <v>0.5</v>
      </c>
    </row>
    <row r="222" spans="1:13" x14ac:dyDescent="0.25">
      <c r="A222" t="s">
        <v>7167</v>
      </c>
      <c r="B222">
        <v>53674</v>
      </c>
      <c r="C222">
        <v>7898276972199</v>
      </c>
      <c r="D222">
        <v>99.9</v>
      </c>
      <c r="E222">
        <v>66.83</v>
      </c>
      <c r="F222">
        <v>21.71</v>
      </c>
      <c r="G222">
        <v>43.994</v>
      </c>
      <c r="H222">
        <v>0.1</v>
      </c>
      <c r="K222">
        <v>53674</v>
      </c>
      <c r="L222" t="s">
        <v>7167</v>
      </c>
      <c r="M222">
        <v>0.1</v>
      </c>
    </row>
    <row r="223" spans="1:13" x14ac:dyDescent="0.25">
      <c r="A223" t="s">
        <v>7168</v>
      </c>
      <c r="B223">
        <v>32504</v>
      </c>
      <c r="C223">
        <v>7898276971703</v>
      </c>
      <c r="D223">
        <v>69.900000000000006</v>
      </c>
      <c r="E223">
        <v>45.43</v>
      </c>
      <c r="F223">
        <v>23.29</v>
      </c>
      <c r="G223">
        <v>29.6782</v>
      </c>
      <c r="H223">
        <v>0.8</v>
      </c>
      <c r="K223">
        <v>32504</v>
      </c>
      <c r="L223" t="s">
        <v>7168</v>
      </c>
      <c r="M223">
        <v>0.4</v>
      </c>
    </row>
    <row r="224" spans="1:13" x14ac:dyDescent="0.25">
      <c r="A224" t="s">
        <v>7169</v>
      </c>
      <c r="B224">
        <v>26145</v>
      </c>
      <c r="C224">
        <v>7898276970072</v>
      </c>
      <c r="D224">
        <v>149.09</v>
      </c>
      <c r="E224">
        <v>84.67</v>
      </c>
      <c r="F224">
        <v>29.15</v>
      </c>
      <c r="G224">
        <v>54.566099999999999</v>
      </c>
      <c r="H224">
        <v>0.8</v>
      </c>
      <c r="K224">
        <v>26145</v>
      </c>
      <c r="L224" t="s">
        <v>7169</v>
      </c>
      <c r="M224">
        <v>0.1</v>
      </c>
    </row>
    <row r="225" spans="1:13" x14ac:dyDescent="0.25">
      <c r="A225" t="s">
        <v>7170</v>
      </c>
      <c r="B225">
        <v>65493</v>
      </c>
      <c r="C225">
        <v>7898276972847</v>
      </c>
      <c r="D225">
        <v>99.9</v>
      </c>
      <c r="E225">
        <v>54.02</v>
      </c>
      <c r="F225">
        <v>30.19</v>
      </c>
      <c r="G225">
        <v>35.5197</v>
      </c>
      <c r="H225">
        <v>0</v>
      </c>
      <c r="K225">
        <v>65493</v>
      </c>
      <c r="L225" t="s">
        <v>7170</v>
      </c>
      <c r="M225">
        <v>0</v>
      </c>
    </row>
    <row r="226" spans="1:13" x14ac:dyDescent="0.25">
      <c r="A226" t="s">
        <v>7171</v>
      </c>
      <c r="B226">
        <v>65494</v>
      </c>
      <c r="C226">
        <v>7898276972953</v>
      </c>
      <c r="D226">
        <v>99.9</v>
      </c>
      <c r="E226">
        <v>58.95</v>
      </c>
      <c r="F226">
        <v>26.94</v>
      </c>
      <c r="G226">
        <v>38.772500000000001</v>
      </c>
      <c r="H226">
        <v>3.3000000000000002E-2</v>
      </c>
      <c r="K226">
        <v>65494</v>
      </c>
      <c r="L226" t="s">
        <v>7171</v>
      </c>
      <c r="M226">
        <v>3.3000000000000002E-2</v>
      </c>
    </row>
    <row r="227" spans="1:13" x14ac:dyDescent="0.25">
      <c r="A227" t="s">
        <v>7172</v>
      </c>
      <c r="B227">
        <v>26147</v>
      </c>
      <c r="C227">
        <v>7898276970577</v>
      </c>
      <c r="D227">
        <v>99.9</v>
      </c>
      <c r="E227">
        <v>66.489999999999995</v>
      </c>
      <c r="F227">
        <v>21.99</v>
      </c>
      <c r="G227">
        <v>43.717500000000001</v>
      </c>
      <c r="H227">
        <v>0</v>
      </c>
      <c r="K227">
        <v>26147</v>
      </c>
      <c r="L227" t="s">
        <v>7172</v>
      </c>
      <c r="M227">
        <v>0</v>
      </c>
    </row>
    <row r="228" spans="1:13" x14ac:dyDescent="0.25">
      <c r="A228" t="s">
        <v>7173</v>
      </c>
      <c r="B228">
        <v>9539</v>
      </c>
      <c r="C228">
        <v>8410013381010</v>
      </c>
      <c r="D228">
        <v>79.900000000000006</v>
      </c>
      <c r="E228">
        <v>51.49</v>
      </c>
      <c r="F228">
        <v>23.29</v>
      </c>
      <c r="G228">
        <v>33.926699999999997</v>
      </c>
      <c r="H228">
        <v>0.1</v>
      </c>
      <c r="K228">
        <v>9539</v>
      </c>
      <c r="L228" t="s">
        <v>7173</v>
      </c>
      <c r="M228">
        <v>0.1</v>
      </c>
    </row>
    <row r="229" spans="1:13" x14ac:dyDescent="0.25">
      <c r="A229" t="s">
        <v>7174</v>
      </c>
      <c r="B229">
        <v>65346</v>
      </c>
      <c r="C229">
        <v>8410013993626</v>
      </c>
      <c r="D229">
        <v>79.900000000000006</v>
      </c>
      <c r="E229">
        <v>49.7</v>
      </c>
      <c r="F229">
        <v>24.85</v>
      </c>
      <c r="G229">
        <v>32.682099999999998</v>
      </c>
      <c r="H229">
        <v>3.3000000000000002E-2</v>
      </c>
      <c r="K229">
        <v>65346</v>
      </c>
      <c r="L229" t="s">
        <v>7174</v>
      </c>
      <c r="M229">
        <v>3.3000000000000002E-2</v>
      </c>
    </row>
    <row r="230" spans="1:13" x14ac:dyDescent="0.25">
      <c r="A230" t="s">
        <v>7175</v>
      </c>
      <c r="B230">
        <v>65870</v>
      </c>
      <c r="C230">
        <v>8410013383014</v>
      </c>
      <c r="D230">
        <v>79.900000000000006</v>
      </c>
      <c r="E230">
        <v>49.69</v>
      </c>
      <c r="F230">
        <v>24.86</v>
      </c>
      <c r="G230">
        <v>32.672400000000003</v>
      </c>
      <c r="H230">
        <v>0</v>
      </c>
      <c r="K230">
        <v>65870</v>
      </c>
      <c r="L230" t="s">
        <v>7175</v>
      </c>
      <c r="M230">
        <v>0</v>
      </c>
    </row>
    <row r="231" spans="1:13" x14ac:dyDescent="0.25">
      <c r="A231" t="s">
        <v>7176</v>
      </c>
      <c r="B231">
        <v>9541</v>
      </c>
      <c r="C231">
        <v>8410036002015</v>
      </c>
      <c r="D231">
        <v>89.9</v>
      </c>
      <c r="E231">
        <v>43.55</v>
      </c>
      <c r="F231">
        <v>34.22</v>
      </c>
      <c r="G231">
        <v>28.341200000000001</v>
      </c>
      <c r="H231">
        <v>1.4330000000000001</v>
      </c>
      <c r="K231">
        <v>9541</v>
      </c>
      <c r="L231" t="s">
        <v>7176</v>
      </c>
      <c r="M231">
        <v>1.0329999999999999</v>
      </c>
    </row>
    <row r="232" spans="1:13" x14ac:dyDescent="0.25">
      <c r="A232" t="s">
        <v>7177</v>
      </c>
      <c r="B232">
        <v>18187</v>
      </c>
      <c r="C232">
        <v>8410036006297</v>
      </c>
      <c r="D232">
        <v>39.9</v>
      </c>
      <c r="E232">
        <v>24.81</v>
      </c>
      <c r="F232">
        <v>24.76</v>
      </c>
      <c r="G232">
        <v>16.3569</v>
      </c>
      <c r="H232">
        <v>0.8</v>
      </c>
      <c r="K232">
        <v>18187</v>
      </c>
      <c r="L232" t="s">
        <v>7177</v>
      </c>
      <c r="M232">
        <v>0.76700000000000002</v>
      </c>
    </row>
    <row r="233" spans="1:13" x14ac:dyDescent="0.25">
      <c r="A233" t="s">
        <v>7178</v>
      </c>
      <c r="B233">
        <v>18185</v>
      </c>
      <c r="C233">
        <v>8410036009298</v>
      </c>
      <c r="D233">
        <v>39.9</v>
      </c>
      <c r="E233">
        <v>24.7</v>
      </c>
      <c r="F233">
        <v>24.91</v>
      </c>
      <c r="G233">
        <v>16.295300000000001</v>
      </c>
      <c r="H233">
        <v>0.73299999999999998</v>
      </c>
      <c r="K233">
        <v>18185</v>
      </c>
      <c r="L233" t="s">
        <v>7178</v>
      </c>
      <c r="M233">
        <v>0.73299999999999998</v>
      </c>
    </row>
    <row r="234" spans="1:13" x14ac:dyDescent="0.25">
      <c r="A234" t="s">
        <v>7179</v>
      </c>
      <c r="B234">
        <v>18186</v>
      </c>
      <c r="C234">
        <v>8410036808976</v>
      </c>
      <c r="D234">
        <v>39.9</v>
      </c>
      <c r="E234">
        <v>25.08</v>
      </c>
      <c r="F234">
        <v>24.42</v>
      </c>
      <c r="G234">
        <v>16.490400000000001</v>
      </c>
      <c r="H234">
        <v>0.36699999999999999</v>
      </c>
      <c r="K234">
        <v>18186</v>
      </c>
      <c r="L234" t="s">
        <v>7179</v>
      </c>
      <c r="M234">
        <v>0.26700000000000002</v>
      </c>
    </row>
    <row r="235" spans="1:13" x14ac:dyDescent="0.25">
      <c r="A235" t="s">
        <v>7180</v>
      </c>
      <c r="B235">
        <v>9514</v>
      </c>
      <c r="C235">
        <v>8410036009090</v>
      </c>
      <c r="D235">
        <v>69.900000000000006</v>
      </c>
      <c r="E235">
        <v>54.85</v>
      </c>
      <c r="F235">
        <v>12.92</v>
      </c>
      <c r="G235">
        <v>36.930999999999997</v>
      </c>
      <c r="H235">
        <v>1.367</v>
      </c>
      <c r="K235">
        <v>9514</v>
      </c>
      <c r="L235" t="s">
        <v>7180</v>
      </c>
      <c r="M235">
        <v>1.0329999999999999</v>
      </c>
    </row>
    <row r="236" spans="1:13" x14ac:dyDescent="0.25">
      <c r="A236" t="s">
        <v>7181</v>
      </c>
      <c r="B236">
        <v>9530</v>
      </c>
      <c r="C236">
        <v>8410036808990</v>
      </c>
      <c r="D236">
        <v>89.9</v>
      </c>
      <c r="E236">
        <v>53.16</v>
      </c>
      <c r="F236">
        <v>25.35</v>
      </c>
      <c r="G236">
        <v>36.315300000000001</v>
      </c>
      <c r="H236">
        <v>0.7</v>
      </c>
      <c r="K236">
        <v>9530</v>
      </c>
      <c r="L236" t="s">
        <v>7181</v>
      </c>
      <c r="M236">
        <v>0.63300000000000001</v>
      </c>
    </row>
    <row r="237" spans="1:13" x14ac:dyDescent="0.25">
      <c r="A237" t="s">
        <v>7182</v>
      </c>
      <c r="B237">
        <v>65577</v>
      </c>
      <c r="C237">
        <v>8410036009991</v>
      </c>
      <c r="D237">
        <v>199.9</v>
      </c>
      <c r="E237">
        <v>128.41</v>
      </c>
      <c r="F237">
        <v>23.52</v>
      </c>
      <c r="G237">
        <v>84.426699999999997</v>
      </c>
      <c r="H237">
        <v>0</v>
      </c>
      <c r="K237">
        <v>65577</v>
      </c>
      <c r="L237" t="s">
        <v>7182</v>
      </c>
      <c r="M237">
        <v>0</v>
      </c>
    </row>
    <row r="238" spans="1:13" x14ac:dyDescent="0.25">
      <c r="A238" t="s">
        <v>7183</v>
      </c>
      <c r="B238">
        <v>58386</v>
      </c>
      <c r="C238">
        <v>8410036806521</v>
      </c>
      <c r="D238">
        <v>119.9</v>
      </c>
      <c r="E238">
        <v>61.79</v>
      </c>
      <c r="F238">
        <v>31.77</v>
      </c>
      <c r="G238">
        <v>40.745100000000001</v>
      </c>
      <c r="H238">
        <v>0.433</v>
      </c>
      <c r="K238">
        <v>58386</v>
      </c>
      <c r="L238" t="s">
        <v>7183</v>
      </c>
      <c r="M238">
        <v>0</v>
      </c>
    </row>
    <row r="239" spans="1:13" x14ac:dyDescent="0.25">
      <c r="A239" t="s">
        <v>7184</v>
      </c>
      <c r="B239">
        <v>65578</v>
      </c>
      <c r="C239">
        <v>8410036002916</v>
      </c>
      <c r="D239">
        <v>199.9</v>
      </c>
      <c r="E239">
        <v>134.16</v>
      </c>
      <c r="F239">
        <v>21.62</v>
      </c>
      <c r="G239">
        <v>88.21</v>
      </c>
      <c r="H239">
        <v>0</v>
      </c>
      <c r="K239">
        <v>65578</v>
      </c>
      <c r="L239" t="s">
        <v>7184</v>
      </c>
      <c r="M239">
        <v>0</v>
      </c>
    </row>
    <row r="240" spans="1:13" x14ac:dyDescent="0.25">
      <c r="A240" t="s">
        <v>7185</v>
      </c>
      <c r="B240">
        <v>64953</v>
      </c>
      <c r="C240">
        <v>8410261114002</v>
      </c>
      <c r="D240">
        <v>79.900000000000006</v>
      </c>
      <c r="E240">
        <v>51.33</v>
      </c>
      <c r="F240">
        <v>23.51</v>
      </c>
      <c r="G240">
        <v>33.75</v>
      </c>
      <c r="H240">
        <v>0.5</v>
      </c>
      <c r="K240">
        <v>64953</v>
      </c>
      <c r="L240" t="s">
        <v>7185</v>
      </c>
      <c r="M240">
        <v>0</v>
      </c>
    </row>
    <row r="241" spans="1:13" x14ac:dyDescent="0.25">
      <c r="A241" t="s">
        <v>7186</v>
      </c>
      <c r="B241">
        <v>58813</v>
      </c>
      <c r="C241">
        <v>7898249840753</v>
      </c>
      <c r="D241">
        <v>189.9</v>
      </c>
      <c r="E241">
        <v>126.92</v>
      </c>
      <c r="F241">
        <v>21.8</v>
      </c>
      <c r="G241">
        <v>83.454300000000003</v>
      </c>
      <c r="H241">
        <v>0</v>
      </c>
      <c r="K241">
        <v>58813</v>
      </c>
      <c r="L241" t="s">
        <v>7186</v>
      </c>
      <c r="M241">
        <v>0</v>
      </c>
    </row>
    <row r="242" spans="1:13" x14ac:dyDescent="0.25">
      <c r="A242" t="s">
        <v>7187</v>
      </c>
      <c r="B242">
        <v>58816</v>
      </c>
      <c r="C242">
        <v>7898249840357</v>
      </c>
      <c r="D242">
        <v>149.9</v>
      </c>
      <c r="E242">
        <v>104.61</v>
      </c>
      <c r="F242">
        <v>19.87</v>
      </c>
      <c r="G242">
        <v>68.776600000000002</v>
      </c>
      <c r="H242">
        <v>3.3000000000000002E-2</v>
      </c>
      <c r="K242">
        <v>58816</v>
      </c>
      <c r="L242" t="s">
        <v>7187</v>
      </c>
      <c r="M242">
        <v>3.3000000000000002E-2</v>
      </c>
    </row>
    <row r="243" spans="1:13" x14ac:dyDescent="0.25">
      <c r="A243" t="s">
        <v>7188</v>
      </c>
      <c r="B243">
        <v>58817</v>
      </c>
      <c r="C243">
        <v>7898249840364</v>
      </c>
      <c r="D243">
        <v>149.9</v>
      </c>
      <c r="E243">
        <v>104.61</v>
      </c>
      <c r="F243">
        <v>19.87</v>
      </c>
      <c r="G243">
        <v>68.7774</v>
      </c>
      <c r="H243">
        <v>0.16700000000000001</v>
      </c>
      <c r="K243">
        <v>58817</v>
      </c>
      <c r="L243" t="s">
        <v>7188</v>
      </c>
      <c r="M243">
        <v>0.1</v>
      </c>
    </row>
    <row r="244" spans="1:13" x14ac:dyDescent="0.25">
      <c r="A244" t="s">
        <v>7189</v>
      </c>
      <c r="B244">
        <v>68762</v>
      </c>
      <c r="C244">
        <v>7898249840791</v>
      </c>
      <c r="D244">
        <v>149.9</v>
      </c>
      <c r="E244">
        <v>104.61</v>
      </c>
      <c r="F244">
        <v>19.87</v>
      </c>
      <c r="G244">
        <v>68.780100000000004</v>
      </c>
      <c r="H244">
        <v>0</v>
      </c>
      <c r="K244">
        <v>68762</v>
      </c>
      <c r="L244" t="s">
        <v>7189</v>
      </c>
      <c r="M244">
        <v>0</v>
      </c>
    </row>
    <row r="245" spans="1:13" x14ac:dyDescent="0.25">
      <c r="A245" t="s">
        <v>7190</v>
      </c>
      <c r="B245">
        <v>9232</v>
      </c>
      <c r="C245">
        <v>7891083611411</v>
      </c>
      <c r="D245">
        <v>39.9</v>
      </c>
      <c r="E245">
        <v>23.79</v>
      </c>
      <c r="F245">
        <v>26.55</v>
      </c>
      <c r="G245">
        <v>15.642200000000001</v>
      </c>
      <c r="H245">
        <v>0</v>
      </c>
      <c r="K245">
        <v>9232</v>
      </c>
      <c r="L245" t="s">
        <v>7190</v>
      </c>
      <c r="M245">
        <v>0</v>
      </c>
    </row>
    <row r="246" spans="1:13" x14ac:dyDescent="0.25">
      <c r="A246" t="s">
        <v>7191</v>
      </c>
      <c r="B246">
        <v>21183</v>
      </c>
      <c r="C246">
        <v>7891083611442</v>
      </c>
      <c r="D246">
        <v>49.9</v>
      </c>
      <c r="E246">
        <v>31.94</v>
      </c>
      <c r="F246">
        <v>23.66</v>
      </c>
      <c r="G246">
        <v>21.0029</v>
      </c>
      <c r="H246">
        <v>3.3000000000000002E-2</v>
      </c>
      <c r="K246">
        <v>21183</v>
      </c>
      <c r="L246" t="s">
        <v>7191</v>
      </c>
      <c r="M246">
        <v>3.3000000000000002E-2</v>
      </c>
    </row>
    <row r="247" spans="1:13" x14ac:dyDescent="0.25">
      <c r="A247" t="s">
        <v>7192</v>
      </c>
      <c r="B247">
        <v>62758</v>
      </c>
      <c r="C247">
        <v>7891083611978</v>
      </c>
      <c r="D247">
        <v>149.9</v>
      </c>
      <c r="E247">
        <v>85.1</v>
      </c>
      <c r="F247">
        <v>29.44</v>
      </c>
      <c r="G247">
        <v>54.432099999999998</v>
      </c>
      <c r="H247">
        <v>0</v>
      </c>
      <c r="K247">
        <v>62758</v>
      </c>
      <c r="L247" t="s">
        <v>7192</v>
      </c>
      <c r="M247">
        <v>0</v>
      </c>
    </row>
    <row r="248" spans="1:13" x14ac:dyDescent="0.25">
      <c r="A248" t="s">
        <v>7193</v>
      </c>
      <c r="B248">
        <v>23201</v>
      </c>
      <c r="C248">
        <v>7891083611183</v>
      </c>
      <c r="D248">
        <v>109.9</v>
      </c>
      <c r="E248">
        <v>70.48</v>
      </c>
      <c r="F248">
        <v>23.72</v>
      </c>
      <c r="G248">
        <v>46.195900000000002</v>
      </c>
      <c r="H248">
        <v>0.23300000000000001</v>
      </c>
      <c r="K248">
        <v>23201</v>
      </c>
      <c r="L248" t="s">
        <v>7193</v>
      </c>
      <c r="M248">
        <v>0.23300000000000001</v>
      </c>
    </row>
    <row r="249" spans="1:13" x14ac:dyDescent="0.25">
      <c r="A249" t="s">
        <v>7194</v>
      </c>
      <c r="B249">
        <v>65672</v>
      </c>
      <c r="C249">
        <v>7891083611916</v>
      </c>
      <c r="D249">
        <v>119.9</v>
      </c>
      <c r="E249">
        <v>82.96</v>
      </c>
      <c r="F249">
        <v>20.260000000000002</v>
      </c>
      <c r="G249">
        <v>54.545900000000003</v>
      </c>
      <c r="H249">
        <v>3.3000000000000002E-2</v>
      </c>
      <c r="K249">
        <v>65672</v>
      </c>
      <c r="L249" t="s">
        <v>7194</v>
      </c>
      <c r="M249">
        <v>3.3000000000000002E-2</v>
      </c>
    </row>
    <row r="250" spans="1:13" x14ac:dyDescent="0.25">
      <c r="A250" t="s">
        <v>7195</v>
      </c>
      <c r="B250">
        <v>64146</v>
      </c>
      <c r="C250">
        <v>7891083611930</v>
      </c>
      <c r="D250">
        <v>179.9</v>
      </c>
      <c r="E250">
        <v>106.02</v>
      </c>
      <c r="F250">
        <v>25.62</v>
      </c>
      <c r="G250">
        <v>72.196299999999994</v>
      </c>
      <c r="H250">
        <v>0</v>
      </c>
      <c r="K250">
        <v>64146</v>
      </c>
      <c r="L250" t="s">
        <v>7195</v>
      </c>
      <c r="M250">
        <v>0</v>
      </c>
    </row>
    <row r="251" spans="1:13" x14ac:dyDescent="0.25">
      <c r="A251" t="s">
        <v>7196</v>
      </c>
      <c r="B251">
        <v>20373</v>
      </c>
      <c r="C251">
        <v>7891083611152</v>
      </c>
      <c r="D251">
        <v>109.9</v>
      </c>
      <c r="E251">
        <v>70.03</v>
      </c>
      <c r="F251">
        <v>24.04</v>
      </c>
      <c r="G251">
        <v>45.8399</v>
      </c>
      <c r="H251">
        <v>0.56699999999999995</v>
      </c>
      <c r="K251">
        <v>20373</v>
      </c>
      <c r="L251" t="s">
        <v>7196</v>
      </c>
      <c r="M251">
        <v>0.5</v>
      </c>
    </row>
    <row r="252" spans="1:13" x14ac:dyDescent="0.25">
      <c r="A252" t="s">
        <v>7197</v>
      </c>
      <c r="B252">
        <v>9526</v>
      </c>
      <c r="C252">
        <v>7891083611138</v>
      </c>
      <c r="D252">
        <v>99.9</v>
      </c>
      <c r="E252">
        <v>52.44</v>
      </c>
      <c r="F252">
        <v>31.38</v>
      </c>
      <c r="G252">
        <v>34.335000000000001</v>
      </c>
      <c r="H252">
        <v>0.66700000000000004</v>
      </c>
      <c r="K252">
        <v>9526</v>
      </c>
      <c r="L252" t="s">
        <v>7197</v>
      </c>
      <c r="M252">
        <v>0.66700000000000004</v>
      </c>
    </row>
    <row r="253" spans="1:13" x14ac:dyDescent="0.25">
      <c r="A253" t="s">
        <v>7198</v>
      </c>
      <c r="B253">
        <v>61862</v>
      </c>
      <c r="C253">
        <v>3299641117247</v>
      </c>
      <c r="D253">
        <v>79.59</v>
      </c>
      <c r="E253">
        <v>51.47</v>
      </c>
      <c r="F253">
        <v>23.12</v>
      </c>
      <c r="G253">
        <v>33.930500000000002</v>
      </c>
      <c r="H253">
        <v>6.7000000000000004E-2</v>
      </c>
      <c r="K253">
        <v>61862</v>
      </c>
      <c r="L253" t="s">
        <v>7198</v>
      </c>
      <c r="M253">
        <v>3.3000000000000002E-2</v>
      </c>
    </row>
    <row r="254" spans="1:13" x14ac:dyDescent="0.25">
      <c r="A254" t="s">
        <v>7199</v>
      </c>
      <c r="B254">
        <v>64955</v>
      </c>
      <c r="C254">
        <v>3299641122814</v>
      </c>
      <c r="D254">
        <v>81.69</v>
      </c>
      <c r="E254">
        <v>50.72</v>
      </c>
      <c r="F254">
        <v>24.92</v>
      </c>
      <c r="G254">
        <v>33.351199999999999</v>
      </c>
      <c r="H254">
        <v>3.3000000000000002E-2</v>
      </c>
      <c r="K254">
        <v>64955</v>
      </c>
      <c r="L254" t="s">
        <v>7199</v>
      </c>
      <c r="M254">
        <v>0</v>
      </c>
    </row>
    <row r="255" spans="1:13" x14ac:dyDescent="0.25">
      <c r="A255" t="s">
        <v>7200</v>
      </c>
      <c r="B255">
        <v>64933</v>
      </c>
      <c r="C255">
        <v>7891141001086</v>
      </c>
      <c r="D255">
        <v>29.9</v>
      </c>
      <c r="E255">
        <v>17.98</v>
      </c>
      <c r="F255">
        <v>24.02</v>
      </c>
      <c r="G255">
        <v>12.477399999999999</v>
      </c>
      <c r="H255">
        <v>0.6</v>
      </c>
      <c r="K255">
        <v>64933</v>
      </c>
      <c r="L255" t="s">
        <v>7200</v>
      </c>
      <c r="M255">
        <v>0.6</v>
      </c>
    </row>
    <row r="256" spans="1:13" x14ac:dyDescent="0.25">
      <c r="A256" t="s">
        <v>7201</v>
      </c>
      <c r="B256">
        <v>64934</v>
      </c>
      <c r="C256">
        <v>7891141001161</v>
      </c>
      <c r="D256">
        <v>29.9</v>
      </c>
      <c r="E256">
        <v>17.670000000000002</v>
      </c>
      <c r="F256">
        <v>24.47</v>
      </c>
      <c r="G256">
        <v>12.3439</v>
      </c>
      <c r="H256">
        <v>0.23300000000000001</v>
      </c>
      <c r="K256">
        <v>64934</v>
      </c>
      <c r="L256" t="s">
        <v>7201</v>
      </c>
      <c r="M256">
        <v>0.23300000000000001</v>
      </c>
    </row>
    <row r="257" spans="1:13" x14ac:dyDescent="0.25">
      <c r="A257" t="s">
        <v>7202</v>
      </c>
      <c r="B257">
        <v>64936</v>
      </c>
      <c r="C257">
        <v>7891141024870</v>
      </c>
      <c r="D257">
        <v>29.9</v>
      </c>
      <c r="E257">
        <v>17.93</v>
      </c>
      <c r="F257">
        <v>25.87</v>
      </c>
      <c r="G257">
        <v>11.9245</v>
      </c>
      <c r="H257">
        <v>0.53300000000000003</v>
      </c>
      <c r="K257">
        <v>64936</v>
      </c>
      <c r="L257" t="s">
        <v>7202</v>
      </c>
      <c r="M257">
        <v>0.5</v>
      </c>
    </row>
    <row r="258" spans="1:13" x14ac:dyDescent="0.25">
      <c r="A258" t="s">
        <v>7203</v>
      </c>
      <c r="B258">
        <v>64935</v>
      </c>
      <c r="C258">
        <v>7891141024856</v>
      </c>
      <c r="D258">
        <v>29.9</v>
      </c>
      <c r="E258">
        <v>18.03</v>
      </c>
      <c r="F258">
        <v>25.95</v>
      </c>
      <c r="G258">
        <v>11.899800000000001</v>
      </c>
      <c r="H258">
        <v>0.36699999999999999</v>
      </c>
      <c r="K258">
        <v>64935</v>
      </c>
      <c r="L258" t="s">
        <v>7203</v>
      </c>
      <c r="M258">
        <v>0.36699999999999999</v>
      </c>
    </row>
    <row r="259" spans="1:13" x14ac:dyDescent="0.25">
      <c r="A259" t="s">
        <v>7204</v>
      </c>
      <c r="B259">
        <v>61353</v>
      </c>
      <c r="C259">
        <v>7898956540113</v>
      </c>
      <c r="D259">
        <v>64.900000000000006</v>
      </c>
      <c r="E259">
        <v>41.7</v>
      </c>
      <c r="F259">
        <v>22.53</v>
      </c>
      <c r="G259">
        <v>28.052700000000002</v>
      </c>
      <c r="H259">
        <v>6.7000000000000004E-2</v>
      </c>
      <c r="K259">
        <v>61353</v>
      </c>
      <c r="L259" t="s">
        <v>7204</v>
      </c>
      <c r="M259">
        <v>3.3000000000000002E-2</v>
      </c>
    </row>
    <row r="260" spans="1:13" x14ac:dyDescent="0.25">
      <c r="A260" t="s">
        <v>7205</v>
      </c>
      <c r="B260">
        <v>61359</v>
      </c>
      <c r="C260">
        <v>7898956540144</v>
      </c>
      <c r="D260">
        <v>64.900000000000006</v>
      </c>
      <c r="E260">
        <v>43.48</v>
      </c>
      <c r="F260">
        <v>21.45</v>
      </c>
      <c r="G260">
        <v>28.752199999999998</v>
      </c>
      <c r="H260">
        <v>0.1</v>
      </c>
      <c r="K260">
        <v>61359</v>
      </c>
      <c r="L260" t="s">
        <v>7205</v>
      </c>
      <c r="M260">
        <v>0.1</v>
      </c>
    </row>
    <row r="261" spans="1:13" x14ac:dyDescent="0.25">
      <c r="A261" t="s">
        <v>7206</v>
      </c>
      <c r="B261">
        <v>61362</v>
      </c>
      <c r="C261">
        <v>7898956540175</v>
      </c>
      <c r="D261">
        <v>64.900000000000006</v>
      </c>
      <c r="E261">
        <v>38.729999999999997</v>
      </c>
      <c r="F261">
        <v>23.83</v>
      </c>
      <c r="G261">
        <v>27.203600000000002</v>
      </c>
      <c r="H261">
        <v>0</v>
      </c>
      <c r="K261">
        <v>61362</v>
      </c>
      <c r="L261" t="s">
        <v>7206</v>
      </c>
      <c r="M261">
        <v>0</v>
      </c>
    </row>
    <row r="262" spans="1:13" x14ac:dyDescent="0.25">
      <c r="A262" t="s">
        <v>7207</v>
      </c>
      <c r="B262">
        <v>61378</v>
      </c>
      <c r="C262">
        <v>7898956540465</v>
      </c>
      <c r="D262">
        <v>119.9</v>
      </c>
      <c r="E262">
        <v>64.680000000000007</v>
      </c>
      <c r="F262">
        <v>29.53</v>
      </c>
      <c r="G262">
        <v>43.427300000000002</v>
      </c>
      <c r="H262">
        <v>0</v>
      </c>
      <c r="K262">
        <v>61378</v>
      </c>
      <c r="L262" t="s">
        <v>7207</v>
      </c>
      <c r="M262">
        <v>0</v>
      </c>
    </row>
    <row r="263" spans="1:13" x14ac:dyDescent="0.25">
      <c r="A263" t="s">
        <v>7208</v>
      </c>
      <c r="B263">
        <v>61381</v>
      </c>
      <c r="C263">
        <v>7898956540809</v>
      </c>
      <c r="D263">
        <v>149.9</v>
      </c>
      <c r="E263">
        <v>88.39</v>
      </c>
      <c r="F263">
        <v>27.04</v>
      </c>
      <c r="G263">
        <v>58.025799999999997</v>
      </c>
      <c r="H263">
        <v>3.3000000000000002E-2</v>
      </c>
      <c r="K263">
        <v>61381</v>
      </c>
      <c r="L263" t="s">
        <v>7208</v>
      </c>
      <c r="M263">
        <v>3.3000000000000002E-2</v>
      </c>
    </row>
    <row r="264" spans="1:13" x14ac:dyDescent="0.25">
      <c r="A264" t="s">
        <v>7209</v>
      </c>
      <c r="B264">
        <v>61380</v>
      </c>
      <c r="C264">
        <v>7898956540793</v>
      </c>
      <c r="D264">
        <v>79.900000000000006</v>
      </c>
      <c r="E264">
        <v>77.569999999999993</v>
      </c>
      <c r="F264">
        <v>1.92</v>
      </c>
      <c r="G264">
        <v>51</v>
      </c>
      <c r="H264">
        <v>0</v>
      </c>
      <c r="K264">
        <v>61380</v>
      </c>
      <c r="L264" t="s">
        <v>7209</v>
      </c>
      <c r="M264">
        <v>0</v>
      </c>
    </row>
    <row r="265" spans="1:13" x14ac:dyDescent="0.25">
      <c r="A265" t="s">
        <v>7210</v>
      </c>
      <c r="B265">
        <v>61368</v>
      </c>
      <c r="C265">
        <v>7898956540120</v>
      </c>
      <c r="D265">
        <v>49.9</v>
      </c>
      <c r="E265">
        <v>36.49</v>
      </c>
      <c r="F265">
        <v>17.66</v>
      </c>
      <c r="G265">
        <v>23.997</v>
      </c>
      <c r="H265">
        <v>0.1</v>
      </c>
      <c r="K265">
        <v>61368</v>
      </c>
      <c r="L265" t="s">
        <v>7210</v>
      </c>
      <c r="M265">
        <v>3.3000000000000002E-2</v>
      </c>
    </row>
    <row r="266" spans="1:13" x14ac:dyDescent="0.25">
      <c r="A266" t="s">
        <v>7211</v>
      </c>
      <c r="B266">
        <v>61369</v>
      </c>
      <c r="C266">
        <v>7898956540151</v>
      </c>
      <c r="D266">
        <v>64.900000000000006</v>
      </c>
      <c r="E266">
        <v>42.31</v>
      </c>
      <c r="F266">
        <v>22.75</v>
      </c>
      <c r="G266">
        <v>27.909600000000001</v>
      </c>
      <c r="H266">
        <v>6.7000000000000004E-2</v>
      </c>
      <c r="K266">
        <v>61369</v>
      </c>
      <c r="L266" t="s">
        <v>7211</v>
      </c>
      <c r="M266">
        <v>6.7000000000000004E-2</v>
      </c>
    </row>
    <row r="267" spans="1:13" x14ac:dyDescent="0.25">
      <c r="A267" t="s">
        <v>7212</v>
      </c>
      <c r="B267">
        <v>61379</v>
      </c>
      <c r="C267">
        <v>7898956540939</v>
      </c>
      <c r="D267">
        <v>149.9</v>
      </c>
      <c r="E267">
        <v>90.39</v>
      </c>
      <c r="F267">
        <v>24.85</v>
      </c>
      <c r="G267">
        <v>61.301699999999997</v>
      </c>
      <c r="H267">
        <v>0</v>
      </c>
      <c r="K267">
        <v>61379</v>
      </c>
      <c r="L267" t="s">
        <v>7212</v>
      </c>
      <c r="M267">
        <v>0</v>
      </c>
    </row>
    <row r="268" spans="1:13" x14ac:dyDescent="0.25">
      <c r="A268" t="s">
        <v>7213</v>
      </c>
      <c r="B268">
        <v>61370</v>
      </c>
      <c r="C268">
        <v>7898956540137</v>
      </c>
      <c r="D268">
        <v>64.900000000000006</v>
      </c>
      <c r="E268">
        <v>41.12</v>
      </c>
      <c r="F268">
        <v>23.74</v>
      </c>
      <c r="G268">
        <v>27.261600000000001</v>
      </c>
      <c r="H268">
        <v>6.7000000000000004E-2</v>
      </c>
      <c r="K268">
        <v>61370</v>
      </c>
      <c r="L268" t="s">
        <v>7213</v>
      </c>
      <c r="M268">
        <v>6.7000000000000004E-2</v>
      </c>
    </row>
    <row r="269" spans="1:13" x14ac:dyDescent="0.25">
      <c r="A269" t="s">
        <v>7214</v>
      </c>
      <c r="B269">
        <v>32499</v>
      </c>
      <c r="C269">
        <v>7891083611107</v>
      </c>
      <c r="D269">
        <v>229.9</v>
      </c>
      <c r="E269">
        <v>147.5</v>
      </c>
      <c r="F269">
        <v>22.99</v>
      </c>
      <c r="G269">
        <v>98.308199999999999</v>
      </c>
      <c r="H269">
        <v>0</v>
      </c>
      <c r="K269">
        <v>32499</v>
      </c>
      <c r="L269" t="s">
        <v>7214</v>
      </c>
      <c r="M269">
        <v>0</v>
      </c>
    </row>
    <row r="270" spans="1:13" x14ac:dyDescent="0.25">
      <c r="A270" t="s">
        <v>7215</v>
      </c>
      <c r="B270">
        <v>62756</v>
      </c>
      <c r="C270">
        <v>7891083611190</v>
      </c>
      <c r="D270">
        <v>229.9</v>
      </c>
      <c r="E270">
        <v>158.37</v>
      </c>
      <c r="F270">
        <v>20.57</v>
      </c>
      <c r="G270">
        <v>103.8596</v>
      </c>
      <c r="H270">
        <v>0</v>
      </c>
      <c r="K270">
        <v>62756</v>
      </c>
      <c r="L270" t="s">
        <v>7215</v>
      </c>
      <c r="M270">
        <v>0</v>
      </c>
    </row>
    <row r="271" spans="1:13" x14ac:dyDescent="0.25">
      <c r="A271" t="s">
        <v>7216</v>
      </c>
      <c r="B271">
        <v>60841</v>
      </c>
      <c r="C271">
        <v>7898266930529</v>
      </c>
      <c r="D271">
        <v>79.900000000000006</v>
      </c>
      <c r="E271">
        <v>48.92</v>
      </c>
      <c r="F271">
        <v>24.74</v>
      </c>
      <c r="G271">
        <v>32.767299999999999</v>
      </c>
      <c r="H271">
        <v>0.3</v>
      </c>
      <c r="K271">
        <v>60841</v>
      </c>
      <c r="L271" t="s">
        <v>7216</v>
      </c>
      <c r="M271">
        <v>0.23300000000000001</v>
      </c>
    </row>
    <row r="272" spans="1:13" x14ac:dyDescent="0.25">
      <c r="A272" t="s">
        <v>7217</v>
      </c>
      <c r="B272">
        <v>60844</v>
      </c>
      <c r="C272">
        <v>7898266930819</v>
      </c>
      <c r="D272">
        <v>79.900000000000006</v>
      </c>
      <c r="E272">
        <v>50.19</v>
      </c>
      <c r="F272">
        <v>23.9</v>
      </c>
      <c r="G272">
        <v>33.435499999999998</v>
      </c>
      <c r="H272">
        <v>3.3000000000000002E-2</v>
      </c>
      <c r="K272">
        <v>60844</v>
      </c>
      <c r="L272" t="s">
        <v>7217</v>
      </c>
      <c r="M272">
        <v>3.3000000000000002E-2</v>
      </c>
    </row>
    <row r="273" spans="1:13" x14ac:dyDescent="0.25">
      <c r="A273" t="s">
        <v>7218</v>
      </c>
      <c r="B273">
        <v>55790</v>
      </c>
      <c r="C273">
        <v>8007355006109</v>
      </c>
      <c r="D273">
        <v>349.9</v>
      </c>
      <c r="E273">
        <v>222.27</v>
      </c>
      <c r="F273">
        <v>23.98</v>
      </c>
      <c r="G273">
        <v>146.14070000000001</v>
      </c>
      <c r="H273">
        <v>0</v>
      </c>
      <c r="K273">
        <v>55790</v>
      </c>
      <c r="L273" t="s">
        <v>7218</v>
      </c>
      <c r="M273">
        <v>0</v>
      </c>
    </row>
    <row r="274" spans="1:13" x14ac:dyDescent="0.25">
      <c r="A274" t="s">
        <v>7219</v>
      </c>
      <c r="B274">
        <v>55794</v>
      </c>
      <c r="C274">
        <v>8007355006178</v>
      </c>
      <c r="D274">
        <v>349.9</v>
      </c>
      <c r="E274">
        <v>257.62</v>
      </c>
      <c r="F274">
        <v>17.34</v>
      </c>
      <c r="G274">
        <v>169.38730000000001</v>
      </c>
      <c r="H274">
        <v>0</v>
      </c>
      <c r="K274">
        <v>55794</v>
      </c>
      <c r="L274" t="s">
        <v>7219</v>
      </c>
      <c r="M274">
        <v>0</v>
      </c>
    </row>
    <row r="275" spans="1:13" x14ac:dyDescent="0.25">
      <c r="A275" t="s">
        <v>7220</v>
      </c>
      <c r="B275">
        <v>62273</v>
      </c>
      <c r="C275">
        <v>8410036809041</v>
      </c>
      <c r="D275">
        <v>129.9</v>
      </c>
      <c r="E275">
        <v>78.59</v>
      </c>
      <c r="F275">
        <v>25.97</v>
      </c>
      <c r="G275">
        <v>51.671900000000001</v>
      </c>
      <c r="H275">
        <v>0</v>
      </c>
      <c r="K275">
        <v>62273</v>
      </c>
      <c r="L275" t="s">
        <v>7220</v>
      </c>
      <c r="M275">
        <v>0</v>
      </c>
    </row>
    <row r="276" spans="1:13" x14ac:dyDescent="0.25">
      <c r="A276" t="s">
        <v>7221</v>
      </c>
      <c r="B276">
        <v>55817</v>
      </c>
      <c r="C276">
        <v>8410036805807</v>
      </c>
      <c r="D276">
        <v>119.9</v>
      </c>
      <c r="E276">
        <v>61.89</v>
      </c>
      <c r="F276">
        <v>31.69</v>
      </c>
      <c r="G276">
        <v>40.843600000000002</v>
      </c>
      <c r="H276">
        <v>0</v>
      </c>
      <c r="K276">
        <v>55817</v>
      </c>
      <c r="L276" t="s">
        <v>7221</v>
      </c>
      <c r="M276">
        <v>0</v>
      </c>
    </row>
    <row r="277" spans="1:13" x14ac:dyDescent="0.25">
      <c r="A277" t="s">
        <v>7222</v>
      </c>
      <c r="B277">
        <v>65579</v>
      </c>
      <c r="C277">
        <v>8410036808341</v>
      </c>
      <c r="D277">
        <v>249.9</v>
      </c>
      <c r="E277">
        <v>177.02</v>
      </c>
      <c r="F277">
        <v>19.170000000000002</v>
      </c>
      <c r="G277">
        <v>116.3922</v>
      </c>
      <c r="H277">
        <v>0</v>
      </c>
      <c r="K277">
        <v>65579</v>
      </c>
      <c r="L277" t="s">
        <v>7222</v>
      </c>
      <c r="M277">
        <v>0</v>
      </c>
    </row>
    <row r="278" spans="1:13" x14ac:dyDescent="0.25">
      <c r="A278" t="s">
        <v>7223</v>
      </c>
      <c r="B278">
        <v>55818</v>
      </c>
      <c r="C278">
        <v>8410036803605</v>
      </c>
      <c r="D278">
        <v>129.9</v>
      </c>
      <c r="E278">
        <v>72.040000000000006</v>
      </c>
      <c r="F278">
        <v>29.35</v>
      </c>
      <c r="G278">
        <v>47.285699999999999</v>
      </c>
      <c r="H278">
        <v>0</v>
      </c>
      <c r="K278">
        <v>55818</v>
      </c>
      <c r="L278" t="s">
        <v>7223</v>
      </c>
      <c r="M278">
        <v>0</v>
      </c>
    </row>
    <row r="279" spans="1:13" x14ac:dyDescent="0.25">
      <c r="A279" t="s">
        <v>7224</v>
      </c>
      <c r="B279">
        <v>55821</v>
      </c>
      <c r="C279">
        <v>8410036806422</v>
      </c>
      <c r="D279">
        <v>129.9</v>
      </c>
      <c r="E279">
        <v>83.71</v>
      </c>
      <c r="F279">
        <v>23.26</v>
      </c>
      <c r="G279">
        <v>55.197899999999997</v>
      </c>
      <c r="H279">
        <v>3.3000000000000002E-2</v>
      </c>
      <c r="K279">
        <v>55821</v>
      </c>
      <c r="L279" t="s">
        <v>7224</v>
      </c>
      <c r="M279">
        <v>3.3000000000000002E-2</v>
      </c>
    </row>
    <row r="280" spans="1:13" x14ac:dyDescent="0.25">
      <c r="A280" t="s">
        <v>7225</v>
      </c>
      <c r="B280">
        <v>65860</v>
      </c>
      <c r="C280">
        <v>8410036808327</v>
      </c>
      <c r="D280">
        <v>269.89999999999998</v>
      </c>
      <c r="E280">
        <v>177.02</v>
      </c>
      <c r="F280">
        <v>22.63</v>
      </c>
      <c r="G280">
        <v>116.3921</v>
      </c>
      <c r="H280">
        <v>0</v>
      </c>
      <c r="K280">
        <v>65860</v>
      </c>
      <c r="L280" t="s">
        <v>7225</v>
      </c>
      <c r="M280">
        <v>0</v>
      </c>
    </row>
    <row r="281" spans="1:13" x14ac:dyDescent="0.25">
      <c r="A281" t="s">
        <v>7226</v>
      </c>
      <c r="B281">
        <v>57497</v>
      </c>
      <c r="C281">
        <v>8410036806934</v>
      </c>
      <c r="D281">
        <v>129.9</v>
      </c>
      <c r="E281">
        <v>81.540000000000006</v>
      </c>
      <c r="F281">
        <v>24.53</v>
      </c>
      <c r="G281">
        <v>53.546100000000003</v>
      </c>
      <c r="H281">
        <v>3.3000000000000002E-2</v>
      </c>
      <c r="K281">
        <v>57497</v>
      </c>
      <c r="L281" t="s">
        <v>7226</v>
      </c>
      <c r="M281">
        <v>3.3000000000000002E-2</v>
      </c>
    </row>
    <row r="282" spans="1:13" x14ac:dyDescent="0.25">
      <c r="A282" t="s">
        <v>7227</v>
      </c>
      <c r="B282">
        <v>58387</v>
      </c>
      <c r="C282">
        <v>8410384003016</v>
      </c>
      <c r="D282">
        <v>79.900000000000006</v>
      </c>
      <c r="E282">
        <v>55.42</v>
      </c>
      <c r="F282">
        <v>25.47</v>
      </c>
      <c r="G282">
        <v>52.160200000000003</v>
      </c>
      <c r="H282">
        <v>1.367</v>
      </c>
      <c r="K282">
        <v>58387</v>
      </c>
      <c r="L282" t="s">
        <v>7227</v>
      </c>
      <c r="M282">
        <v>1.367</v>
      </c>
    </row>
    <row r="283" spans="1:13" x14ac:dyDescent="0.25">
      <c r="A283" t="s">
        <v>7228</v>
      </c>
      <c r="B283">
        <v>58388</v>
      </c>
      <c r="C283">
        <v>4003310011960</v>
      </c>
      <c r="D283">
        <v>79.900000000000006</v>
      </c>
      <c r="E283">
        <v>45.41</v>
      </c>
      <c r="F283">
        <v>28.38</v>
      </c>
      <c r="G283">
        <v>29.857099999999999</v>
      </c>
      <c r="H283">
        <v>0</v>
      </c>
      <c r="K283">
        <v>58388</v>
      </c>
      <c r="L283" t="s">
        <v>7228</v>
      </c>
      <c r="M283">
        <v>0</v>
      </c>
    </row>
    <row r="284" spans="1:13" x14ac:dyDescent="0.25">
      <c r="A284" t="s">
        <v>7229</v>
      </c>
      <c r="B284">
        <v>39719</v>
      </c>
      <c r="C284">
        <v>8411277205654</v>
      </c>
      <c r="D284">
        <v>69.900000000000006</v>
      </c>
      <c r="E284">
        <v>38.200000000000003</v>
      </c>
      <c r="F284">
        <v>29.99</v>
      </c>
      <c r="G284">
        <v>24.9969</v>
      </c>
      <c r="H284">
        <v>2.0670000000000002</v>
      </c>
      <c r="K284">
        <v>39719</v>
      </c>
      <c r="L284" t="s">
        <v>7229</v>
      </c>
      <c r="M284">
        <v>2.0329999999999999</v>
      </c>
    </row>
    <row r="285" spans="1:13" x14ac:dyDescent="0.25">
      <c r="A285" t="s">
        <v>7230</v>
      </c>
      <c r="B285">
        <v>64127</v>
      </c>
      <c r="C285">
        <v>8411277205692</v>
      </c>
      <c r="D285">
        <v>69.900000000000006</v>
      </c>
      <c r="E285">
        <v>32.590000000000003</v>
      </c>
      <c r="F285">
        <v>34.89</v>
      </c>
      <c r="G285">
        <v>21.569800000000001</v>
      </c>
      <c r="H285">
        <v>0.2</v>
      </c>
      <c r="K285">
        <v>64127</v>
      </c>
      <c r="L285" t="s">
        <v>7230</v>
      </c>
      <c r="M285">
        <v>0.23300000000000001</v>
      </c>
    </row>
    <row r="286" spans="1:13" x14ac:dyDescent="0.25">
      <c r="A286" t="s">
        <v>7231</v>
      </c>
      <c r="B286">
        <v>39721</v>
      </c>
      <c r="C286">
        <v>8411277205678</v>
      </c>
      <c r="D286">
        <v>69.900000000000006</v>
      </c>
      <c r="E286">
        <v>39.520000000000003</v>
      </c>
      <c r="F286">
        <v>28.56</v>
      </c>
      <c r="G286">
        <v>25.992999999999999</v>
      </c>
      <c r="H286">
        <v>0.56699999999999995</v>
      </c>
      <c r="K286">
        <v>39721</v>
      </c>
      <c r="L286" t="s">
        <v>7231</v>
      </c>
      <c r="M286">
        <v>0.433</v>
      </c>
    </row>
    <row r="287" spans="1:13" x14ac:dyDescent="0.25">
      <c r="A287" t="s">
        <v>7232</v>
      </c>
      <c r="B287">
        <v>67453</v>
      </c>
      <c r="C287">
        <v>3500610000362</v>
      </c>
      <c r="D287">
        <v>69.900000000000006</v>
      </c>
      <c r="E287">
        <v>47.44</v>
      </c>
      <c r="F287">
        <v>21.12</v>
      </c>
      <c r="G287">
        <v>31.1935</v>
      </c>
      <c r="H287">
        <v>0</v>
      </c>
      <c r="K287">
        <v>67453</v>
      </c>
      <c r="L287" t="s">
        <v>7232</v>
      </c>
      <c r="M287">
        <v>0</v>
      </c>
    </row>
    <row r="288" spans="1:13" x14ac:dyDescent="0.25">
      <c r="A288" t="s">
        <v>7233</v>
      </c>
      <c r="B288">
        <v>67454</v>
      </c>
      <c r="C288">
        <v>3500610000379</v>
      </c>
      <c r="D288">
        <v>69.900000000000006</v>
      </c>
      <c r="E288">
        <v>47.44</v>
      </c>
      <c r="F288">
        <v>21.12</v>
      </c>
      <c r="G288">
        <v>31.1934</v>
      </c>
      <c r="H288">
        <v>0</v>
      </c>
      <c r="K288">
        <v>67454</v>
      </c>
      <c r="L288" t="s">
        <v>7233</v>
      </c>
      <c r="M288">
        <v>0</v>
      </c>
    </row>
    <row r="289" spans="1:13" x14ac:dyDescent="0.25">
      <c r="A289" t="s">
        <v>7234</v>
      </c>
      <c r="B289">
        <v>67455</v>
      </c>
      <c r="C289">
        <v>3500610124389</v>
      </c>
      <c r="D289">
        <v>69.900000000000006</v>
      </c>
      <c r="E289">
        <v>47.44</v>
      </c>
      <c r="F289">
        <v>21.12</v>
      </c>
      <c r="G289">
        <v>31.1936</v>
      </c>
      <c r="H289">
        <v>6.7000000000000004E-2</v>
      </c>
      <c r="K289">
        <v>67455</v>
      </c>
      <c r="L289" t="s">
        <v>7234</v>
      </c>
      <c r="M289">
        <v>6.7000000000000004E-2</v>
      </c>
    </row>
    <row r="290" spans="1:13" x14ac:dyDescent="0.25">
      <c r="A290" t="s">
        <v>7235</v>
      </c>
      <c r="B290">
        <v>66881</v>
      </c>
      <c r="C290">
        <v>7898918946083</v>
      </c>
      <c r="D290">
        <v>99.9</v>
      </c>
      <c r="E290">
        <v>74.97</v>
      </c>
      <c r="F290">
        <v>15.92</v>
      </c>
      <c r="G290">
        <v>49.781999999999996</v>
      </c>
      <c r="H290">
        <v>0.1</v>
      </c>
      <c r="K290">
        <v>66881</v>
      </c>
      <c r="L290" t="s">
        <v>7235</v>
      </c>
      <c r="M290">
        <v>0</v>
      </c>
    </row>
    <row r="291" spans="1:13" x14ac:dyDescent="0.25">
      <c r="A291" t="s">
        <v>7236</v>
      </c>
      <c r="B291">
        <v>66882</v>
      </c>
      <c r="C291">
        <v>7898918946106</v>
      </c>
      <c r="D291">
        <v>99.9</v>
      </c>
      <c r="E291">
        <v>74.86</v>
      </c>
      <c r="F291">
        <v>15.69</v>
      </c>
      <c r="G291">
        <v>50.005600000000001</v>
      </c>
      <c r="H291">
        <v>3.3000000000000002E-2</v>
      </c>
      <c r="K291">
        <v>66882</v>
      </c>
      <c r="L291" t="s">
        <v>7236</v>
      </c>
      <c r="M291">
        <v>0</v>
      </c>
    </row>
    <row r="292" spans="1:13" x14ac:dyDescent="0.25">
      <c r="A292" t="s">
        <v>7237</v>
      </c>
      <c r="B292">
        <v>66883</v>
      </c>
      <c r="C292">
        <v>7908039101190</v>
      </c>
      <c r="D292">
        <v>99.9</v>
      </c>
      <c r="E292">
        <v>72.31</v>
      </c>
      <c r="F292">
        <v>17.3</v>
      </c>
      <c r="G292">
        <v>48.4011</v>
      </c>
      <c r="H292">
        <v>3.3000000000000002E-2</v>
      </c>
      <c r="K292">
        <v>66883</v>
      </c>
      <c r="L292" t="s">
        <v>7237</v>
      </c>
      <c r="M292">
        <v>0</v>
      </c>
    </row>
    <row r="293" spans="1:13" x14ac:dyDescent="0.25">
      <c r="A293" t="s">
        <v>7238</v>
      </c>
      <c r="B293">
        <v>65145</v>
      </c>
      <c r="C293">
        <v>7908039100889</v>
      </c>
      <c r="D293">
        <v>89.9</v>
      </c>
      <c r="E293">
        <v>56.98</v>
      </c>
      <c r="F293">
        <v>24.08</v>
      </c>
      <c r="G293">
        <v>37.462499999999999</v>
      </c>
      <c r="H293">
        <v>6.7000000000000004E-2</v>
      </c>
      <c r="K293">
        <v>65145</v>
      </c>
      <c r="L293" t="s">
        <v>7238</v>
      </c>
      <c r="M293">
        <v>6.7000000000000004E-2</v>
      </c>
    </row>
    <row r="294" spans="1:13" x14ac:dyDescent="0.25">
      <c r="A294" t="s">
        <v>7239</v>
      </c>
      <c r="B294">
        <v>65147</v>
      </c>
      <c r="C294">
        <v>7908039100902</v>
      </c>
      <c r="D294">
        <v>89.9</v>
      </c>
      <c r="E294">
        <v>56.98</v>
      </c>
      <c r="F294">
        <v>24.08</v>
      </c>
      <c r="G294">
        <v>37.462299999999999</v>
      </c>
      <c r="H294">
        <v>0.13300000000000001</v>
      </c>
      <c r="K294">
        <v>65147</v>
      </c>
      <c r="L294" t="s">
        <v>7239</v>
      </c>
      <c r="M294">
        <v>0.13300000000000001</v>
      </c>
    </row>
    <row r="295" spans="1:13" x14ac:dyDescent="0.25">
      <c r="A295" t="s">
        <v>7240</v>
      </c>
      <c r="B295">
        <v>65146</v>
      </c>
      <c r="C295">
        <v>7908039100896</v>
      </c>
      <c r="D295">
        <v>89.9</v>
      </c>
      <c r="E295">
        <v>56.98</v>
      </c>
      <c r="F295">
        <v>24.08</v>
      </c>
      <c r="G295">
        <v>37.462600000000002</v>
      </c>
      <c r="H295">
        <v>3.3000000000000002E-2</v>
      </c>
      <c r="K295">
        <v>65146</v>
      </c>
      <c r="L295" t="s">
        <v>7240</v>
      </c>
      <c r="M295">
        <v>3.3000000000000002E-2</v>
      </c>
    </row>
    <row r="296" spans="1:13" x14ac:dyDescent="0.25">
      <c r="A296" t="s">
        <v>7241</v>
      </c>
      <c r="B296">
        <v>32041</v>
      </c>
      <c r="C296">
        <v>7898276971307</v>
      </c>
      <c r="D296">
        <v>449.9</v>
      </c>
      <c r="E296">
        <v>310.52999999999997</v>
      </c>
      <c r="F296">
        <v>20.37</v>
      </c>
      <c r="G296">
        <v>204.17250000000001</v>
      </c>
      <c r="H296">
        <v>0</v>
      </c>
      <c r="K296">
        <v>32041</v>
      </c>
      <c r="L296" t="s">
        <v>7241</v>
      </c>
      <c r="M296">
        <v>0</v>
      </c>
    </row>
    <row r="297" spans="1:13" x14ac:dyDescent="0.25">
      <c r="A297" t="s">
        <v>7242</v>
      </c>
      <c r="B297">
        <v>8542</v>
      </c>
      <c r="C297">
        <v>7896756800147</v>
      </c>
      <c r="D297">
        <v>39.9</v>
      </c>
      <c r="E297">
        <v>54.57</v>
      </c>
      <c r="F297">
        <v>-24.18</v>
      </c>
      <c r="G297">
        <v>35.880200000000002</v>
      </c>
      <c r="H297">
        <v>0</v>
      </c>
      <c r="K297">
        <v>8542</v>
      </c>
      <c r="L297" t="s">
        <v>7242</v>
      </c>
      <c r="M297">
        <v>0</v>
      </c>
    </row>
    <row r="298" spans="1:13" x14ac:dyDescent="0.25">
      <c r="A298" t="s">
        <v>7243</v>
      </c>
      <c r="B298">
        <v>10313</v>
      </c>
      <c r="C298">
        <v>7891141025495</v>
      </c>
      <c r="D298">
        <v>19.899999999999999</v>
      </c>
      <c r="E298">
        <v>13.45</v>
      </c>
      <c r="F298">
        <v>21.32</v>
      </c>
      <c r="G298">
        <v>8.8414999999999999</v>
      </c>
      <c r="H298">
        <v>2.2000000000000002</v>
      </c>
      <c r="K298">
        <v>10313</v>
      </c>
      <c r="L298" t="s">
        <v>7243</v>
      </c>
      <c r="M298">
        <v>2.0670000000000002</v>
      </c>
    </row>
    <row r="299" spans="1:13" x14ac:dyDescent="0.25">
      <c r="A299" t="s">
        <v>7244</v>
      </c>
      <c r="B299">
        <v>59892</v>
      </c>
      <c r="C299">
        <v>7898932685869</v>
      </c>
      <c r="D299">
        <v>79.900000000000006</v>
      </c>
      <c r="E299">
        <v>42.94</v>
      </c>
      <c r="F299">
        <v>30.41</v>
      </c>
      <c r="G299">
        <v>28.233899999999998</v>
      </c>
      <c r="H299">
        <v>0</v>
      </c>
      <c r="K299">
        <v>59892</v>
      </c>
      <c r="L299" t="s">
        <v>7244</v>
      </c>
      <c r="M299">
        <v>0</v>
      </c>
    </row>
    <row r="300" spans="1:13" x14ac:dyDescent="0.25">
      <c r="A300" t="s">
        <v>7245</v>
      </c>
      <c r="B300">
        <v>68966</v>
      </c>
      <c r="C300">
        <v>7898266930284</v>
      </c>
      <c r="D300">
        <v>149.9</v>
      </c>
      <c r="E300">
        <v>86.42</v>
      </c>
      <c r="F300">
        <v>27.85</v>
      </c>
      <c r="G300">
        <v>56.819499999999998</v>
      </c>
      <c r="H300">
        <v>0</v>
      </c>
      <c r="K300">
        <v>68966</v>
      </c>
      <c r="L300" t="s">
        <v>7245</v>
      </c>
      <c r="M300">
        <v>0</v>
      </c>
    </row>
    <row r="301" spans="1:13" x14ac:dyDescent="0.25">
      <c r="A301" t="s">
        <v>7246</v>
      </c>
      <c r="B301">
        <v>68967</v>
      </c>
      <c r="C301">
        <v>7898266930390</v>
      </c>
      <c r="D301">
        <v>149.9</v>
      </c>
      <c r="E301">
        <v>86.42</v>
      </c>
      <c r="F301">
        <v>27.85</v>
      </c>
      <c r="G301">
        <v>56.819499999999998</v>
      </c>
      <c r="H301">
        <v>0</v>
      </c>
      <c r="K301">
        <v>68967</v>
      </c>
      <c r="L301" t="s">
        <v>7246</v>
      </c>
      <c r="M301">
        <v>0</v>
      </c>
    </row>
    <row r="302" spans="1:13" x14ac:dyDescent="0.25">
      <c r="A302" t="s">
        <v>7247</v>
      </c>
      <c r="B302">
        <v>23366</v>
      </c>
      <c r="C302">
        <v>7898932685463</v>
      </c>
      <c r="D302">
        <v>49.9</v>
      </c>
      <c r="E302">
        <v>28.73</v>
      </c>
      <c r="F302">
        <v>26.69</v>
      </c>
      <c r="G302">
        <v>19.492899999999999</v>
      </c>
      <c r="H302">
        <v>0.23300000000000001</v>
      </c>
      <c r="K302">
        <v>23366</v>
      </c>
      <c r="L302" t="s">
        <v>7247</v>
      </c>
      <c r="M302">
        <v>0.23300000000000001</v>
      </c>
    </row>
    <row r="303" spans="1:13" x14ac:dyDescent="0.25">
      <c r="A303" t="s">
        <v>7248</v>
      </c>
      <c r="B303">
        <v>23365</v>
      </c>
      <c r="C303">
        <v>7898932685470</v>
      </c>
      <c r="D303">
        <v>49.9</v>
      </c>
      <c r="E303">
        <v>33.82</v>
      </c>
      <c r="F303">
        <v>19.38</v>
      </c>
      <c r="G303">
        <v>23.14</v>
      </c>
      <c r="H303">
        <v>0.1</v>
      </c>
      <c r="K303">
        <v>23365</v>
      </c>
      <c r="L303" t="s">
        <v>7248</v>
      </c>
      <c r="M303">
        <v>0.1</v>
      </c>
    </row>
    <row r="304" spans="1:13" x14ac:dyDescent="0.25">
      <c r="A304" t="s">
        <v>7249</v>
      </c>
      <c r="B304">
        <v>51416</v>
      </c>
      <c r="C304">
        <v>7898932685715</v>
      </c>
      <c r="D304">
        <v>49.9</v>
      </c>
      <c r="E304">
        <v>35.57</v>
      </c>
      <c r="F304">
        <v>18.87</v>
      </c>
      <c r="G304">
        <v>23.390699999999999</v>
      </c>
      <c r="H304">
        <v>0.16700000000000001</v>
      </c>
      <c r="K304">
        <v>51416</v>
      </c>
      <c r="L304" t="s">
        <v>7249</v>
      </c>
      <c r="M304">
        <v>0.16700000000000001</v>
      </c>
    </row>
    <row r="305" spans="1:13" x14ac:dyDescent="0.25">
      <c r="A305" t="s">
        <v>7250</v>
      </c>
      <c r="B305">
        <v>51417</v>
      </c>
      <c r="C305">
        <v>7898932685722</v>
      </c>
      <c r="D305">
        <v>49.9</v>
      </c>
      <c r="E305">
        <v>32.630000000000003</v>
      </c>
      <c r="F305">
        <v>21.65</v>
      </c>
      <c r="G305">
        <v>22.0063</v>
      </c>
      <c r="H305">
        <v>0</v>
      </c>
      <c r="K305">
        <v>51417</v>
      </c>
      <c r="L305" t="s">
        <v>7250</v>
      </c>
      <c r="M305">
        <v>0</v>
      </c>
    </row>
    <row r="306" spans="1:13" x14ac:dyDescent="0.25">
      <c r="A306" t="s">
        <v>7251</v>
      </c>
      <c r="B306">
        <v>55629</v>
      </c>
      <c r="C306">
        <v>7898932685814</v>
      </c>
      <c r="D306">
        <v>49.9</v>
      </c>
      <c r="E306">
        <v>31.13</v>
      </c>
      <c r="F306">
        <v>24.75</v>
      </c>
      <c r="G306">
        <v>20.458300000000001</v>
      </c>
      <c r="H306">
        <v>0.2</v>
      </c>
      <c r="K306">
        <v>55629</v>
      </c>
      <c r="L306" t="s">
        <v>7251</v>
      </c>
      <c r="M306">
        <v>0.2</v>
      </c>
    </row>
    <row r="307" spans="1:13" x14ac:dyDescent="0.25">
      <c r="A307" t="s">
        <v>7252</v>
      </c>
      <c r="B307">
        <v>68623</v>
      </c>
      <c r="C307">
        <v>7898932686415</v>
      </c>
      <c r="D307">
        <v>49.9</v>
      </c>
      <c r="E307">
        <v>28.92</v>
      </c>
      <c r="F307">
        <v>27.65</v>
      </c>
      <c r="G307">
        <v>19.012699999999999</v>
      </c>
      <c r="H307">
        <v>0.33300000000000002</v>
      </c>
      <c r="K307">
        <v>68623</v>
      </c>
      <c r="L307" t="s">
        <v>7252</v>
      </c>
      <c r="M307">
        <v>0.3</v>
      </c>
    </row>
    <row r="308" spans="1:13" x14ac:dyDescent="0.25">
      <c r="A308" t="s">
        <v>7253</v>
      </c>
      <c r="B308">
        <v>68624</v>
      </c>
      <c r="C308">
        <v>7898932686439</v>
      </c>
      <c r="D308">
        <v>49.9</v>
      </c>
      <c r="E308">
        <v>27.27</v>
      </c>
      <c r="F308">
        <v>45.34</v>
      </c>
      <c r="G308">
        <v>27.273599999999998</v>
      </c>
      <c r="H308">
        <v>0.63300000000000001</v>
      </c>
      <c r="K308">
        <v>68624</v>
      </c>
      <c r="L308" t="s">
        <v>7253</v>
      </c>
      <c r="M308">
        <v>0.63300000000000001</v>
      </c>
    </row>
    <row r="309" spans="1:13" x14ac:dyDescent="0.25">
      <c r="A309" t="s">
        <v>7254</v>
      </c>
      <c r="B309">
        <v>10314</v>
      </c>
      <c r="C309">
        <v>7891141025518</v>
      </c>
      <c r="D309">
        <v>19.899999999999999</v>
      </c>
      <c r="E309">
        <v>13.45</v>
      </c>
      <c r="F309">
        <v>21.32</v>
      </c>
      <c r="G309">
        <v>8.8411000000000008</v>
      </c>
      <c r="H309">
        <v>0.73299999999999998</v>
      </c>
      <c r="K309">
        <v>10314</v>
      </c>
      <c r="L309" t="s">
        <v>7254</v>
      </c>
      <c r="M309">
        <v>0.66700000000000004</v>
      </c>
    </row>
    <row r="310" spans="1:13" x14ac:dyDescent="0.25">
      <c r="A310" t="s">
        <v>7255</v>
      </c>
      <c r="B310">
        <v>58389</v>
      </c>
      <c r="C310">
        <v>8006220001669</v>
      </c>
      <c r="D310">
        <v>119.9</v>
      </c>
      <c r="E310">
        <v>63.7</v>
      </c>
      <c r="F310">
        <v>30.95</v>
      </c>
      <c r="G310">
        <v>41.719299999999997</v>
      </c>
      <c r="H310">
        <v>0.5</v>
      </c>
      <c r="K310">
        <v>58389</v>
      </c>
      <c r="L310" t="s">
        <v>7255</v>
      </c>
      <c r="M310">
        <v>0.1</v>
      </c>
    </row>
    <row r="311" spans="1:13" x14ac:dyDescent="0.25">
      <c r="A311" t="s">
        <v>7256</v>
      </c>
      <c r="B311">
        <v>63008</v>
      </c>
      <c r="C311">
        <v>7891141036231</v>
      </c>
      <c r="D311">
        <v>26.9</v>
      </c>
      <c r="E311">
        <v>16.239999999999998</v>
      </c>
      <c r="F311">
        <v>26.05</v>
      </c>
      <c r="G311">
        <v>10.678900000000001</v>
      </c>
      <c r="H311">
        <v>0.3</v>
      </c>
      <c r="K311">
        <v>63008</v>
      </c>
      <c r="L311" t="s">
        <v>7256</v>
      </c>
      <c r="M311">
        <v>0.3</v>
      </c>
    </row>
    <row r="312" spans="1:13" x14ac:dyDescent="0.25">
      <c r="A312" t="s">
        <v>7257</v>
      </c>
      <c r="B312">
        <v>15861</v>
      </c>
      <c r="C312">
        <v>7891141026638</v>
      </c>
      <c r="D312">
        <v>26.9</v>
      </c>
      <c r="E312">
        <v>15.63</v>
      </c>
      <c r="F312">
        <v>28.05</v>
      </c>
      <c r="G312">
        <v>10.1408</v>
      </c>
      <c r="H312">
        <v>0.16700000000000001</v>
      </c>
      <c r="K312">
        <v>15861</v>
      </c>
      <c r="L312" t="s">
        <v>7257</v>
      </c>
      <c r="M312">
        <v>0.16700000000000001</v>
      </c>
    </row>
    <row r="313" spans="1:13" x14ac:dyDescent="0.25">
      <c r="A313" t="s">
        <v>7258</v>
      </c>
      <c r="B313">
        <v>55646</v>
      </c>
      <c r="C313">
        <v>7891141031878</v>
      </c>
      <c r="D313">
        <v>26.9</v>
      </c>
      <c r="E313">
        <v>17.98</v>
      </c>
      <c r="F313">
        <v>21.74</v>
      </c>
      <c r="G313">
        <v>11.8391</v>
      </c>
      <c r="H313">
        <v>1.4330000000000001</v>
      </c>
      <c r="K313">
        <v>55646</v>
      </c>
      <c r="L313" t="s">
        <v>7258</v>
      </c>
      <c r="M313">
        <v>1.4330000000000001</v>
      </c>
    </row>
    <row r="314" spans="1:13" x14ac:dyDescent="0.25">
      <c r="A314" t="s">
        <v>7259</v>
      </c>
      <c r="B314">
        <v>2992</v>
      </c>
      <c r="C314">
        <v>7896023082993</v>
      </c>
      <c r="D314">
        <v>35.78</v>
      </c>
      <c r="E314">
        <v>25.58</v>
      </c>
      <c r="F314">
        <v>18.68</v>
      </c>
      <c r="G314">
        <v>16.8447</v>
      </c>
      <c r="H314">
        <v>2.8</v>
      </c>
      <c r="K314">
        <v>2992</v>
      </c>
      <c r="L314" t="s">
        <v>7259</v>
      </c>
      <c r="M314">
        <v>2.2669999999999999</v>
      </c>
    </row>
    <row r="315" spans="1:13" x14ac:dyDescent="0.25">
      <c r="A315" t="s">
        <v>7260</v>
      </c>
      <c r="B315">
        <v>3033</v>
      </c>
      <c r="C315">
        <v>7896023082979</v>
      </c>
      <c r="D315">
        <v>39.9</v>
      </c>
      <c r="E315">
        <v>24.57</v>
      </c>
      <c r="F315">
        <v>25.26</v>
      </c>
      <c r="G315">
        <v>16.1569</v>
      </c>
      <c r="H315">
        <v>0.36699999999999999</v>
      </c>
      <c r="K315">
        <v>3033</v>
      </c>
      <c r="L315" t="s">
        <v>7260</v>
      </c>
      <c r="M315">
        <v>0.4</v>
      </c>
    </row>
    <row r="316" spans="1:13" x14ac:dyDescent="0.25">
      <c r="A316" t="s">
        <v>7261</v>
      </c>
      <c r="B316">
        <v>3035</v>
      </c>
      <c r="C316">
        <v>7896023082634</v>
      </c>
      <c r="D316">
        <v>39.9</v>
      </c>
      <c r="E316">
        <v>25.33</v>
      </c>
      <c r="F316">
        <v>23.59</v>
      </c>
      <c r="G316">
        <v>16.8217</v>
      </c>
      <c r="H316">
        <v>3.6669999999999998</v>
      </c>
      <c r="K316">
        <v>3035</v>
      </c>
      <c r="L316" t="s">
        <v>7261</v>
      </c>
      <c r="M316">
        <v>2.8</v>
      </c>
    </row>
    <row r="317" spans="1:13" x14ac:dyDescent="0.25">
      <c r="A317" t="s">
        <v>7262</v>
      </c>
      <c r="B317">
        <v>30651</v>
      </c>
      <c r="C317">
        <v>7896023083938</v>
      </c>
      <c r="D317">
        <v>36.369999999999997</v>
      </c>
      <c r="E317">
        <v>25.88</v>
      </c>
      <c r="F317">
        <v>18.940000000000001</v>
      </c>
      <c r="G317">
        <v>17.021100000000001</v>
      </c>
      <c r="H317">
        <v>1.633</v>
      </c>
      <c r="K317">
        <v>30651</v>
      </c>
      <c r="L317" t="s">
        <v>7262</v>
      </c>
      <c r="M317">
        <v>1.167</v>
      </c>
    </row>
    <row r="318" spans="1:13" x14ac:dyDescent="0.25">
      <c r="A318" t="s">
        <v>7263</v>
      </c>
      <c r="B318">
        <v>3018</v>
      </c>
      <c r="C318">
        <v>7896023085994</v>
      </c>
      <c r="D318">
        <v>36.119999999999997</v>
      </c>
      <c r="E318">
        <v>25.07</v>
      </c>
      <c r="F318">
        <v>19.809999999999999</v>
      </c>
      <c r="G318">
        <v>16.592700000000001</v>
      </c>
      <c r="H318">
        <v>1.0669999999999999</v>
      </c>
      <c r="K318">
        <v>3018</v>
      </c>
      <c r="L318" t="s">
        <v>7263</v>
      </c>
      <c r="M318">
        <v>1</v>
      </c>
    </row>
    <row r="319" spans="1:13" x14ac:dyDescent="0.25">
      <c r="A319" t="s">
        <v>7264</v>
      </c>
      <c r="B319">
        <v>63137</v>
      </c>
      <c r="C319">
        <v>7896023017933</v>
      </c>
      <c r="D319">
        <v>39.9</v>
      </c>
      <c r="E319">
        <v>24.98</v>
      </c>
      <c r="F319">
        <v>24.25</v>
      </c>
      <c r="G319">
        <v>16.558700000000002</v>
      </c>
      <c r="H319">
        <v>1.0329999999999999</v>
      </c>
      <c r="K319">
        <v>63137</v>
      </c>
      <c r="L319" t="s">
        <v>7264</v>
      </c>
      <c r="M319">
        <v>1.0329999999999999</v>
      </c>
    </row>
    <row r="320" spans="1:13" x14ac:dyDescent="0.25">
      <c r="A320" t="s">
        <v>7265</v>
      </c>
      <c r="B320">
        <v>24883</v>
      </c>
      <c r="C320">
        <v>8410428300019</v>
      </c>
      <c r="D320">
        <v>279.89999999999998</v>
      </c>
      <c r="E320">
        <v>181.91</v>
      </c>
      <c r="F320">
        <v>23.02</v>
      </c>
      <c r="G320">
        <v>119.6028</v>
      </c>
      <c r="H320">
        <v>6.7000000000000004E-2</v>
      </c>
      <c r="K320">
        <v>24883</v>
      </c>
      <c r="L320" t="s">
        <v>7265</v>
      </c>
      <c r="M320">
        <v>6.7000000000000004E-2</v>
      </c>
    </row>
    <row r="321" spans="1:13" x14ac:dyDescent="0.25">
      <c r="A321" t="s">
        <v>7266</v>
      </c>
      <c r="B321">
        <v>55986</v>
      </c>
      <c r="C321">
        <v>8410428300040</v>
      </c>
      <c r="D321">
        <v>82.89</v>
      </c>
      <c r="E321">
        <v>53.38</v>
      </c>
      <c r="F321">
        <v>23.65</v>
      </c>
      <c r="G321">
        <v>34.900300000000001</v>
      </c>
      <c r="H321">
        <v>4.367</v>
      </c>
      <c r="K321">
        <v>55986</v>
      </c>
      <c r="L321" t="s">
        <v>7266</v>
      </c>
      <c r="M321">
        <v>0.2</v>
      </c>
    </row>
    <row r="322" spans="1:13" x14ac:dyDescent="0.25">
      <c r="A322" t="s">
        <v>7267</v>
      </c>
      <c r="B322">
        <v>66475</v>
      </c>
      <c r="C322">
        <v>8410428300033</v>
      </c>
      <c r="D322">
        <v>81.2</v>
      </c>
      <c r="E322">
        <v>53.97</v>
      </c>
      <c r="F322">
        <v>22.19</v>
      </c>
      <c r="G322">
        <v>35.375399999999999</v>
      </c>
      <c r="H322">
        <v>0.13300000000000001</v>
      </c>
      <c r="K322">
        <v>66475</v>
      </c>
      <c r="L322" t="s">
        <v>7267</v>
      </c>
      <c r="M322">
        <v>0.13300000000000001</v>
      </c>
    </row>
    <row r="323" spans="1:13" x14ac:dyDescent="0.25">
      <c r="A323" t="s">
        <v>7268</v>
      </c>
      <c r="B323">
        <v>62190</v>
      </c>
      <c r="C323">
        <v>8003360710758</v>
      </c>
      <c r="D323">
        <v>89.9</v>
      </c>
      <c r="E323">
        <v>48.27</v>
      </c>
      <c r="F323">
        <v>30.38</v>
      </c>
      <c r="G323">
        <v>31.8</v>
      </c>
      <c r="H323">
        <v>3.3000000000000002E-2</v>
      </c>
      <c r="K323">
        <v>62190</v>
      </c>
      <c r="L323" t="s">
        <v>7268</v>
      </c>
      <c r="M323">
        <v>3.3000000000000002E-2</v>
      </c>
    </row>
    <row r="324" spans="1:13" x14ac:dyDescent="0.25">
      <c r="A324" t="s">
        <v>7269</v>
      </c>
      <c r="B324">
        <v>64488</v>
      </c>
      <c r="C324">
        <v>7908692700051</v>
      </c>
      <c r="D324">
        <v>13.9</v>
      </c>
      <c r="E324">
        <v>8.09</v>
      </c>
      <c r="F324">
        <v>30.66</v>
      </c>
      <c r="G324">
        <v>5.851</v>
      </c>
      <c r="H324">
        <v>0.46700000000000003</v>
      </c>
      <c r="K324">
        <v>64488</v>
      </c>
      <c r="L324" t="s">
        <v>7269</v>
      </c>
      <c r="M324">
        <v>0.433</v>
      </c>
    </row>
    <row r="325" spans="1:13" x14ac:dyDescent="0.25">
      <c r="A325" t="s">
        <v>7270</v>
      </c>
      <c r="B325">
        <v>64487</v>
      </c>
      <c r="C325">
        <v>7908692700068</v>
      </c>
      <c r="D325">
        <v>13.9</v>
      </c>
      <c r="E325">
        <v>7.9</v>
      </c>
      <c r="F325">
        <v>31.37</v>
      </c>
      <c r="G325">
        <v>5.7523999999999997</v>
      </c>
      <c r="H325">
        <v>0.4</v>
      </c>
      <c r="K325">
        <v>64487</v>
      </c>
      <c r="L325" t="s">
        <v>7270</v>
      </c>
      <c r="M325">
        <v>0.4</v>
      </c>
    </row>
    <row r="326" spans="1:13" x14ac:dyDescent="0.25">
      <c r="A326" t="s">
        <v>7271</v>
      </c>
      <c r="B326">
        <v>58891</v>
      </c>
      <c r="C326">
        <v>7898951400290</v>
      </c>
      <c r="D326">
        <v>39.9</v>
      </c>
      <c r="E326">
        <v>26.06</v>
      </c>
      <c r="F326">
        <v>25.06</v>
      </c>
      <c r="G326">
        <v>19.027799999999999</v>
      </c>
      <c r="H326">
        <v>0.63300000000000001</v>
      </c>
      <c r="K326">
        <v>58891</v>
      </c>
      <c r="L326" t="s">
        <v>7271</v>
      </c>
      <c r="M326">
        <v>0.6</v>
      </c>
    </row>
    <row r="327" spans="1:13" x14ac:dyDescent="0.25">
      <c r="A327" t="s">
        <v>7272</v>
      </c>
      <c r="B327">
        <v>64458</v>
      </c>
      <c r="C327">
        <v>7898951400399</v>
      </c>
      <c r="D327">
        <v>29.9</v>
      </c>
      <c r="E327">
        <v>25.66</v>
      </c>
      <c r="F327">
        <v>10.3</v>
      </c>
      <c r="G327">
        <v>18.671299999999999</v>
      </c>
      <c r="H327">
        <v>0</v>
      </c>
      <c r="K327">
        <v>64458</v>
      </c>
      <c r="L327" t="s">
        <v>7272</v>
      </c>
      <c r="M327">
        <v>3.3000000000000002E-2</v>
      </c>
    </row>
    <row r="328" spans="1:13" x14ac:dyDescent="0.25">
      <c r="A328" t="s">
        <v>7273</v>
      </c>
      <c r="B328">
        <v>58892</v>
      </c>
      <c r="C328">
        <v>7898951400177</v>
      </c>
      <c r="D328">
        <v>39.9</v>
      </c>
      <c r="E328">
        <v>26.41</v>
      </c>
      <c r="F328">
        <v>24.18</v>
      </c>
      <c r="G328">
        <v>19.378399999999999</v>
      </c>
      <c r="H328">
        <v>1.1000000000000001</v>
      </c>
      <c r="K328">
        <v>58892</v>
      </c>
      <c r="L328" t="s">
        <v>7273</v>
      </c>
      <c r="M328">
        <v>0.9</v>
      </c>
    </row>
    <row r="329" spans="1:13" x14ac:dyDescent="0.25">
      <c r="A329" t="s">
        <v>7274</v>
      </c>
      <c r="B329">
        <v>61634</v>
      </c>
      <c r="C329">
        <v>735201080239</v>
      </c>
      <c r="D329">
        <v>129.9</v>
      </c>
      <c r="E329">
        <v>88.98</v>
      </c>
      <c r="F329">
        <v>28.59</v>
      </c>
      <c r="G329">
        <v>80.746700000000004</v>
      </c>
      <c r="H329">
        <v>0</v>
      </c>
      <c r="K329">
        <v>61634</v>
      </c>
      <c r="L329" t="s">
        <v>7274</v>
      </c>
      <c r="M329">
        <v>0</v>
      </c>
    </row>
    <row r="330" spans="1:13" x14ac:dyDescent="0.25">
      <c r="A330" t="s">
        <v>7275</v>
      </c>
      <c r="B330">
        <v>61635</v>
      </c>
      <c r="C330">
        <v>798190172880</v>
      </c>
      <c r="D330">
        <v>149.9</v>
      </c>
      <c r="E330">
        <v>74.650000000000006</v>
      </c>
      <c r="F330">
        <v>45.55</v>
      </c>
      <c r="G330">
        <v>67.749099999999999</v>
      </c>
      <c r="H330">
        <v>0</v>
      </c>
      <c r="K330">
        <v>61635</v>
      </c>
      <c r="L330" t="s">
        <v>7275</v>
      </c>
      <c r="M330">
        <v>0</v>
      </c>
    </row>
    <row r="331" spans="1:13" x14ac:dyDescent="0.25">
      <c r="A331" t="s">
        <v>7276</v>
      </c>
      <c r="B331">
        <v>61636</v>
      </c>
      <c r="C331">
        <v>606529291457</v>
      </c>
      <c r="D331">
        <v>199.9</v>
      </c>
      <c r="E331">
        <v>125.46</v>
      </c>
      <c r="F331">
        <v>34.57</v>
      </c>
      <c r="G331">
        <v>112.30329999999999</v>
      </c>
      <c r="H331">
        <v>0</v>
      </c>
      <c r="K331">
        <v>61636</v>
      </c>
      <c r="L331" t="s">
        <v>7276</v>
      </c>
      <c r="M331">
        <v>0</v>
      </c>
    </row>
    <row r="332" spans="1:13" x14ac:dyDescent="0.25">
      <c r="A332" t="s">
        <v>7277</v>
      </c>
      <c r="B332">
        <v>67312</v>
      </c>
      <c r="C332">
        <v>7898221854341</v>
      </c>
      <c r="D332">
        <v>49.9</v>
      </c>
      <c r="E332">
        <v>35.49</v>
      </c>
      <c r="F332">
        <v>25.54</v>
      </c>
      <c r="G332">
        <v>32.538600000000002</v>
      </c>
      <c r="H332">
        <v>0.23300000000000001</v>
      </c>
      <c r="K332">
        <v>67312</v>
      </c>
      <c r="L332" t="s">
        <v>7277</v>
      </c>
      <c r="M332">
        <v>0.23300000000000001</v>
      </c>
    </row>
    <row r="333" spans="1:13" x14ac:dyDescent="0.25">
      <c r="A333" t="s">
        <v>7278</v>
      </c>
      <c r="B333">
        <v>67313</v>
      </c>
      <c r="C333">
        <v>7898221854334</v>
      </c>
      <c r="D333">
        <v>49.9</v>
      </c>
      <c r="E333">
        <v>35.299999999999997</v>
      </c>
      <c r="F333">
        <v>26.54</v>
      </c>
      <c r="G333">
        <v>32.038800000000002</v>
      </c>
      <c r="H333">
        <v>0.56699999999999995</v>
      </c>
      <c r="K333">
        <v>67313</v>
      </c>
      <c r="L333" t="s">
        <v>7278</v>
      </c>
      <c r="M333">
        <v>0.56699999999999995</v>
      </c>
    </row>
    <row r="334" spans="1:13" x14ac:dyDescent="0.25">
      <c r="A334" t="s">
        <v>7279</v>
      </c>
      <c r="B334">
        <v>67314</v>
      </c>
      <c r="C334">
        <v>7898221854310</v>
      </c>
      <c r="D334">
        <v>49.9</v>
      </c>
      <c r="E334">
        <v>35.299999999999997</v>
      </c>
      <c r="F334">
        <v>26.54</v>
      </c>
      <c r="G334">
        <v>32.038600000000002</v>
      </c>
      <c r="H334">
        <v>1.8</v>
      </c>
      <c r="K334">
        <v>67314</v>
      </c>
      <c r="L334" t="s">
        <v>7279</v>
      </c>
      <c r="M334">
        <v>1.2669999999999999</v>
      </c>
    </row>
    <row r="335" spans="1:13" x14ac:dyDescent="0.25">
      <c r="A335" t="s">
        <v>7280</v>
      </c>
      <c r="B335">
        <v>58375</v>
      </c>
      <c r="C335">
        <v>7898255980511</v>
      </c>
      <c r="D335">
        <v>49.9</v>
      </c>
      <c r="E335">
        <v>37.25</v>
      </c>
      <c r="F335">
        <v>22.61</v>
      </c>
      <c r="G335">
        <v>34.001199999999997</v>
      </c>
      <c r="H335">
        <v>1.367</v>
      </c>
      <c r="K335">
        <v>58375</v>
      </c>
      <c r="L335" t="s">
        <v>7280</v>
      </c>
      <c r="M335">
        <v>0.26700000000000002</v>
      </c>
    </row>
    <row r="336" spans="1:13" x14ac:dyDescent="0.25">
      <c r="A336" t="s">
        <v>7281</v>
      </c>
      <c r="B336">
        <v>60470</v>
      </c>
      <c r="C336">
        <v>7891050000569</v>
      </c>
      <c r="D336">
        <v>129.9</v>
      </c>
      <c r="E336">
        <v>90.87</v>
      </c>
      <c r="F336">
        <v>30.9</v>
      </c>
      <c r="G336">
        <v>77.743300000000005</v>
      </c>
      <c r="H336">
        <v>0.433</v>
      </c>
      <c r="K336">
        <v>60470</v>
      </c>
      <c r="L336" t="s">
        <v>7281</v>
      </c>
      <c r="M336">
        <v>0.3</v>
      </c>
    </row>
    <row r="337" spans="1:13" x14ac:dyDescent="0.25">
      <c r="A337" t="s">
        <v>7282</v>
      </c>
      <c r="B337">
        <v>45803</v>
      </c>
      <c r="C337">
        <v>7891050000545</v>
      </c>
      <c r="D337">
        <v>129.9</v>
      </c>
      <c r="E337">
        <v>80.52</v>
      </c>
      <c r="F337">
        <v>34.6</v>
      </c>
      <c r="G337">
        <v>72.937200000000004</v>
      </c>
      <c r="H337">
        <v>2.4</v>
      </c>
      <c r="K337">
        <v>45803</v>
      </c>
      <c r="L337" t="s">
        <v>7282</v>
      </c>
      <c r="M337">
        <v>6.7000000000000004E-2</v>
      </c>
    </row>
    <row r="338" spans="1:13" x14ac:dyDescent="0.25">
      <c r="A338" t="s">
        <v>7283</v>
      </c>
      <c r="B338">
        <v>52381</v>
      </c>
      <c r="C338">
        <v>5000299618073</v>
      </c>
      <c r="D338">
        <v>129.9</v>
      </c>
      <c r="E338">
        <v>80.13</v>
      </c>
      <c r="F338">
        <v>34.770000000000003</v>
      </c>
      <c r="G338">
        <v>72.722999999999999</v>
      </c>
      <c r="H338">
        <v>2.4</v>
      </c>
      <c r="K338">
        <v>52381</v>
      </c>
      <c r="L338" t="s">
        <v>7283</v>
      </c>
      <c r="M338">
        <v>0.5</v>
      </c>
    </row>
    <row r="339" spans="1:13" x14ac:dyDescent="0.25">
      <c r="A339" t="s">
        <v>7284</v>
      </c>
      <c r="B339">
        <v>62800</v>
      </c>
      <c r="C339">
        <v>7640175742522</v>
      </c>
      <c r="D339">
        <v>149.9</v>
      </c>
      <c r="E339">
        <v>106.79</v>
      </c>
      <c r="F339">
        <v>26.1</v>
      </c>
      <c r="G339">
        <v>96.912000000000006</v>
      </c>
      <c r="H339">
        <v>0</v>
      </c>
      <c r="K339">
        <v>62800</v>
      </c>
      <c r="L339" t="s">
        <v>7284</v>
      </c>
      <c r="M339">
        <v>0</v>
      </c>
    </row>
    <row r="340" spans="1:13" x14ac:dyDescent="0.25">
      <c r="A340" t="s">
        <v>7285</v>
      </c>
      <c r="B340">
        <v>60449</v>
      </c>
      <c r="C340">
        <v>80480301002</v>
      </c>
      <c r="D340">
        <v>339.9</v>
      </c>
      <c r="E340">
        <v>261.45</v>
      </c>
      <c r="F340">
        <v>20.94</v>
      </c>
      <c r="G340">
        <v>237.27</v>
      </c>
      <c r="H340">
        <v>0</v>
      </c>
      <c r="K340">
        <v>60449</v>
      </c>
      <c r="L340" t="s">
        <v>7285</v>
      </c>
      <c r="M340">
        <v>0</v>
      </c>
    </row>
    <row r="341" spans="1:13" x14ac:dyDescent="0.25">
      <c r="A341" t="s">
        <v>7286</v>
      </c>
      <c r="B341">
        <v>29359</v>
      </c>
      <c r="C341">
        <v>7640175742263</v>
      </c>
      <c r="D341">
        <v>139.9</v>
      </c>
      <c r="E341">
        <v>92.49</v>
      </c>
      <c r="F341">
        <v>30.75</v>
      </c>
      <c r="G341">
        <v>83.9422</v>
      </c>
      <c r="H341">
        <v>0.7</v>
      </c>
      <c r="K341">
        <v>29359</v>
      </c>
      <c r="L341" t="s">
        <v>7286</v>
      </c>
      <c r="M341">
        <v>0.3</v>
      </c>
    </row>
    <row r="342" spans="1:13" x14ac:dyDescent="0.25">
      <c r="A342" t="s">
        <v>7287</v>
      </c>
      <c r="B342">
        <v>61885</v>
      </c>
      <c r="C342">
        <v>5000291024056</v>
      </c>
      <c r="D342">
        <v>19.899999999999999</v>
      </c>
      <c r="E342">
        <v>6.89</v>
      </c>
      <c r="F342">
        <v>59.34</v>
      </c>
      <c r="G342">
        <v>6.25</v>
      </c>
      <c r="H342">
        <v>0</v>
      </c>
      <c r="K342">
        <v>61885</v>
      </c>
      <c r="L342" t="s">
        <v>7287</v>
      </c>
      <c r="M342">
        <v>0</v>
      </c>
    </row>
    <row r="343" spans="1:13" x14ac:dyDescent="0.25">
      <c r="A343" t="s">
        <v>7288</v>
      </c>
      <c r="B343">
        <v>60602</v>
      </c>
      <c r="C343">
        <v>5000289932479</v>
      </c>
      <c r="D343">
        <v>84.9</v>
      </c>
      <c r="E343">
        <v>57.28</v>
      </c>
      <c r="F343">
        <v>31.56</v>
      </c>
      <c r="G343">
        <v>50.252600000000001</v>
      </c>
      <c r="H343">
        <v>6.7000000000000004E-2</v>
      </c>
      <c r="K343">
        <v>60602</v>
      </c>
      <c r="L343" t="s">
        <v>7288</v>
      </c>
      <c r="M343">
        <v>6.7000000000000004E-2</v>
      </c>
    </row>
    <row r="344" spans="1:13" x14ac:dyDescent="0.25">
      <c r="A344" t="s">
        <v>7289</v>
      </c>
      <c r="B344">
        <v>12773</v>
      </c>
      <c r="C344">
        <v>5000289020725</v>
      </c>
      <c r="D344">
        <v>84.9</v>
      </c>
      <c r="E344">
        <v>64.69</v>
      </c>
      <c r="F344">
        <v>21.57</v>
      </c>
      <c r="G344">
        <v>58.730800000000002</v>
      </c>
      <c r="H344">
        <v>1.9670000000000001</v>
      </c>
      <c r="K344">
        <v>12773</v>
      </c>
      <c r="L344" t="s">
        <v>7289</v>
      </c>
      <c r="M344">
        <v>0.93300000000000005</v>
      </c>
    </row>
    <row r="345" spans="1:13" x14ac:dyDescent="0.25">
      <c r="A345" t="s">
        <v>7290</v>
      </c>
      <c r="B345">
        <v>52159</v>
      </c>
      <c r="C345">
        <v>5000289929417</v>
      </c>
      <c r="D345">
        <v>84.9</v>
      </c>
      <c r="E345">
        <v>63.51</v>
      </c>
      <c r="F345">
        <v>22.85</v>
      </c>
      <c r="G345">
        <v>57.649000000000001</v>
      </c>
      <c r="H345">
        <v>0.33300000000000002</v>
      </c>
      <c r="K345">
        <v>52159</v>
      </c>
      <c r="L345" t="s">
        <v>7290</v>
      </c>
      <c r="M345">
        <v>0.13300000000000001</v>
      </c>
    </row>
    <row r="346" spans="1:13" x14ac:dyDescent="0.25">
      <c r="A346" t="s">
        <v>7291</v>
      </c>
      <c r="B346">
        <v>60299</v>
      </c>
      <c r="C346">
        <v>83664990436</v>
      </c>
      <c r="D346">
        <v>219.9</v>
      </c>
      <c r="E346">
        <v>150.57</v>
      </c>
      <c r="F346">
        <v>31.28</v>
      </c>
      <c r="G346">
        <v>130.7842</v>
      </c>
      <c r="H346">
        <v>0</v>
      </c>
      <c r="K346">
        <v>60299</v>
      </c>
      <c r="L346" t="s">
        <v>7291</v>
      </c>
      <c r="M346">
        <v>0</v>
      </c>
    </row>
    <row r="347" spans="1:13" x14ac:dyDescent="0.25">
      <c r="A347" t="s">
        <v>7292</v>
      </c>
      <c r="B347">
        <v>67163</v>
      </c>
      <c r="C347">
        <v>8411144101034</v>
      </c>
      <c r="D347">
        <v>129.9</v>
      </c>
      <c r="E347">
        <v>101.5</v>
      </c>
      <c r="F347">
        <v>19.91</v>
      </c>
      <c r="G347">
        <v>92.0197</v>
      </c>
      <c r="H347">
        <v>0</v>
      </c>
      <c r="K347">
        <v>67163</v>
      </c>
      <c r="L347" t="s">
        <v>7292</v>
      </c>
      <c r="M347">
        <v>0</v>
      </c>
    </row>
    <row r="348" spans="1:13" x14ac:dyDescent="0.25">
      <c r="A348" t="s">
        <v>7293</v>
      </c>
      <c r="B348">
        <v>60121</v>
      </c>
      <c r="C348">
        <v>8411144101010</v>
      </c>
      <c r="D348">
        <v>74.900000000000006</v>
      </c>
      <c r="E348">
        <v>51.32</v>
      </c>
      <c r="F348">
        <v>28.59</v>
      </c>
      <c r="G348">
        <v>46.560099999999998</v>
      </c>
      <c r="H348">
        <v>0</v>
      </c>
      <c r="K348">
        <v>60121</v>
      </c>
      <c r="L348" t="s">
        <v>7293</v>
      </c>
      <c r="M348">
        <v>0</v>
      </c>
    </row>
    <row r="349" spans="1:13" x14ac:dyDescent="0.25">
      <c r="A349" t="s">
        <v>7294</v>
      </c>
      <c r="B349">
        <v>67162</v>
      </c>
      <c r="C349">
        <v>8411144101058</v>
      </c>
      <c r="D349">
        <v>99.9</v>
      </c>
      <c r="E349">
        <v>72.22</v>
      </c>
      <c r="F349">
        <v>24.25</v>
      </c>
      <c r="G349">
        <v>66.428799999999995</v>
      </c>
      <c r="H349">
        <v>3.3000000000000002E-2</v>
      </c>
      <c r="K349">
        <v>67162</v>
      </c>
      <c r="L349" t="s">
        <v>7294</v>
      </c>
      <c r="M349">
        <v>3.3000000000000002E-2</v>
      </c>
    </row>
    <row r="350" spans="1:13" x14ac:dyDescent="0.25">
      <c r="A350" t="s">
        <v>7295</v>
      </c>
      <c r="B350">
        <v>64108</v>
      </c>
      <c r="C350">
        <v>89540507583</v>
      </c>
      <c r="D350">
        <v>229.9</v>
      </c>
      <c r="E350">
        <v>161.06</v>
      </c>
      <c r="F350">
        <v>27.17</v>
      </c>
      <c r="G350">
        <v>146.16069999999999</v>
      </c>
      <c r="H350">
        <v>0</v>
      </c>
      <c r="K350">
        <v>64108</v>
      </c>
      <c r="L350" t="s">
        <v>7295</v>
      </c>
      <c r="M350">
        <v>0</v>
      </c>
    </row>
    <row r="351" spans="1:13" x14ac:dyDescent="0.25">
      <c r="A351" t="s">
        <v>7296</v>
      </c>
      <c r="B351">
        <v>61883</v>
      </c>
      <c r="C351">
        <v>5000291024674</v>
      </c>
      <c r="D351">
        <v>19.899999999999999</v>
      </c>
      <c r="E351">
        <v>6.84</v>
      </c>
      <c r="F351">
        <v>59.57</v>
      </c>
      <c r="G351">
        <v>6.2047999999999996</v>
      </c>
      <c r="H351">
        <v>0.66700000000000004</v>
      </c>
      <c r="K351">
        <v>61883</v>
      </c>
      <c r="L351" t="s">
        <v>7296</v>
      </c>
      <c r="M351">
        <v>0.6</v>
      </c>
    </row>
    <row r="352" spans="1:13" x14ac:dyDescent="0.25">
      <c r="A352" t="s">
        <v>7297</v>
      </c>
      <c r="B352">
        <v>61066</v>
      </c>
      <c r="C352">
        <v>8435449500002</v>
      </c>
      <c r="D352">
        <v>219.9</v>
      </c>
      <c r="E352">
        <v>158.13</v>
      </c>
      <c r="F352">
        <v>26.71</v>
      </c>
      <c r="G352">
        <v>140.81399999999999</v>
      </c>
      <c r="H352">
        <v>0</v>
      </c>
      <c r="K352">
        <v>61066</v>
      </c>
      <c r="L352" t="s">
        <v>7297</v>
      </c>
      <c r="M352">
        <v>0</v>
      </c>
    </row>
    <row r="353" spans="1:13" x14ac:dyDescent="0.25">
      <c r="A353" t="s">
        <v>7298</v>
      </c>
      <c r="B353">
        <v>60541</v>
      </c>
      <c r="C353">
        <v>5000291025930</v>
      </c>
      <c r="D353">
        <v>129.9</v>
      </c>
      <c r="E353">
        <v>96.15</v>
      </c>
      <c r="F353">
        <v>23.58</v>
      </c>
      <c r="G353">
        <v>87.255499999999998</v>
      </c>
      <c r="H353">
        <v>3.3000000000000002E-2</v>
      </c>
      <c r="K353">
        <v>60541</v>
      </c>
      <c r="L353" t="s">
        <v>7298</v>
      </c>
      <c r="M353">
        <v>3.3000000000000002E-2</v>
      </c>
    </row>
    <row r="354" spans="1:13" x14ac:dyDescent="0.25">
      <c r="A354" t="s">
        <v>7299</v>
      </c>
      <c r="B354">
        <v>64094</v>
      </c>
      <c r="C354">
        <v>4901777305359</v>
      </c>
      <c r="D354">
        <v>189.9</v>
      </c>
      <c r="E354">
        <v>139.32</v>
      </c>
      <c r="F354">
        <v>24.17</v>
      </c>
      <c r="G354">
        <v>126.43210000000001</v>
      </c>
      <c r="H354">
        <v>6.7000000000000004E-2</v>
      </c>
      <c r="K354">
        <v>64094</v>
      </c>
      <c r="L354" t="s">
        <v>7299</v>
      </c>
      <c r="M354">
        <v>6.7000000000000004E-2</v>
      </c>
    </row>
    <row r="355" spans="1:13" x14ac:dyDescent="0.25">
      <c r="A355" t="s">
        <v>7300</v>
      </c>
      <c r="B355">
        <v>12774</v>
      </c>
      <c r="C355">
        <v>7891121154009</v>
      </c>
      <c r="D355">
        <v>59.9</v>
      </c>
      <c r="E355">
        <v>34.86</v>
      </c>
      <c r="F355">
        <v>37.71</v>
      </c>
      <c r="G355">
        <v>31.7683</v>
      </c>
      <c r="H355">
        <v>0.96699999999999997</v>
      </c>
      <c r="K355">
        <v>12774</v>
      </c>
      <c r="L355" t="s">
        <v>7300</v>
      </c>
      <c r="M355">
        <v>0.83299999999999996</v>
      </c>
    </row>
    <row r="356" spans="1:13" x14ac:dyDescent="0.25">
      <c r="A356" t="s">
        <v>7301</v>
      </c>
      <c r="B356">
        <v>45812</v>
      </c>
      <c r="C356">
        <v>7891050003300</v>
      </c>
      <c r="D356">
        <v>89.9</v>
      </c>
      <c r="E356">
        <v>58.87</v>
      </c>
      <c r="F356">
        <v>30.39</v>
      </c>
      <c r="G356">
        <v>54.260100000000001</v>
      </c>
      <c r="H356">
        <v>6.7000000000000004E-2</v>
      </c>
      <c r="K356">
        <v>45812</v>
      </c>
      <c r="L356" t="s">
        <v>7301</v>
      </c>
      <c r="M356">
        <v>6.7000000000000004E-2</v>
      </c>
    </row>
    <row r="357" spans="1:13" x14ac:dyDescent="0.25">
      <c r="A357" t="s">
        <v>7302</v>
      </c>
      <c r="B357">
        <v>51516</v>
      </c>
      <c r="C357">
        <v>7891121155006</v>
      </c>
      <c r="D357">
        <v>119.9</v>
      </c>
      <c r="E357">
        <v>71.31</v>
      </c>
      <c r="F357">
        <v>36.78</v>
      </c>
      <c r="G357">
        <v>64.709999999999994</v>
      </c>
      <c r="H357">
        <v>0</v>
      </c>
      <c r="K357">
        <v>51516</v>
      </c>
      <c r="L357" t="s">
        <v>7302</v>
      </c>
      <c r="M357">
        <v>0</v>
      </c>
    </row>
    <row r="358" spans="1:13" x14ac:dyDescent="0.25">
      <c r="A358" t="s">
        <v>7303</v>
      </c>
      <c r="B358">
        <v>60603</v>
      </c>
      <c r="C358">
        <v>5010103261609</v>
      </c>
      <c r="D358">
        <v>49.9</v>
      </c>
      <c r="E358">
        <v>32.99</v>
      </c>
      <c r="F358">
        <v>30.45</v>
      </c>
      <c r="G358">
        <v>30.090800000000002</v>
      </c>
      <c r="H358">
        <v>0.93300000000000005</v>
      </c>
      <c r="K358">
        <v>60603</v>
      </c>
      <c r="L358" t="s">
        <v>7303</v>
      </c>
      <c r="M358">
        <v>0.433</v>
      </c>
    </row>
    <row r="359" spans="1:13" x14ac:dyDescent="0.25">
      <c r="A359" t="s">
        <v>7304</v>
      </c>
      <c r="B359">
        <v>27219</v>
      </c>
      <c r="C359">
        <v>5000291020706</v>
      </c>
      <c r="D359">
        <v>129.9</v>
      </c>
      <c r="E359">
        <v>98.21</v>
      </c>
      <c r="F359">
        <v>21.8</v>
      </c>
      <c r="G359">
        <v>89.561800000000005</v>
      </c>
      <c r="H359">
        <v>3.3330000000000002</v>
      </c>
      <c r="K359">
        <v>27219</v>
      </c>
      <c r="L359" t="s">
        <v>7304</v>
      </c>
      <c r="M359">
        <v>1.5329999999999999</v>
      </c>
    </row>
    <row r="360" spans="1:13" x14ac:dyDescent="0.25">
      <c r="A360" t="s">
        <v>7305</v>
      </c>
      <c r="B360">
        <v>63681</v>
      </c>
      <c r="C360">
        <v>5000291026814</v>
      </c>
      <c r="D360">
        <v>169.9</v>
      </c>
      <c r="E360">
        <v>110.07</v>
      </c>
      <c r="F360">
        <v>32.020000000000003</v>
      </c>
      <c r="G360">
        <v>99.779499999999999</v>
      </c>
      <c r="H360">
        <v>0.33300000000000002</v>
      </c>
      <c r="K360">
        <v>63681</v>
      </c>
      <c r="L360" t="s">
        <v>7305</v>
      </c>
      <c r="M360">
        <v>0.13300000000000001</v>
      </c>
    </row>
    <row r="361" spans="1:13" x14ac:dyDescent="0.25">
      <c r="A361" t="s">
        <v>7306</v>
      </c>
      <c r="B361">
        <v>51360</v>
      </c>
      <c r="C361">
        <v>5000291027590</v>
      </c>
      <c r="D361">
        <v>249.9</v>
      </c>
      <c r="E361">
        <v>156.66999999999999</v>
      </c>
      <c r="F361">
        <v>33.89</v>
      </c>
      <c r="G361">
        <v>142.1002</v>
      </c>
      <c r="H361">
        <v>0.33300000000000002</v>
      </c>
      <c r="K361">
        <v>51360</v>
      </c>
      <c r="L361" t="s">
        <v>7306</v>
      </c>
      <c r="M361">
        <v>3.3000000000000002E-2</v>
      </c>
    </row>
    <row r="362" spans="1:13" x14ac:dyDescent="0.25">
      <c r="A362" t="s">
        <v>7307</v>
      </c>
      <c r="B362">
        <v>62010</v>
      </c>
      <c r="C362">
        <v>5000291026548</v>
      </c>
      <c r="D362">
        <v>129.9</v>
      </c>
      <c r="E362">
        <v>98.87</v>
      </c>
      <c r="F362">
        <v>21.68</v>
      </c>
      <c r="G362">
        <v>89.727500000000006</v>
      </c>
      <c r="H362">
        <v>0.36699999999999999</v>
      </c>
      <c r="K362">
        <v>62010</v>
      </c>
      <c r="L362" t="s">
        <v>7307</v>
      </c>
      <c r="M362">
        <v>0.16700000000000001</v>
      </c>
    </row>
    <row r="363" spans="1:13" x14ac:dyDescent="0.25">
      <c r="A363" t="s">
        <v>7308</v>
      </c>
      <c r="B363">
        <v>52160</v>
      </c>
      <c r="C363">
        <v>5000291023462</v>
      </c>
      <c r="D363">
        <v>129.9</v>
      </c>
      <c r="E363">
        <v>98.89</v>
      </c>
      <c r="F363">
        <v>21.67</v>
      </c>
      <c r="G363">
        <v>89.737399999999994</v>
      </c>
      <c r="H363">
        <v>0.46700000000000003</v>
      </c>
      <c r="K363">
        <v>52160</v>
      </c>
      <c r="L363" t="s">
        <v>7308</v>
      </c>
      <c r="M363">
        <v>0.4</v>
      </c>
    </row>
    <row r="364" spans="1:13" x14ac:dyDescent="0.25">
      <c r="A364" t="s">
        <v>7309</v>
      </c>
      <c r="B364">
        <v>61995</v>
      </c>
      <c r="C364">
        <v>5000291024087</v>
      </c>
      <c r="D364">
        <v>19.899999999999999</v>
      </c>
      <c r="E364">
        <v>12.32</v>
      </c>
      <c r="F364">
        <v>34.57</v>
      </c>
      <c r="G364">
        <v>11.18</v>
      </c>
      <c r="H364">
        <v>0</v>
      </c>
      <c r="K364">
        <v>61995</v>
      </c>
      <c r="L364" t="s">
        <v>7309</v>
      </c>
      <c r="M364">
        <v>0</v>
      </c>
    </row>
    <row r="365" spans="1:13" x14ac:dyDescent="0.25">
      <c r="A365" t="s">
        <v>7310</v>
      </c>
      <c r="B365">
        <v>61993</v>
      </c>
      <c r="C365">
        <v>5000289931366</v>
      </c>
      <c r="D365">
        <v>299.89999999999998</v>
      </c>
      <c r="E365">
        <v>220.34</v>
      </c>
      <c r="F365">
        <v>24.07</v>
      </c>
      <c r="G365">
        <v>199.96</v>
      </c>
      <c r="H365">
        <v>0</v>
      </c>
      <c r="K365">
        <v>61993</v>
      </c>
      <c r="L365" t="s">
        <v>7310</v>
      </c>
      <c r="M365">
        <v>0</v>
      </c>
    </row>
    <row r="366" spans="1:13" x14ac:dyDescent="0.25">
      <c r="A366" t="s">
        <v>7311</v>
      </c>
      <c r="B366">
        <v>60799</v>
      </c>
      <c r="C366">
        <v>8006063002649</v>
      </c>
      <c r="D366">
        <v>189.9</v>
      </c>
      <c r="E366">
        <v>145.16</v>
      </c>
      <c r="F366">
        <v>21.38</v>
      </c>
      <c r="G366">
        <v>131.72999999999999</v>
      </c>
      <c r="H366">
        <v>3.3000000000000002E-2</v>
      </c>
      <c r="K366">
        <v>60799</v>
      </c>
      <c r="L366" t="s">
        <v>7311</v>
      </c>
      <c r="M366">
        <v>3.3000000000000002E-2</v>
      </c>
    </row>
    <row r="367" spans="1:13" x14ac:dyDescent="0.25">
      <c r="A367" t="s">
        <v>7312</v>
      </c>
      <c r="B367">
        <v>62865</v>
      </c>
      <c r="C367">
        <v>7898904741104</v>
      </c>
      <c r="D367">
        <v>109.9</v>
      </c>
      <c r="E367">
        <v>75.56</v>
      </c>
      <c r="F367">
        <v>28.36</v>
      </c>
      <c r="G367">
        <v>68.569999999999993</v>
      </c>
      <c r="H367">
        <v>0</v>
      </c>
      <c r="K367">
        <v>62865</v>
      </c>
      <c r="L367" t="s">
        <v>7312</v>
      </c>
      <c r="M367">
        <v>0</v>
      </c>
    </row>
    <row r="368" spans="1:13" x14ac:dyDescent="0.25">
      <c r="A368" t="s">
        <v>7313</v>
      </c>
      <c r="B368">
        <v>65871</v>
      </c>
      <c r="C368">
        <v>7893220301391</v>
      </c>
      <c r="D368">
        <v>39.9</v>
      </c>
      <c r="E368">
        <v>32.479999999999997</v>
      </c>
      <c r="F368">
        <v>16.89</v>
      </c>
      <c r="G368">
        <v>29.471299999999999</v>
      </c>
      <c r="H368">
        <v>2.7669999999999999</v>
      </c>
      <c r="K368">
        <v>65871</v>
      </c>
      <c r="L368" t="s">
        <v>7313</v>
      </c>
      <c r="M368">
        <v>0.76700000000000002</v>
      </c>
    </row>
    <row r="369" spans="1:13" x14ac:dyDescent="0.25">
      <c r="A369" t="s">
        <v>7314</v>
      </c>
      <c r="B369">
        <v>49388</v>
      </c>
      <c r="C369">
        <v>8593401759995</v>
      </c>
      <c r="D369">
        <v>119.9</v>
      </c>
      <c r="E369">
        <v>67.989999999999995</v>
      </c>
      <c r="F369">
        <v>40.130000000000003</v>
      </c>
      <c r="G369">
        <v>60.6877</v>
      </c>
      <c r="H369">
        <v>6.7000000000000004E-2</v>
      </c>
      <c r="K369">
        <v>49388</v>
      </c>
      <c r="L369" t="s">
        <v>7314</v>
      </c>
      <c r="M369">
        <v>0.26700000000000002</v>
      </c>
    </row>
    <row r="370" spans="1:13" x14ac:dyDescent="0.25">
      <c r="A370" t="s">
        <v>7315</v>
      </c>
      <c r="B370">
        <v>66303</v>
      </c>
      <c r="C370">
        <v>8591651999215</v>
      </c>
      <c r="D370">
        <v>139.9</v>
      </c>
      <c r="E370">
        <v>81.97</v>
      </c>
      <c r="F370">
        <v>37.57</v>
      </c>
      <c r="G370">
        <v>74.392200000000003</v>
      </c>
      <c r="H370">
        <v>3.3000000000000002E-2</v>
      </c>
      <c r="K370">
        <v>66303</v>
      </c>
      <c r="L370" t="s">
        <v>7315</v>
      </c>
      <c r="M370">
        <v>0</v>
      </c>
    </row>
    <row r="371" spans="1:13" x14ac:dyDescent="0.25">
      <c r="A371" t="s">
        <v>7316</v>
      </c>
      <c r="B371">
        <v>67640</v>
      </c>
      <c r="C371">
        <v>7893220321061</v>
      </c>
      <c r="D371">
        <v>79.900000000000006</v>
      </c>
      <c r="E371">
        <v>51.97</v>
      </c>
      <c r="F371">
        <v>31.73</v>
      </c>
      <c r="G371">
        <v>47.158999999999999</v>
      </c>
      <c r="H371">
        <v>6.7000000000000004E-2</v>
      </c>
      <c r="K371">
        <v>67640</v>
      </c>
      <c r="L371" t="s">
        <v>7316</v>
      </c>
      <c r="M371">
        <v>0.1</v>
      </c>
    </row>
    <row r="372" spans="1:13" x14ac:dyDescent="0.25">
      <c r="A372" t="s">
        <v>7317</v>
      </c>
      <c r="B372">
        <v>54796</v>
      </c>
      <c r="C372">
        <v>7898255980443</v>
      </c>
      <c r="D372">
        <v>119.9</v>
      </c>
      <c r="E372">
        <v>77.040000000000006</v>
      </c>
      <c r="F372">
        <v>31.77</v>
      </c>
      <c r="G372">
        <v>70.7166</v>
      </c>
      <c r="H372">
        <v>6.7000000000000004E-2</v>
      </c>
      <c r="K372">
        <v>54796</v>
      </c>
      <c r="L372" t="s">
        <v>7317</v>
      </c>
      <c r="M372">
        <v>3.3000000000000002E-2</v>
      </c>
    </row>
    <row r="373" spans="1:13" x14ac:dyDescent="0.25">
      <c r="A373" t="s">
        <v>7318</v>
      </c>
      <c r="B373">
        <v>69135</v>
      </c>
      <c r="C373">
        <v>7898954956671</v>
      </c>
      <c r="D373">
        <v>39.9</v>
      </c>
      <c r="E373">
        <v>31.47</v>
      </c>
      <c r="F373">
        <v>19.170000000000002</v>
      </c>
      <c r="G373">
        <v>28.561599999999999</v>
      </c>
      <c r="H373">
        <v>0.23300000000000001</v>
      </c>
      <c r="K373">
        <v>69135</v>
      </c>
      <c r="L373" t="s">
        <v>7318</v>
      </c>
      <c r="M373">
        <v>0.224</v>
      </c>
    </row>
    <row r="374" spans="1:13" x14ac:dyDescent="0.25">
      <c r="A374" t="s">
        <v>7319</v>
      </c>
      <c r="B374">
        <v>31375</v>
      </c>
      <c r="C374">
        <v>7898255980320</v>
      </c>
      <c r="D374">
        <v>134.9</v>
      </c>
      <c r="E374">
        <v>98.38</v>
      </c>
      <c r="F374">
        <v>24.32</v>
      </c>
      <c r="G374">
        <v>89.620599999999996</v>
      </c>
      <c r="H374">
        <v>0.433</v>
      </c>
      <c r="K374">
        <v>31375</v>
      </c>
      <c r="L374" t="s">
        <v>7319</v>
      </c>
      <c r="M374">
        <v>0.2</v>
      </c>
    </row>
    <row r="375" spans="1:13" x14ac:dyDescent="0.25">
      <c r="A375" t="s">
        <v>7320</v>
      </c>
      <c r="B375">
        <v>66411</v>
      </c>
      <c r="C375">
        <v>7898154661993</v>
      </c>
      <c r="D375">
        <v>59.9</v>
      </c>
      <c r="E375">
        <v>43.36</v>
      </c>
      <c r="F375">
        <v>25.8</v>
      </c>
      <c r="G375">
        <v>38.907899999999998</v>
      </c>
      <c r="H375">
        <v>0.63300000000000001</v>
      </c>
      <c r="K375">
        <v>66411</v>
      </c>
      <c r="L375" t="s">
        <v>7320</v>
      </c>
      <c r="M375">
        <v>0.1</v>
      </c>
    </row>
    <row r="376" spans="1:13" x14ac:dyDescent="0.25">
      <c r="A376" t="s">
        <v>7321</v>
      </c>
      <c r="B376">
        <v>66409</v>
      </c>
      <c r="C376">
        <v>7898154661559</v>
      </c>
      <c r="D376">
        <v>89.9</v>
      </c>
      <c r="E376">
        <v>61.66</v>
      </c>
      <c r="F376">
        <v>28.55</v>
      </c>
      <c r="G376">
        <v>55.921500000000002</v>
      </c>
      <c r="H376">
        <v>0.26700000000000002</v>
      </c>
      <c r="K376">
        <v>66409</v>
      </c>
      <c r="L376" t="s">
        <v>7321</v>
      </c>
      <c r="M376">
        <v>6.7000000000000004E-2</v>
      </c>
    </row>
    <row r="377" spans="1:13" x14ac:dyDescent="0.25">
      <c r="A377" t="s">
        <v>7322</v>
      </c>
      <c r="B377">
        <v>32501</v>
      </c>
      <c r="C377">
        <v>7891083078016</v>
      </c>
      <c r="D377">
        <v>539.4</v>
      </c>
      <c r="E377">
        <v>286.66000000000003</v>
      </c>
      <c r="F377">
        <v>30.81</v>
      </c>
      <c r="G377">
        <v>188.482</v>
      </c>
      <c r="H377">
        <v>0</v>
      </c>
      <c r="K377">
        <v>32501</v>
      </c>
      <c r="L377" t="s">
        <v>7322</v>
      </c>
      <c r="M377">
        <v>0</v>
      </c>
    </row>
    <row r="378" spans="1:13" x14ac:dyDescent="0.25">
      <c r="A378" t="s">
        <v>7323</v>
      </c>
      <c r="B378">
        <v>20789</v>
      </c>
      <c r="C378">
        <v>7898116761471</v>
      </c>
      <c r="D378">
        <v>129.9</v>
      </c>
      <c r="E378">
        <v>80.95</v>
      </c>
      <c r="F378">
        <v>34.200000000000003</v>
      </c>
      <c r="G378">
        <v>73.462100000000007</v>
      </c>
      <c r="H378">
        <v>0</v>
      </c>
      <c r="K378">
        <v>20789</v>
      </c>
      <c r="L378" t="s">
        <v>7323</v>
      </c>
      <c r="M378">
        <v>0</v>
      </c>
    </row>
    <row r="379" spans="1:13" x14ac:dyDescent="0.25">
      <c r="A379" t="s">
        <v>7324</v>
      </c>
      <c r="B379">
        <v>67434</v>
      </c>
      <c r="C379">
        <v>7896452102194</v>
      </c>
      <c r="D379">
        <v>449.9</v>
      </c>
      <c r="E379">
        <v>318.33999999999997</v>
      </c>
      <c r="F379">
        <v>19.23</v>
      </c>
      <c r="G379">
        <v>209.30889999999999</v>
      </c>
      <c r="H379">
        <v>3.3000000000000002E-2</v>
      </c>
      <c r="K379">
        <v>67434</v>
      </c>
      <c r="L379" t="s">
        <v>7324</v>
      </c>
      <c r="M379">
        <v>3.3000000000000002E-2</v>
      </c>
    </row>
    <row r="380" spans="1:13" x14ac:dyDescent="0.25">
      <c r="A380" t="s">
        <v>7325</v>
      </c>
      <c r="B380">
        <v>67435</v>
      </c>
      <c r="C380">
        <v>7896452102200</v>
      </c>
      <c r="D380">
        <v>449.9</v>
      </c>
      <c r="E380">
        <v>309.33999999999997</v>
      </c>
      <c r="F380">
        <v>20.54</v>
      </c>
      <c r="G380">
        <v>203.38849999999999</v>
      </c>
      <c r="H380">
        <v>0</v>
      </c>
      <c r="K380">
        <v>67435</v>
      </c>
      <c r="L380" t="s">
        <v>7325</v>
      </c>
      <c r="M380">
        <v>0</v>
      </c>
    </row>
    <row r="381" spans="1:13" x14ac:dyDescent="0.25">
      <c r="A381" t="s">
        <v>7326</v>
      </c>
      <c r="B381">
        <v>67437</v>
      </c>
      <c r="C381">
        <v>7896452102217</v>
      </c>
      <c r="D381">
        <v>449.9</v>
      </c>
      <c r="E381">
        <v>310.01</v>
      </c>
      <c r="F381">
        <v>20.49</v>
      </c>
      <c r="G381">
        <v>203.6104</v>
      </c>
      <c r="H381">
        <v>3.3000000000000002E-2</v>
      </c>
      <c r="K381">
        <v>67437</v>
      </c>
      <c r="L381" t="s">
        <v>7326</v>
      </c>
      <c r="M381">
        <v>3.3000000000000002E-2</v>
      </c>
    </row>
    <row r="382" spans="1:13" x14ac:dyDescent="0.25">
      <c r="A382" t="s">
        <v>7327</v>
      </c>
      <c r="B382">
        <v>67433</v>
      </c>
      <c r="C382">
        <v>7896452102187</v>
      </c>
      <c r="D382">
        <v>449.9</v>
      </c>
      <c r="E382">
        <v>291.05</v>
      </c>
      <c r="F382">
        <v>23.21</v>
      </c>
      <c r="G382">
        <v>191.3657</v>
      </c>
      <c r="H382">
        <v>0</v>
      </c>
      <c r="K382">
        <v>67433</v>
      </c>
      <c r="L382" t="s">
        <v>7327</v>
      </c>
      <c r="M382">
        <v>0</v>
      </c>
    </row>
    <row r="383" spans="1:13" x14ac:dyDescent="0.25">
      <c r="A383" t="s">
        <v>7328</v>
      </c>
      <c r="B383">
        <v>33182</v>
      </c>
      <c r="C383">
        <v>8410036806248</v>
      </c>
      <c r="D383">
        <v>549.9</v>
      </c>
      <c r="E383">
        <v>314.66000000000003</v>
      </c>
      <c r="F383">
        <v>25.6</v>
      </c>
      <c r="G383">
        <v>220.8005</v>
      </c>
      <c r="H383">
        <v>3.3000000000000002E-2</v>
      </c>
      <c r="K383">
        <v>33182</v>
      </c>
      <c r="L383" t="s">
        <v>7328</v>
      </c>
      <c r="M383">
        <v>3.3000000000000002E-2</v>
      </c>
    </row>
    <row r="384" spans="1:13" x14ac:dyDescent="0.25">
      <c r="A384" t="s">
        <v>7329</v>
      </c>
      <c r="B384">
        <v>24871</v>
      </c>
      <c r="C384">
        <v>8410036806231</v>
      </c>
      <c r="D384">
        <v>549.9</v>
      </c>
      <c r="E384">
        <v>374.05</v>
      </c>
      <c r="F384">
        <v>21.03</v>
      </c>
      <c r="G384">
        <v>245.93879999999999</v>
      </c>
      <c r="H384">
        <v>0</v>
      </c>
      <c r="K384">
        <v>24871</v>
      </c>
      <c r="L384" t="s">
        <v>7329</v>
      </c>
      <c r="M384">
        <v>0</v>
      </c>
    </row>
    <row r="385" spans="1:13" x14ac:dyDescent="0.25">
      <c r="A385" t="s">
        <v>7330</v>
      </c>
      <c r="B385">
        <v>63058</v>
      </c>
      <c r="C385">
        <v>8410036808655</v>
      </c>
      <c r="D385">
        <v>779.9</v>
      </c>
      <c r="E385">
        <v>492.64</v>
      </c>
      <c r="F385">
        <v>24.78</v>
      </c>
      <c r="G385">
        <v>319.52999999999997</v>
      </c>
      <c r="H385">
        <v>0</v>
      </c>
      <c r="K385">
        <v>63058</v>
      </c>
      <c r="L385" t="s">
        <v>7330</v>
      </c>
      <c r="M385">
        <v>0</v>
      </c>
    </row>
    <row r="386" spans="1:13" x14ac:dyDescent="0.25">
      <c r="A386" t="s">
        <v>7331</v>
      </c>
      <c r="B386">
        <v>63059</v>
      </c>
      <c r="C386">
        <v>8410036808648</v>
      </c>
      <c r="D386">
        <v>779.9</v>
      </c>
      <c r="E386">
        <v>528.85</v>
      </c>
      <c r="F386">
        <v>22.25</v>
      </c>
      <c r="G386">
        <v>339.25310000000002</v>
      </c>
      <c r="H386">
        <v>0</v>
      </c>
      <c r="K386">
        <v>63059</v>
      </c>
      <c r="L386" t="s">
        <v>7331</v>
      </c>
      <c r="M386">
        <v>0</v>
      </c>
    </row>
    <row r="387" spans="1:13" x14ac:dyDescent="0.25">
      <c r="A387" t="s">
        <v>7332</v>
      </c>
      <c r="B387">
        <v>69504</v>
      </c>
      <c r="C387">
        <v>7898255980627</v>
      </c>
      <c r="D387">
        <v>219.9</v>
      </c>
      <c r="E387">
        <v>157.52000000000001</v>
      </c>
      <c r="F387">
        <v>25.74</v>
      </c>
      <c r="G387">
        <v>142.9478</v>
      </c>
      <c r="H387">
        <v>3.3000000000000002E-2</v>
      </c>
      <c r="K387">
        <v>69504</v>
      </c>
      <c r="L387" t="s">
        <v>7332</v>
      </c>
      <c r="M387">
        <v>3.3000000000000002E-2</v>
      </c>
    </row>
    <row r="388" spans="1:13" x14ac:dyDescent="0.25">
      <c r="A388" t="s">
        <v>7333</v>
      </c>
      <c r="B388">
        <v>69612</v>
      </c>
      <c r="C388">
        <v>7893218004044</v>
      </c>
      <c r="D388">
        <v>249.9</v>
      </c>
      <c r="E388">
        <v>172.75</v>
      </c>
      <c r="F388">
        <v>28.02</v>
      </c>
      <c r="G388">
        <v>156.7679</v>
      </c>
      <c r="H388">
        <v>0.13900000000000001</v>
      </c>
      <c r="K388">
        <v>69612</v>
      </c>
      <c r="L388" t="s">
        <v>7333</v>
      </c>
      <c r="M388">
        <v>0.13900000000000001</v>
      </c>
    </row>
    <row r="389" spans="1:13" x14ac:dyDescent="0.25">
      <c r="A389" t="s">
        <v>7334</v>
      </c>
      <c r="B389">
        <v>63485</v>
      </c>
      <c r="D389">
        <v>999.9</v>
      </c>
      <c r="E389">
        <v>747.22</v>
      </c>
      <c r="F389">
        <v>16.62</v>
      </c>
      <c r="G389">
        <v>491.3</v>
      </c>
      <c r="H389">
        <v>0</v>
      </c>
      <c r="K389">
        <v>63485</v>
      </c>
      <c r="L389" t="s">
        <v>7334</v>
      </c>
      <c r="M389">
        <v>0</v>
      </c>
    </row>
    <row r="390" spans="1:13" x14ac:dyDescent="0.25">
      <c r="A390" t="s">
        <v>7335</v>
      </c>
      <c r="B390">
        <v>67213</v>
      </c>
      <c r="C390">
        <v>15601377001915</v>
      </c>
      <c r="D390">
        <v>149.9</v>
      </c>
      <c r="E390">
        <v>197.53</v>
      </c>
      <c r="F390">
        <v>-20.89</v>
      </c>
      <c r="G390">
        <v>129.8741</v>
      </c>
      <c r="H390">
        <v>0.4</v>
      </c>
      <c r="K390">
        <v>67213</v>
      </c>
      <c r="L390" t="s">
        <v>7335</v>
      </c>
      <c r="M390">
        <v>0</v>
      </c>
    </row>
    <row r="391" spans="1:13" x14ac:dyDescent="0.25">
      <c r="A391" t="s">
        <v>7336</v>
      </c>
      <c r="B391">
        <v>65881</v>
      </c>
      <c r="C391">
        <v>5000267171470</v>
      </c>
      <c r="D391">
        <v>49.9</v>
      </c>
      <c r="E391">
        <v>117.14</v>
      </c>
      <c r="F391">
        <v>-122.29</v>
      </c>
      <c r="G391">
        <v>106.307</v>
      </c>
      <c r="H391">
        <v>0.93300000000000005</v>
      </c>
      <c r="K391">
        <v>65881</v>
      </c>
      <c r="L391" t="s">
        <v>7336</v>
      </c>
      <c r="M391">
        <v>0.93300000000000005</v>
      </c>
    </row>
    <row r="392" spans="1:13" x14ac:dyDescent="0.25">
      <c r="A392" t="s">
        <v>7337</v>
      </c>
      <c r="B392">
        <v>69746</v>
      </c>
      <c r="C392">
        <v>7898954956725</v>
      </c>
      <c r="D392">
        <v>54.9</v>
      </c>
      <c r="E392">
        <v>40.94</v>
      </c>
      <c r="F392">
        <v>23.08</v>
      </c>
      <c r="G392">
        <v>37.1492</v>
      </c>
      <c r="H392">
        <v>5.4829999999999997</v>
      </c>
      <c r="K392">
        <v>69746</v>
      </c>
      <c r="L392" t="s">
        <v>7337</v>
      </c>
      <c r="M392">
        <v>0.16700000000000001</v>
      </c>
    </row>
    <row r="393" spans="1:13" x14ac:dyDescent="0.25">
      <c r="A393" t="s">
        <v>7338</v>
      </c>
      <c r="B393">
        <v>29275</v>
      </c>
      <c r="C393">
        <v>78901612</v>
      </c>
      <c r="D393">
        <v>99.9</v>
      </c>
      <c r="E393">
        <v>66.55</v>
      </c>
      <c r="F393">
        <v>30.45</v>
      </c>
      <c r="G393">
        <v>60.239400000000003</v>
      </c>
      <c r="H393">
        <v>0.16700000000000001</v>
      </c>
      <c r="K393">
        <v>29275</v>
      </c>
      <c r="L393" t="s">
        <v>7338</v>
      </c>
      <c r="M393">
        <v>0.16700000000000001</v>
      </c>
    </row>
    <row r="394" spans="1:13" x14ac:dyDescent="0.25">
      <c r="A394" t="s">
        <v>7339</v>
      </c>
      <c r="B394">
        <v>65941</v>
      </c>
      <c r="C394">
        <v>6001108108685</v>
      </c>
      <c r="D394">
        <v>149.9</v>
      </c>
      <c r="E394">
        <v>112.68</v>
      </c>
      <c r="F394">
        <v>22.53</v>
      </c>
      <c r="G394">
        <v>102.26</v>
      </c>
      <c r="H394">
        <v>3.3000000000000002E-2</v>
      </c>
      <c r="K394">
        <v>65941</v>
      </c>
      <c r="L394" t="s">
        <v>7339</v>
      </c>
      <c r="M394">
        <v>3.3000000000000002E-2</v>
      </c>
    </row>
    <row r="395" spans="1:13" x14ac:dyDescent="0.25">
      <c r="A395" t="s">
        <v>7340</v>
      </c>
      <c r="B395">
        <v>65942</v>
      </c>
      <c r="C395">
        <v>6001108103956</v>
      </c>
      <c r="D395">
        <v>149.9</v>
      </c>
      <c r="E395">
        <v>112.68</v>
      </c>
      <c r="F395">
        <v>22.53</v>
      </c>
      <c r="G395">
        <v>102.259</v>
      </c>
      <c r="H395">
        <v>3.3000000000000002E-2</v>
      </c>
      <c r="K395">
        <v>65942</v>
      </c>
      <c r="L395" t="s">
        <v>7340</v>
      </c>
      <c r="M395">
        <v>3.3000000000000002E-2</v>
      </c>
    </row>
    <row r="396" spans="1:13" x14ac:dyDescent="0.25">
      <c r="A396" t="s">
        <v>7341</v>
      </c>
      <c r="B396">
        <v>12473</v>
      </c>
      <c r="C396">
        <v>7898235980975</v>
      </c>
      <c r="D396">
        <v>149.9</v>
      </c>
      <c r="E396">
        <v>84.71</v>
      </c>
      <c r="F396">
        <v>39.72</v>
      </c>
      <c r="G396">
        <v>76.496799999999993</v>
      </c>
      <c r="H396">
        <v>0.8</v>
      </c>
      <c r="K396">
        <v>12473</v>
      </c>
      <c r="L396" t="s">
        <v>7341</v>
      </c>
      <c r="M396">
        <v>0.76700000000000002</v>
      </c>
    </row>
    <row r="397" spans="1:13" x14ac:dyDescent="0.25">
      <c r="A397" t="s">
        <v>7342</v>
      </c>
      <c r="B397">
        <v>55576</v>
      </c>
      <c r="C397">
        <v>6001108093776</v>
      </c>
      <c r="D397">
        <v>149.9</v>
      </c>
      <c r="E397">
        <v>112.68</v>
      </c>
      <c r="F397">
        <v>22.53</v>
      </c>
      <c r="G397">
        <v>102.2594</v>
      </c>
      <c r="H397">
        <v>6.7000000000000004E-2</v>
      </c>
      <c r="K397">
        <v>55576</v>
      </c>
      <c r="L397" t="s">
        <v>7342</v>
      </c>
      <c r="M397">
        <v>6.7000000000000004E-2</v>
      </c>
    </row>
    <row r="398" spans="1:13" x14ac:dyDescent="0.25">
      <c r="A398" t="s">
        <v>7343</v>
      </c>
      <c r="B398">
        <v>13989</v>
      </c>
      <c r="C398">
        <v>5601358490014</v>
      </c>
      <c r="D398">
        <v>199.9</v>
      </c>
      <c r="E398">
        <v>149.58000000000001</v>
      </c>
      <c r="F398">
        <v>22.84</v>
      </c>
      <c r="G398">
        <v>135.74260000000001</v>
      </c>
      <c r="H398">
        <v>0</v>
      </c>
      <c r="K398">
        <v>13989</v>
      </c>
      <c r="L398" t="s">
        <v>7343</v>
      </c>
      <c r="M398">
        <v>0</v>
      </c>
    </row>
    <row r="399" spans="1:13" x14ac:dyDescent="0.25">
      <c r="A399" t="s">
        <v>7344</v>
      </c>
      <c r="B399">
        <v>23564</v>
      </c>
      <c r="C399">
        <v>5011013100132</v>
      </c>
      <c r="D399">
        <v>169.9</v>
      </c>
      <c r="E399">
        <v>123.63</v>
      </c>
      <c r="F399">
        <v>23.87</v>
      </c>
      <c r="G399">
        <v>113.6232</v>
      </c>
      <c r="H399">
        <v>0.36699999999999999</v>
      </c>
      <c r="K399">
        <v>23564</v>
      </c>
      <c r="L399" t="s">
        <v>7344</v>
      </c>
      <c r="M399">
        <v>0.23300000000000001</v>
      </c>
    </row>
    <row r="400" spans="1:13" x14ac:dyDescent="0.25">
      <c r="A400" t="s">
        <v>7345</v>
      </c>
      <c r="B400">
        <v>49223</v>
      </c>
      <c r="C400">
        <v>7898013030397</v>
      </c>
      <c r="D400">
        <v>84.9</v>
      </c>
      <c r="E400">
        <v>62.28</v>
      </c>
      <c r="F400">
        <v>24.18</v>
      </c>
      <c r="G400">
        <v>56.515700000000002</v>
      </c>
      <c r="H400">
        <v>0</v>
      </c>
      <c r="K400">
        <v>49223</v>
      </c>
      <c r="L400" t="s">
        <v>7345</v>
      </c>
      <c r="M400">
        <v>0</v>
      </c>
    </row>
    <row r="401" spans="1:13" x14ac:dyDescent="0.25">
      <c r="A401" t="s">
        <v>7346</v>
      </c>
      <c r="B401">
        <v>60833</v>
      </c>
      <c r="C401">
        <v>7898904741319</v>
      </c>
      <c r="D401">
        <v>99.9</v>
      </c>
      <c r="E401">
        <v>79.540000000000006</v>
      </c>
      <c r="F401">
        <v>18.489999999999998</v>
      </c>
      <c r="G401">
        <v>72.184299999999993</v>
      </c>
      <c r="H401">
        <v>3.3000000000000002E-2</v>
      </c>
      <c r="K401">
        <v>60833</v>
      </c>
      <c r="L401" t="s">
        <v>7346</v>
      </c>
      <c r="M401">
        <v>3.3000000000000002E-2</v>
      </c>
    </row>
    <row r="402" spans="1:13" x14ac:dyDescent="0.25">
      <c r="A402" t="s">
        <v>7347</v>
      </c>
      <c r="B402">
        <v>46457</v>
      </c>
      <c r="C402">
        <v>88004146689</v>
      </c>
      <c r="D402">
        <v>119.9</v>
      </c>
      <c r="E402">
        <v>50.31</v>
      </c>
      <c r="F402">
        <v>52.67</v>
      </c>
      <c r="G402">
        <v>45.66</v>
      </c>
      <c r="H402">
        <v>0</v>
      </c>
      <c r="K402">
        <v>46457</v>
      </c>
      <c r="L402" t="s">
        <v>7347</v>
      </c>
      <c r="M402">
        <v>0</v>
      </c>
    </row>
    <row r="403" spans="1:13" x14ac:dyDescent="0.25">
      <c r="A403" t="s">
        <v>7348</v>
      </c>
      <c r="B403">
        <v>56698</v>
      </c>
      <c r="C403">
        <v>8008513015506</v>
      </c>
      <c r="D403">
        <v>159.9</v>
      </c>
      <c r="E403">
        <v>98.13</v>
      </c>
      <c r="F403">
        <v>30.64</v>
      </c>
      <c r="G403">
        <v>96.123800000000003</v>
      </c>
      <c r="H403">
        <v>0.4</v>
      </c>
      <c r="K403">
        <v>56698</v>
      </c>
      <c r="L403" t="s">
        <v>7348</v>
      </c>
      <c r="M403">
        <v>0.36699999999999999</v>
      </c>
    </row>
    <row r="404" spans="1:13" x14ac:dyDescent="0.25">
      <c r="A404" t="s">
        <v>7349</v>
      </c>
      <c r="B404">
        <v>21184</v>
      </c>
      <c r="C404">
        <v>7898235980852</v>
      </c>
      <c r="D404">
        <v>149.9</v>
      </c>
      <c r="E404">
        <v>97.34</v>
      </c>
      <c r="F404">
        <v>32.08</v>
      </c>
      <c r="G404">
        <v>87.953100000000006</v>
      </c>
      <c r="H404">
        <v>0.33300000000000002</v>
      </c>
      <c r="K404">
        <v>21184</v>
      </c>
      <c r="L404" t="s">
        <v>7349</v>
      </c>
      <c r="M404">
        <v>0.3</v>
      </c>
    </row>
    <row r="405" spans="1:13" x14ac:dyDescent="0.25">
      <c r="A405" t="s">
        <v>7350</v>
      </c>
      <c r="B405">
        <v>69434</v>
      </c>
      <c r="C405">
        <v>8410221903035</v>
      </c>
      <c r="D405">
        <v>239.9</v>
      </c>
      <c r="E405">
        <v>137.6</v>
      </c>
      <c r="F405">
        <v>38.700000000000003</v>
      </c>
      <c r="G405">
        <v>124.8715</v>
      </c>
      <c r="H405">
        <v>9.6000000000000002E-2</v>
      </c>
      <c r="K405">
        <v>69434</v>
      </c>
      <c r="L405" t="s">
        <v>7350</v>
      </c>
      <c r="M405">
        <v>6.3E-2</v>
      </c>
    </row>
    <row r="406" spans="1:13" x14ac:dyDescent="0.25">
      <c r="A406" t="s">
        <v>7351</v>
      </c>
      <c r="B406">
        <v>65301</v>
      </c>
      <c r="C406">
        <v>8410221902069</v>
      </c>
      <c r="D406">
        <v>239.9</v>
      </c>
      <c r="E406">
        <v>173.32</v>
      </c>
      <c r="F406">
        <v>25.21</v>
      </c>
      <c r="G406">
        <v>157.23990000000001</v>
      </c>
      <c r="H406">
        <v>0</v>
      </c>
      <c r="K406">
        <v>65301</v>
      </c>
      <c r="L406" t="s">
        <v>7351</v>
      </c>
      <c r="M406">
        <v>0</v>
      </c>
    </row>
    <row r="407" spans="1:13" x14ac:dyDescent="0.25">
      <c r="A407" t="s">
        <v>7352</v>
      </c>
      <c r="B407">
        <v>65303</v>
      </c>
      <c r="C407">
        <v>8410221902915</v>
      </c>
      <c r="D407">
        <v>239.9</v>
      </c>
      <c r="E407">
        <v>152.96</v>
      </c>
      <c r="F407">
        <v>37.869999999999997</v>
      </c>
      <c r="G407">
        <v>126.8629</v>
      </c>
      <c r="H407">
        <v>0.13300000000000001</v>
      </c>
      <c r="K407">
        <v>65303</v>
      </c>
      <c r="L407" t="s">
        <v>7352</v>
      </c>
      <c r="M407">
        <v>0.13300000000000001</v>
      </c>
    </row>
    <row r="408" spans="1:13" x14ac:dyDescent="0.25">
      <c r="A408" t="s">
        <v>7353</v>
      </c>
      <c r="B408">
        <v>65302</v>
      </c>
      <c r="C408">
        <v>8410221801416</v>
      </c>
      <c r="D408">
        <v>239.9</v>
      </c>
      <c r="E408">
        <v>168.31</v>
      </c>
      <c r="F408">
        <v>26.95</v>
      </c>
      <c r="G408">
        <v>153.0676</v>
      </c>
      <c r="H408">
        <v>0</v>
      </c>
      <c r="K408">
        <v>65302</v>
      </c>
      <c r="L408" t="s">
        <v>7353</v>
      </c>
      <c r="M408">
        <v>0</v>
      </c>
    </row>
    <row r="409" spans="1:13" x14ac:dyDescent="0.25">
      <c r="A409" t="s">
        <v>7354</v>
      </c>
      <c r="B409">
        <v>37224</v>
      </c>
      <c r="C409">
        <v>5010391100918</v>
      </c>
      <c r="D409">
        <v>179.9</v>
      </c>
      <c r="E409">
        <v>137.33000000000001</v>
      </c>
      <c r="F409">
        <v>21.47</v>
      </c>
      <c r="G409">
        <v>124.6292</v>
      </c>
      <c r="H409">
        <v>0.13300000000000001</v>
      </c>
      <c r="K409">
        <v>37224</v>
      </c>
      <c r="L409" t="s">
        <v>7354</v>
      </c>
      <c r="M409">
        <v>0.1</v>
      </c>
    </row>
    <row r="410" spans="1:13" x14ac:dyDescent="0.25">
      <c r="A410" t="s">
        <v>7355</v>
      </c>
      <c r="B410">
        <v>24163</v>
      </c>
      <c r="C410">
        <v>8410221902083</v>
      </c>
      <c r="D410">
        <v>179.9</v>
      </c>
      <c r="E410">
        <v>114.15</v>
      </c>
      <c r="F410">
        <v>32.340000000000003</v>
      </c>
      <c r="G410">
        <v>105.0779</v>
      </c>
      <c r="H410">
        <v>1.4670000000000001</v>
      </c>
      <c r="K410">
        <v>24163</v>
      </c>
      <c r="L410" t="s">
        <v>7355</v>
      </c>
      <c r="M410">
        <v>0.433</v>
      </c>
    </row>
    <row r="411" spans="1:13" x14ac:dyDescent="0.25">
      <c r="A411" t="s">
        <v>7356</v>
      </c>
      <c r="B411">
        <v>20637</v>
      </c>
      <c r="C411">
        <v>8004160660304</v>
      </c>
      <c r="D411">
        <v>199.9</v>
      </c>
      <c r="E411">
        <v>108.3</v>
      </c>
      <c r="F411">
        <v>43.06</v>
      </c>
      <c r="G411">
        <v>95.323899999999995</v>
      </c>
      <c r="H411">
        <v>0</v>
      </c>
      <c r="K411">
        <v>20637</v>
      </c>
      <c r="L411" t="s">
        <v>7356</v>
      </c>
      <c r="M411">
        <v>0</v>
      </c>
    </row>
    <row r="412" spans="1:13" x14ac:dyDescent="0.25">
      <c r="A412" t="s">
        <v>7357</v>
      </c>
      <c r="B412">
        <v>46696</v>
      </c>
      <c r="C412">
        <v>7898235981194</v>
      </c>
      <c r="D412">
        <v>139.9</v>
      </c>
      <c r="E412">
        <v>93.94</v>
      </c>
      <c r="F412">
        <v>29.92</v>
      </c>
      <c r="G412">
        <v>85.104900000000001</v>
      </c>
      <c r="H412">
        <v>0.23300000000000001</v>
      </c>
      <c r="K412">
        <v>46696</v>
      </c>
      <c r="L412" t="s">
        <v>7357</v>
      </c>
      <c r="M412">
        <v>0.2</v>
      </c>
    </row>
    <row r="413" spans="1:13" x14ac:dyDescent="0.25">
      <c r="A413" t="s">
        <v>7358</v>
      </c>
      <c r="B413">
        <v>66415</v>
      </c>
      <c r="C413">
        <v>7898154660279</v>
      </c>
      <c r="D413">
        <v>59.9</v>
      </c>
      <c r="E413">
        <v>39.65</v>
      </c>
      <c r="F413">
        <v>30.68</v>
      </c>
      <c r="G413">
        <v>35.979999999999997</v>
      </c>
      <c r="H413">
        <v>0</v>
      </c>
      <c r="K413">
        <v>66415</v>
      </c>
      <c r="L413" t="s">
        <v>7358</v>
      </c>
      <c r="M413">
        <v>0</v>
      </c>
    </row>
    <row r="414" spans="1:13" x14ac:dyDescent="0.25">
      <c r="A414" t="s">
        <v>7359</v>
      </c>
      <c r="B414">
        <v>60834</v>
      </c>
      <c r="C414">
        <v>7898904741685</v>
      </c>
      <c r="D414">
        <v>119.9</v>
      </c>
      <c r="E414">
        <v>81.42</v>
      </c>
      <c r="F414">
        <v>27.54</v>
      </c>
      <c r="G414">
        <v>75.788300000000007</v>
      </c>
      <c r="H414">
        <v>0</v>
      </c>
      <c r="K414">
        <v>60834</v>
      </c>
      <c r="L414" t="s">
        <v>7359</v>
      </c>
      <c r="M414">
        <v>0</v>
      </c>
    </row>
    <row r="415" spans="1:13" x14ac:dyDescent="0.25">
      <c r="A415" t="s">
        <v>7360</v>
      </c>
      <c r="B415">
        <v>60666</v>
      </c>
      <c r="C415">
        <v>7891050003652</v>
      </c>
      <c r="D415">
        <v>69.900000000000006</v>
      </c>
      <c r="E415">
        <v>47.72</v>
      </c>
      <c r="F415">
        <v>29.08</v>
      </c>
      <c r="G415">
        <v>43.104300000000002</v>
      </c>
      <c r="H415">
        <v>3.3000000000000002E-2</v>
      </c>
      <c r="K415">
        <v>60666</v>
      </c>
      <c r="L415" t="s">
        <v>7360</v>
      </c>
      <c r="M415">
        <v>3.3000000000000002E-2</v>
      </c>
    </row>
    <row r="416" spans="1:13" x14ac:dyDescent="0.25">
      <c r="A416" t="s">
        <v>7361</v>
      </c>
      <c r="B416">
        <v>69471</v>
      </c>
      <c r="C416">
        <v>7896019300513</v>
      </c>
      <c r="D416">
        <v>69.900000000000006</v>
      </c>
      <c r="E416">
        <v>43.34</v>
      </c>
      <c r="F416">
        <v>34.49</v>
      </c>
      <c r="G416">
        <v>39.328200000000002</v>
      </c>
      <c r="H416">
        <v>0.28599999999999998</v>
      </c>
      <c r="K416">
        <v>69471</v>
      </c>
      <c r="L416" t="s">
        <v>7361</v>
      </c>
      <c r="M416">
        <v>0</v>
      </c>
    </row>
    <row r="417" spans="1:13" x14ac:dyDescent="0.25">
      <c r="A417" t="s">
        <v>7362</v>
      </c>
      <c r="B417">
        <v>20626</v>
      </c>
      <c r="C417">
        <v>7891121201000</v>
      </c>
      <c r="D417">
        <v>59.9</v>
      </c>
      <c r="E417">
        <v>38.53</v>
      </c>
      <c r="F417">
        <v>32.369999999999997</v>
      </c>
      <c r="G417">
        <v>34.968699999999998</v>
      </c>
      <c r="H417">
        <v>0.16700000000000001</v>
      </c>
      <c r="K417">
        <v>20626</v>
      </c>
      <c r="L417" t="s">
        <v>7362</v>
      </c>
      <c r="M417">
        <v>0.16700000000000001</v>
      </c>
    </row>
    <row r="418" spans="1:13" x14ac:dyDescent="0.25">
      <c r="A418" t="s">
        <v>7363</v>
      </c>
      <c r="B418">
        <v>20628</v>
      </c>
      <c r="C418">
        <v>7891121203004</v>
      </c>
      <c r="D418">
        <v>59.9</v>
      </c>
      <c r="E418">
        <v>38.53</v>
      </c>
      <c r="F418">
        <v>32.369999999999997</v>
      </c>
      <c r="G418">
        <v>34.969900000000003</v>
      </c>
      <c r="H418">
        <v>0.1</v>
      </c>
      <c r="K418">
        <v>20628</v>
      </c>
      <c r="L418" t="s">
        <v>7363</v>
      </c>
      <c r="M418">
        <v>0.1</v>
      </c>
    </row>
    <row r="419" spans="1:13" x14ac:dyDescent="0.25">
      <c r="A419" t="s">
        <v>7364</v>
      </c>
      <c r="B419">
        <v>20630</v>
      </c>
      <c r="C419">
        <v>7891121205008</v>
      </c>
      <c r="D419">
        <v>59.9</v>
      </c>
      <c r="E419">
        <v>40.549999999999997</v>
      </c>
      <c r="F419">
        <v>29.31</v>
      </c>
      <c r="G419">
        <v>36.8018</v>
      </c>
      <c r="H419">
        <v>0.1</v>
      </c>
      <c r="K419">
        <v>20630</v>
      </c>
      <c r="L419" t="s">
        <v>7364</v>
      </c>
      <c r="M419">
        <v>0.1</v>
      </c>
    </row>
    <row r="420" spans="1:13" x14ac:dyDescent="0.25">
      <c r="A420" t="s">
        <v>7365</v>
      </c>
      <c r="B420">
        <v>20631</v>
      </c>
      <c r="C420">
        <v>7891121212006</v>
      </c>
      <c r="D420">
        <v>59.9</v>
      </c>
      <c r="E420">
        <v>38.78</v>
      </c>
      <c r="F420">
        <v>32.1</v>
      </c>
      <c r="G420">
        <v>35.1295</v>
      </c>
      <c r="H420">
        <v>0.2</v>
      </c>
      <c r="K420">
        <v>20631</v>
      </c>
      <c r="L420" t="s">
        <v>7365</v>
      </c>
      <c r="M420">
        <v>0.2</v>
      </c>
    </row>
    <row r="421" spans="1:13" x14ac:dyDescent="0.25">
      <c r="A421" t="s">
        <v>7366</v>
      </c>
      <c r="B421">
        <v>20633</v>
      </c>
      <c r="C421">
        <v>7891121206005</v>
      </c>
      <c r="D421">
        <v>59.9</v>
      </c>
      <c r="E421">
        <v>38.869999999999997</v>
      </c>
      <c r="F421">
        <v>31.81</v>
      </c>
      <c r="G421">
        <v>35.305900000000001</v>
      </c>
      <c r="H421">
        <v>6.7000000000000004E-2</v>
      </c>
      <c r="K421">
        <v>20633</v>
      </c>
      <c r="L421" t="s">
        <v>7366</v>
      </c>
      <c r="M421">
        <v>6.7000000000000004E-2</v>
      </c>
    </row>
    <row r="422" spans="1:13" x14ac:dyDescent="0.25">
      <c r="A422" t="s">
        <v>7367</v>
      </c>
      <c r="B422">
        <v>20634</v>
      </c>
      <c r="C422">
        <v>7891121213003</v>
      </c>
      <c r="D422">
        <v>59.9</v>
      </c>
      <c r="E422">
        <v>39.229999999999997</v>
      </c>
      <c r="F422">
        <v>31.36</v>
      </c>
      <c r="G422">
        <v>35.577100000000002</v>
      </c>
      <c r="H422">
        <v>0</v>
      </c>
      <c r="K422">
        <v>20634</v>
      </c>
      <c r="L422" t="s">
        <v>7367</v>
      </c>
      <c r="M422">
        <v>0</v>
      </c>
    </row>
    <row r="423" spans="1:13" x14ac:dyDescent="0.25">
      <c r="A423" t="s">
        <v>7368</v>
      </c>
      <c r="B423">
        <v>29274</v>
      </c>
      <c r="C423">
        <v>7891121283006</v>
      </c>
      <c r="D423">
        <v>74.900000000000006</v>
      </c>
      <c r="E423">
        <v>52.36</v>
      </c>
      <c r="F423">
        <v>27.31</v>
      </c>
      <c r="G423">
        <v>47.52</v>
      </c>
      <c r="H423">
        <v>6.7000000000000004E-2</v>
      </c>
      <c r="K423">
        <v>29274</v>
      </c>
      <c r="L423" t="s">
        <v>7368</v>
      </c>
      <c r="M423">
        <v>6.7000000000000004E-2</v>
      </c>
    </row>
    <row r="424" spans="1:13" x14ac:dyDescent="0.25">
      <c r="A424" t="s">
        <v>7369</v>
      </c>
      <c r="B424">
        <v>29269</v>
      </c>
      <c r="C424">
        <v>7891121208009</v>
      </c>
      <c r="D424">
        <v>59.9</v>
      </c>
      <c r="E424">
        <v>39.92</v>
      </c>
      <c r="F424">
        <v>29.03</v>
      </c>
      <c r="G424">
        <v>36.9724</v>
      </c>
      <c r="H424">
        <v>3.3000000000000002E-2</v>
      </c>
      <c r="K424">
        <v>29269</v>
      </c>
      <c r="L424" t="s">
        <v>7369</v>
      </c>
      <c r="M424">
        <v>3.3000000000000002E-2</v>
      </c>
    </row>
    <row r="425" spans="1:13" x14ac:dyDescent="0.25">
      <c r="A425" t="s">
        <v>7370</v>
      </c>
      <c r="B425">
        <v>29279</v>
      </c>
      <c r="C425">
        <v>7891121209006</v>
      </c>
      <c r="D425">
        <v>59.9</v>
      </c>
      <c r="E425">
        <v>38.51</v>
      </c>
      <c r="F425">
        <v>32.39</v>
      </c>
      <c r="G425">
        <v>34.958599999999997</v>
      </c>
      <c r="H425">
        <v>3.3000000000000002E-2</v>
      </c>
      <c r="K425">
        <v>29279</v>
      </c>
      <c r="L425" t="s">
        <v>7370</v>
      </c>
      <c r="M425">
        <v>3.3000000000000002E-2</v>
      </c>
    </row>
    <row r="426" spans="1:13" x14ac:dyDescent="0.25">
      <c r="A426" t="s">
        <v>7371</v>
      </c>
      <c r="B426">
        <v>13289</v>
      </c>
      <c r="C426">
        <v>7891121219005</v>
      </c>
      <c r="D426">
        <v>59.9</v>
      </c>
      <c r="E426">
        <v>38.549999999999997</v>
      </c>
      <c r="F426">
        <v>32.35</v>
      </c>
      <c r="G426">
        <v>34.9833</v>
      </c>
      <c r="H426">
        <v>0.33300000000000002</v>
      </c>
      <c r="K426">
        <v>13289</v>
      </c>
      <c r="L426" t="s">
        <v>7371</v>
      </c>
      <c r="M426">
        <v>0.3</v>
      </c>
    </row>
    <row r="427" spans="1:13" x14ac:dyDescent="0.25">
      <c r="A427" t="s">
        <v>7372</v>
      </c>
      <c r="B427">
        <v>31647</v>
      </c>
      <c r="C427">
        <v>7891121876000</v>
      </c>
      <c r="D427">
        <v>59.9</v>
      </c>
      <c r="E427">
        <v>41.43</v>
      </c>
      <c r="F427">
        <v>27.98</v>
      </c>
      <c r="G427">
        <v>37.596699999999998</v>
      </c>
      <c r="H427">
        <v>0</v>
      </c>
      <c r="K427">
        <v>31647</v>
      </c>
      <c r="L427" t="s">
        <v>7372</v>
      </c>
      <c r="M427">
        <v>0</v>
      </c>
    </row>
    <row r="428" spans="1:13" x14ac:dyDescent="0.25">
      <c r="A428" t="s">
        <v>7373</v>
      </c>
      <c r="B428">
        <v>61532</v>
      </c>
      <c r="C428">
        <v>7895258007467</v>
      </c>
      <c r="D428">
        <v>119.9</v>
      </c>
      <c r="E428">
        <v>0</v>
      </c>
      <c r="F428">
        <v>72.75</v>
      </c>
      <c r="G428">
        <v>0</v>
      </c>
      <c r="H428">
        <v>0</v>
      </c>
      <c r="K428">
        <v>61532</v>
      </c>
      <c r="L428" t="s">
        <v>7373</v>
      </c>
      <c r="M428">
        <v>0</v>
      </c>
    </row>
    <row r="429" spans="1:13" x14ac:dyDescent="0.25">
      <c r="A429" t="s">
        <v>7374</v>
      </c>
      <c r="B429">
        <v>61709</v>
      </c>
      <c r="C429">
        <v>7898994192442</v>
      </c>
      <c r="D429">
        <v>10.9</v>
      </c>
      <c r="E429">
        <v>7.28</v>
      </c>
      <c r="F429">
        <v>24.39</v>
      </c>
      <c r="G429">
        <v>5.2708000000000004</v>
      </c>
      <c r="H429">
        <v>1.5329999999999999</v>
      </c>
      <c r="K429">
        <v>61709</v>
      </c>
      <c r="L429" t="s">
        <v>7374</v>
      </c>
      <c r="M429">
        <v>1.4670000000000001</v>
      </c>
    </row>
    <row r="430" spans="1:13" x14ac:dyDescent="0.25">
      <c r="A430" t="s">
        <v>7375</v>
      </c>
      <c r="B430">
        <v>61710</v>
      </c>
      <c r="C430">
        <v>7898994192428</v>
      </c>
      <c r="D430">
        <v>10.9</v>
      </c>
      <c r="E430">
        <v>7.34</v>
      </c>
      <c r="F430">
        <v>22.58</v>
      </c>
      <c r="G430">
        <v>5.4690000000000003</v>
      </c>
      <c r="H430">
        <v>3.6669999999999998</v>
      </c>
      <c r="K430">
        <v>61710</v>
      </c>
      <c r="L430" t="s">
        <v>7375</v>
      </c>
      <c r="M430">
        <v>3</v>
      </c>
    </row>
    <row r="431" spans="1:13" x14ac:dyDescent="0.25">
      <c r="A431" t="s">
        <v>7376</v>
      </c>
      <c r="B431">
        <v>64486</v>
      </c>
      <c r="C431">
        <v>7898951400986</v>
      </c>
      <c r="D431">
        <v>10.9</v>
      </c>
      <c r="E431">
        <v>7.19</v>
      </c>
      <c r="F431">
        <v>24.64</v>
      </c>
      <c r="G431">
        <v>5.2443</v>
      </c>
      <c r="H431">
        <v>0.7</v>
      </c>
      <c r="K431">
        <v>64486</v>
      </c>
      <c r="L431" t="s">
        <v>7376</v>
      </c>
      <c r="M431">
        <v>0.73299999999999998</v>
      </c>
    </row>
    <row r="432" spans="1:13" x14ac:dyDescent="0.25">
      <c r="A432" t="s">
        <v>7377</v>
      </c>
      <c r="B432">
        <v>58894</v>
      </c>
      <c r="C432">
        <v>7898994192411</v>
      </c>
      <c r="D432">
        <v>10.9</v>
      </c>
      <c r="E432">
        <v>7.14</v>
      </c>
      <c r="F432">
        <v>24.99</v>
      </c>
      <c r="G432">
        <v>5.2058</v>
      </c>
      <c r="H432">
        <v>0.63300000000000001</v>
      </c>
      <c r="K432">
        <v>58894</v>
      </c>
      <c r="L432" t="s">
        <v>7377</v>
      </c>
      <c r="M432">
        <v>0.6</v>
      </c>
    </row>
    <row r="433" spans="1:13" x14ac:dyDescent="0.25">
      <c r="A433" t="s">
        <v>7378</v>
      </c>
      <c r="B433">
        <v>58893</v>
      </c>
      <c r="C433">
        <v>7898951400344</v>
      </c>
      <c r="D433">
        <v>10.9</v>
      </c>
      <c r="E433">
        <v>7.23</v>
      </c>
      <c r="F433">
        <v>24.05</v>
      </c>
      <c r="G433">
        <v>5.3079999999999998</v>
      </c>
      <c r="H433">
        <v>1.9</v>
      </c>
      <c r="K433">
        <v>58893</v>
      </c>
      <c r="L433" t="s">
        <v>7378</v>
      </c>
      <c r="M433">
        <v>1.5329999999999999</v>
      </c>
    </row>
    <row r="434" spans="1:13" x14ac:dyDescent="0.25">
      <c r="A434" t="s">
        <v>7379</v>
      </c>
      <c r="B434">
        <v>61711</v>
      </c>
      <c r="C434">
        <v>7898951400337</v>
      </c>
      <c r="D434">
        <v>10.9</v>
      </c>
      <c r="E434">
        <v>6.86</v>
      </c>
      <c r="F434">
        <v>27.03</v>
      </c>
      <c r="G434">
        <v>4.9836999999999998</v>
      </c>
      <c r="H434">
        <v>0.5</v>
      </c>
      <c r="K434">
        <v>61711</v>
      </c>
      <c r="L434" t="s">
        <v>7379</v>
      </c>
      <c r="M434">
        <v>0.5</v>
      </c>
    </row>
    <row r="435" spans="1:13" x14ac:dyDescent="0.25">
      <c r="A435" t="s">
        <v>7380</v>
      </c>
      <c r="B435">
        <v>58895</v>
      </c>
      <c r="C435">
        <v>7898951400191</v>
      </c>
      <c r="D435">
        <v>34.9</v>
      </c>
      <c r="E435">
        <v>18.11</v>
      </c>
      <c r="F435">
        <v>34.99</v>
      </c>
      <c r="G435">
        <v>13.1768</v>
      </c>
      <c r="H435">
        <v>0.46700000000000003</v>
      </c>
      <c r="K435">
        <v>58895</v>
      </c>
      <c r="L435" t="s">
        <v>7380</v>
      </c>
      <c r="M435">
        <v>0.433</v>
      </c>
    </row>
    <row r="436" spans="1:13" x14ac:dyDescent="0.25">
      <c r="A436" t="s">
        <v>7381</v>
      </c>
      <c r="B436">
        <v>66540</v>
      </c>
      <c r="C436">
        <v>7908692700204</v>
      </c>
      <c r="D436">
        <v>29.9</v>
      </c>
      <c r="E436">
        <v>18.11</v>
      </c>
      <c r="F436">
        <v>28.68</v>
      </c>
      <c r="G436">
        <v>13.1767</v>
      </c>
      <c r="H436">
        <v>0</v>
      </c>
      <c r="K436">
        <v>66540</v>
      </c>
      <c r="L436" t="s">
        <v>7381</v>
      </c>
      <c r="M436">
        <v>0</v>
      </c>
    </row>
    <row r="437" spans="1:13" x14ac:dyDescent="0.25">
      <c r="A437" t="s">
        <v>7382</v>
      </c>
      <c r="B437">
        <v>64457</v>
      </c>
      <c r="C437">
        <v>7898951400320</v>
      </c>
      <c r="D437">
        <v>34.9</v>
      </c>
      <c r="E437">
        <v>20.53</v>
      </c>
      <c r="F437">
        <v>29.96</v>
      </c>
      <c r="G437">
        <v>14.9335</v>
      </c>
      <c r="H437">
        <v>0.16700000000000001</v>
      </c>
      <c r="K437">
        <v>64457</v>
      </c>
      <c r="L437" t="s">
        <v>7382</v>
      </c>
      <c r="M437">
        <v>0</v>
      </c>
    </row>
    <row r="438" spans="1:13" x14ac:dyDescent="0.25">
      <c r="A438" t="s">
        <v>7383</v>
      </c>
      <c r="B438">
        <v>63630</v>
      </c>
      <c r="C438">
        <v>7898951400283</v>
      </c>
      <c r="D438">
        <v>32.9</v>
      </c>
      <c r="E438">
        <v>18.100000000000001</v>
      </c>
      <c r="F438">
        <v>32.74</v>
      </c>
      <c r="G438">
        <v>13.162800000000001</v>
      </c>
      <c r="H438">
        <v>0.83299999999999996</v>
      </c>
      <c r="K438">
        <v>63630</v>
      </c>
      <c r="L438" t="s">
        <v>7383</v>
      </c>
      <c r="M438">
        <v>3.3000000000000002E-2</v>
      </c>
    </row>
    <row r="439" spans="1:13" x14ac:dyDescent="0.25">
      <c r="A439" t="s">
        <v>7384</v>
      </c>
      <c r="B439">
        <v>63632</v>
      </c>
      <c r="C439">
        <v>7898951400351</v>
      </c>
      <c r="D439">
        <v>32.9</v>
      </c>
      <c r="E439">
        <v>18.11</v>
      </c>
      <c r="F439">
        <v>32.700000000000003</v>
      </c>
      <c r="G439">
        <v>13.1761</v>
      </c>
      <c r="H439">
        <v>6.7000000000000004E-2</v>
      </c>
      <c r="K439">
        <v>63632</v>
      </c>
      <c r="L439" t="s">
        <v>7384</v>
      </c>
      <c r="M439">
        <v>6.7000000000000004E-2</v>
      </c>
    </row>
    <row r="440" spans="1:13" x14ac:dyDescent="0.25">
      <c r="A440" t="s">
        <v>7385</v>
      </c>
      <c r="B440">
        <v>13297</v>
      </c>
      <c r="C440">
        <v>7896931612701</v>
      </c>
      <c r="D440">
        <v>24.9</v>
      </c>
      <c r="E440">
        <v>16.57</v>
      </c>
      <c r="F440">
        <v>30.35</v>
      </c>
      <c r="G440">
        <v>15.0398</v>
      </c>
      <c r="H440">
        <v>0</v>
      </c>
      <c r="K440">
        <v>13297</v>
      </c>
      <c r="L440" t="s">
        <v>7385</v>
      </c>
      <c r="M440">
        <v>0</v>
      </c>
    </row>
    <row r="441" spans="1:13" x14ac:dyDescent="0.25">
      <c r="A441" t="s">
        <v>7386</v>
      </c>
      <c r="B441">
        <v>6062</v>
      </c>
      <c r="C441">
        <v>7891125064502</v>
      </c>
      <c r="D441">
        <v>49.9</v>
      </c>
      <c r="E441">
        <v>35.6</v>
      </c>
      <c r="F441">
        <v>26.19</v>
      </c>
      <c r="G441">
        <v>32.214700000000001</v>
      </c>
      <c r="H441">
        <v>0.23300000000000001</v>
      </c>
      <c r="K441">
        <v>6062</v>
      </c>
      <c r="L441" t="s">
        <v>7386</v>
      </c>
      <c r="M441">
        <v>0.23300000000000001</v>
      </c>
    </row>
    <row r="442" spans="1:13" x14ac:dyDescent="0.25">
      <c r="A442" t="s">
        <v>7387</v>
      </c>
      <c r="B442">
        <v>15435</v>
      </c>
      <c r="C442">
        <v>7891125064038</v>
      </c>
      <c r="D442">
        <v>54.9</v>
      </c>
      <c r="E442">
        <v>39.29</v>
      </c>
      <c r="F442">
        <v>24.91</v>
      </c>
      <c r="G442">
        <v>36.144799999999996</v>
      </c>
      <c r="H442">
        <v>0.16700000000000001</v>
      </c>
      <c r="K442">
        <v>15435</v>
      </c>
      <c r="L442" t="s">
        <v>7387</v>
      </c>
      <c r="M442">
        <v>0.16700000000000001</v>
      </c>
    </row>
    <row r="443" spans="1:13" x14ac:dyDescent="0.25">
      <c r="A443" t="s">
        <v>7388</v>
      </c>
      <c r="B443">
        <v>15436</v>
      </c>
      <c r="C443">
        <v>7891125064076</v>
      </c>
      <c r="D443">
        <v>54.9</v>
      </c>
      <c r="E443">
        <v>39.89</v>
      </c>
      <c r="F443">
        <v>24.9</v>
      </c>
      <c r="G443">
        <v>36.149799999999999</v>
      </c>
      <c r="H443">
        <v>0.33300000000000002</v>
      </c>
      <c r="K443">
        <v>15436</v>
      </c>
      <c r="L443" t="s">
        <v>7388</v>
      </c>
      <c r="M443">
        <v>0.26700000000000002</v>
      </c>
    </row>
    <row r="444" spans="1:13" x14ac:dyDescent="0.25">
      <c r="A444" t="s">
        <v>7389</v>
      </c>
      <c r="B444">
        <v>29342</v>
      </c>
      <c r="C444">
        <v>7891125064465</v>
      </c>
      <c r="D444">
        <v>59.9</v>
      </c>
      <c r="E444">
        <v>42.42</v>
      </c>
      <c r="F444">
        <v>26.49</v>
      </c>
      <c r="G444">
        <v>38.492699999999999</v>
      </c>
      <c r="H444">
        <v>0.1</v>
      </c>
      <c r="K444">
        <v>29342</v>
      </c>
      <c r="L444" t="s">
        <v>7389</v>
      </c>
      <c r="M444">
        <v>0.1</v>
      </c>
    </row>
    <row r="445" spans="1:13" x14ac:dyDescent="0.25">
      <c r="A445" t="s">
        <v>7390</v>
      </c>
      <c r="B445">
        <v>45807</v>
      </c>
      <c r="C445">
        <v>8501110088831</v>
      </c>
      <c r="D445">
        <v>109.9</v>
      </c>
      <c r="E445">
        <v>78.599999999999994</v>
      </c>
      <c r="F445">
        <v>22.81</v>
      </c>
      <c r="G445">
        <v>74.661600000000007</v>
      </c>
      <c r="H445">
        <v>3.3000000000000002E-2</v>
      </c>
      <c r="K445">
        <v>45807</v>
      </c>
      <c r="L445" t="s">
        <v>7390</v>
      </c>
      <c r="M445">
        <v>3.3000000000000002E-2</v>
      </c>
    </row>
    <row r="446" spans="1:13" x14ac:dyDescent="0.25">
      <c r="A446" t="s">
        <v>7391</v>
      </c>
      <c r="B446">
        <v>59827</v>
      </c>
      <c r="C446">
        <v>8501110080446</v>
      </c>
      <c r="D446">
        <v>194.9</v>
      </c>
      <c r="E446">
        <v>146.43</v>
      </c>
      <c r="F446">
        <v>22.23</v>
      </c>
      <c r="G446">
        <v>133.5487</v>
      </c>
      <c r="H446">
        <v>0</v>
      </c>
      <c r="K446">
        <v>59827</v>
      </c>
      <c r="L446" t="s">
        <v>7391</v>
      </c>
      <c r="M446">
        <v>0</v>
      </c>
    </row>
    <row r="447" spans="1:13" x14ac:dyDescent="0.25">
      <c r="A447" t="s">
        <v>7392</v>
      </c>
      <c r="B447">
        <v>11431</v>
      </c>
      <c r="C447">
        <v>89540468709</v>
      </c>
      <c r="D447">
        <v>79.900000000000006</v>
      </c>
      <c r="E447">
        <v>58.75</v>
      </c>
      <c r="F447">
        <v>23.59</v>
      </c>
      <c r="G447">
        <v>53.661799999999999</v>
      </c>
      <c r="H447">
        <v>0.433</v>
      </c>
      <c r="K447">
        <v>11431</v>
      </c>
      <c r="L447" t="s">
        <v>7392</v>
      </c>
      <c r="M447">
        <v>0.4</v>
      </c>
    </row>
    <row r="448" spans="1:13" x14ac:dyDescent="0.25">
      <c r="A448" t="s">
        <v>7393</v>
      </c>
      <c r="B448">
        <v>13292</v>
      </c>
      <c r="C448">
        <v>7891050004307</v>
      </c>
      <c r="D448">
        <v>39.9</v>
      </c>
      <c r="E448">
        <v>31</v>
      </c>
      <c r="F448">
        <v>19.75</v>
      </c>
      <c r="G448">
        <v>28.328900000000001</v>
      </c>
      <c r="H448">
        <v>0.23300000000000001</v>
      </c>
      <c r="K448">
        <v>13292</v>
      </c>
      <c r="L448" t="s">
        <v>7393</v>
      </c>
      <c r="M448">
        <v>0.2</v>
      </c>
    </row>
    <row r="449" spans="1:13" x14ac:dyDescent="0.25">
      <c r="A449" t="s">
        <v>7394</v>
      </c>
      <c r="B449">
        <v>5519</v>
      </c>
      <c r="C449">
        <v>7891050004208</v>
      </c>
      <c r="D449">
        <v>39.9</v>
      </c>
      <c r="E449">
        <v>31.32</v>
      </c>
      <c r="F449">
        <v>19.440000000000001</v>
      </c>
      <c r="G449">
        <v>28.450700000000001</v>
      </c>
      <c r="H449">
        <v>0.6</v>
      </c>
      <c r="K449">
        <v>5519</v>
      </c>
      <c r="L449" t="s">
        <v>7394</v>
      </c>
      <c r="M449">
        <v>0.53300000000000003</v>
      </c>
    </row>
    <row r="450" spans="1:13" x14ac:dyDescent="0.25">
      <c r="A450" t="s">
        <v>7395</v>
      </c>
      <c r="B450">
        <v>5520</v>
      </c>
      <c r="C450">
        <v>7891050004406</v>
      </c>
      <c r="D450">
        <v>39.9</v>
      </c>
      <c r="E450">
        <v>31.34</v>
      </c>
      <c r="F450">
        <v>19.420000000000002</v>
      </c>
      <c r="G450">
        <v>28.46</v>
      </c>
      <c r="H450">
        <v>0.53300000000000003</v>
      </c>
      <c r="K450">
        <v>5520</v>
      </c>
      <c r="L450" t="s">
        <v>7395</v>
      </c>
      <c r="M450">
        <v>0.46700000000000003</v>
      </c>
    </row>
    <row r="451" spans="1:13" x14ac:dyDescent="0.25">
      <c r="A451" t="s">
        <v>7396</v>
      </c>
      <c r="B451">
        <v>51359</v>
      </c>
      <c r="C451">
        <v>7401005008597</v>
      </c>
      <c r="D451">
        <v>559.9</v>
      </c>
      <c r="E451">
        <v>378.77</v>
      </c>
      <c r="F451">
        <v>30.4</v>
      </c>
      <c r="G451">
        <v>337.87970000000001</v>
      </c>
      <c r="H451">
        <v>0</v>
      </c>
      <c r="K451">
        <v>51359</v>
      </c>
      <c r="L451" t="s">
        <v>7396</v>
      </c>
      <c r="M451">
        <v>0</v>
      </c>
    </row>
    <row r="452" spans="1:13" x14ac:dyDescent="0.25">
      <c r="A452" t="s">
        <v>7397</v>
      </c>
      <c r="B452">
        <v>61996</v>
      </c>
      <c r="C452">
        <v>7401005008627</v>
      </c>
      <c r="D452" s="1">
        <v>1219.9000000000001</v>
      </c>
      <c r="E452">
        <v>810.29</v>
      </c>
      <c r="F452">
        <v>30.47</v>
      </c>
      <c r="G452">
        <v>735.34100000000001</v>
      </c>
      <c r="H452">
        <v>0</v>
      </c>
      <c r="K452">
        <v>61996</v>
      </c>
      <c r="L452" t="s">
        <v>7397</v>
      </c>
      <c r="M452">
        <v>0</v>
      </c>
    </row>
    <row r="453" spans="1:13" x14ac:dyDescent="0.25">
      <c r="A453" t="s">
        <v>7398</v>
      </c>
      <c r="B453">
        <v>49385</v>
      </c>
      <c r="C453">
        <v>7893220092015</v>
      </c>
      <c r="D453">
        <v>19.899999999999999</v>
      </c>
      <c r="E453">
        <v>9.93</v>
      </c>
      <c r="F453">
        <v>36.369999999999997</v>
      </c>
      <c r="G453">
        <v>7.2386999999999997</v>
      </c>
      <c r="H453">
        <v>1.0669999999999999</v>
      </c>
      <c r="K453">
        <v>49385</v>
      </c>
      <c r="L453" t="s">
        <v>7398</v>
      </c>
      <c r="M453">
        <v>1.133</v>
      </c>
    </row>
    <row r="454" spans="1:13" x14ac:dyDescent="0.25">
      <c r="A454" t="s">
        <v>7399</v>
      </c>
      <c r="B454">
        <v>49386</v>
      </c>
      <c r="C454">
        <v>7893220075162</v>
      </c>
      <c r="D454">
        <v>39.9</v>
      </c>
      <c r="E454">
        <v>16.170000000000002</v>
      </c>
      <c r="F454">
        <v>43.27</v>
      </c>
      <c r="G454">
        <v>11.7614</v>
      </c>
      <c r="H454">
        <v>0.46700000000000003</v>
      </c>
      <c r="K454">
        <v>49386</v>
      </c>
      <c r="L454" t="s">
        <v>7399</v>
      </c>
      <c r="M454">
        <v>0.36699999999999999</v>
      </c>
    </row>
    <row r="455" spans="1:13" x14ac:dyDescent="0.25">
      <c r="A455" t="s">
        <v>7400</v>
      </c>
      <c r="B455">
        <v>7513</v>
      </c>
      <c r="C455">
        <v>7896299101077</v>
      </c>
      <c r="D455">
        <v>19.899999999999999</v>
      </c>
      <c r="E455">
        <v>13.55</v>
      </c>
      <c r="F455">
        <v>26.58</v>
      </c>
      <c r="G455">
        <v>12.7706</v>
      </c>
      <c r="H455">
        <v>3</v>
      </c>
      <c r="K455">
        <v>7513</v>
      </c>
      <c r="L455" t="s">
        <v>7400</v>
      </c>
      <c r="M455">
        <v>2.8330000000000002</v>
      </c>
    </row>
    <row r="456" spans="1:13" x14ac:dyDescent="0.25">
      <c r="A456" t="s">
        <v>7401</v>
      </c>
      <c r="B456">
        <v>7602</v>
      </c>
      <c r="C456">
        <v>7896299101046</v>
      </c>
      <c r="D456">
        <v>39.9</v>
      </c>
      <c r="E456">
        <v>29.11</v>
      </c>
      <c r="F456">
        <v>24.59</v>
      </c>
      <c r="G456">
        <v>26.399100000000001</v>
      </c>
      <c r="H456">
        <v>3.0329999999999999</v>
      </c>
      <c r="K456">
        <v>7602</v>
      </c>
      <c r="L456" t="s">
        <v>7401</v>
      </c>
      <c r="M456">
        <v>1.167</v>
      </c>
    </row>
    <row r="457" spans="1:13" x14ac:dyDescent="0.25">
      <c r="A457" t="s">
        <v>7402</v>
      </c>
      <c r="B457">
        <v>58068</v>
      </c>
      <c r="C457">
        <v>7896299101145</v>
      </c>
      <c r="D457">
        <v>119.9</v>
      </c>
      <c r="E457">
        <v>84.27</v>
      </c>
      <c r="F457">
        <v>26.96</v>
      </c>
      <c r="G457">
        <v>76.478899999999996</v>
      </c>
      <c r="H457">
        <v>0.13300000000000001</v>
      </c>
      <c r="K457">
        <v>58068</v>
      </c>
      <c r="L457" t="s">
        <v>7402</v>
      </c>
      <c r="M457">
        <v>0.13300000000000001</v>
      </c>
    </row>
    <row r="458" spans="1:13" x14ac:dyDescent="0.25">
      <c r="A458" t="s">
        <v>7403</v>
      </c>
      <c r="B458">
        <v>65066</v>
      </c>
      <c r="C458">
        <v>7896299100124</v>
      </c>
      <c r="D458">
        <v>42.9</v>
      </c>
      <c r="E458">
        <v>38.36</v>
      </c>
      <c r="F458">
        <v>13.37</v>
      </c>
      <c r="G458">
        <v>33.194499999999998</v>
      </c>
      <c r="H458">
        <v>0.2</v>
      </c>
      <c r="K458">
        <v>65066</v>
      </c>
      <c r="L458" t="s">
        <v>7403</v>
      </c>
      <c r="M458">
        <v>0.13300000000000001</v>
      </c>
    </row>
    <row r="459" spans="1:13" x14ac:dyDescent="0.25">
      <c r="A459" t="s">
        <v>7404</v>
      </c>
      <c r="B459">
        <v>29114</v>
      </c>
      <c r="C459">
        <v>7896299109721</v>
      </c>
      <c r="D459">
        <v>28.9</v>
      </c>
      <c r="E459">
        <v>22.18</v>
      </c>
      <c r="F459">
        <v>21.05</v>
      </c>
      <c r="G459">
        <v>20.1434</v>
      </c>
      <c r="H459">
        <v>0.86699999999999999</v>
      </c>
      <c r="K459">
        <v>29114</v>
      </c>
      <c r="L459" t="s">
        <v>7404</v>
      </c>
      <c r="M459">
        <v>0.8</v>
      </c>
    </row>
    <row r="460" spans="1:13" x14ac:dyDescent="0.25">
      <c r="A460" t="s">
        <v>7405</v>
      </c>
      <c r="B460">
        <v>7507</v>
      </c>
      <c r="C460">
        <v>7898994017318</v>
      </c>
      <c r="D460">
        <v>36.9</v>
      </c>
      <c r="E460">
        <v>23.39</v>
      </c>
      <c r="F460">
        <v>33.200000000000003</v>
      </c>
      <c r="G460">
        <v>21.236599999999999</v>
      </c>
      <c r="H460">
        <v>0.53300000000000003</v>
      </c>
      <c r="K460">
        <v>7507</v>
      </c>
      <c r="L460" t="s">
        <v>7405</v>
      </c>
      <c r="M460">
        <v>0.26700000000000002</v>
      </c>
    </row>
    <row r="461" spans="1:13" x14ac:dyDescent="0.25">
      <c r="A461" t="s">
        <v>7406</v>
      </c>
      <c r="B461">
        <v>55905</v>
      </c>
      <c r="C461">
        <v>7898994017356</v>
      </c>
      <c r="D461">
        <v>24.9</v>
      </c>
      <c r="E461">
        <v>15.9</v>
      </c>
      <c r="F461">
        <v>33.14</v>
      </c>
      <c r="G461">
        <v>14.345000000000001</v>
      </c>
      <c r="H461">
        <v>0.3</v>
      </c>
      <c r="K461">
        <v>55905</v>
      </c>
      <c r="L461" t="s">
        <v>7406</v>
      </c>
      <c r="M461">
        <v>0.3</v>
      </c>
    </row>
    <row r="462" spans="1:13" x14ac:dyDescent="0.25">
      <c r="A462" t="s">
        <v>7407</v>
      </c>
      <c r="B462">
        <v>55906</v>
      </c>
      <c r="C462">
        <v>7898994017325</v>
      </c>
      <c r="D462">
        <v>44.9</v>
      </c>
      <c r="E462">
        <v>29.71</v>
      </c>
      <c r="F462">
        <v>28.17</v>
      </c>
      <c r="G462">
        <v>28.0975</v>
      </c>
      <c r="H462">
        <v>0</v>
      </c>
      <c r="K462">
        <v>55906</v>
      </c>
      <c r="L462" t="s">
        <v>7407</v>
      </c>
      <c r="M462">
        <v>0</v>
      </c>
    </row>
    <row r="463" spans="1:13" x14ac:dyDescent="0.25">
      <c r="A463" t="s">
        <v>7408</v>
      </c>
      <c r="B463">
        <v>55904</v>
      </c>
      <c r="C463">
        <v>7898994017349</v>
      </c>
      <c r="D463">
        <v>32.9</v>
      </c>
      <c r="E463">
        <v>20.51</v>
      </c>
      <c r="F463">
        <v>33.89</v>
      </c>
      <c r="G463">
        <v>18.706299999999999</v>
      </c>
      <c r="H463">
        <v>0.3</v>
      </c>
      <c r="K463">
        <v>55904</v>
      </c>
      <c r="L463" t="s">
        <v>7408</v>
      </c>
      <c r="M463">
        <v>0.26700000000000002</v>
      </c>
    </row>
    <row r="464" spans="1:13" x14ac:dyDescent="0.25">
      <c r="A464" t="s">
        <v>7409</v>
      </c>
      <c r="B464">
        <v>39539</v>
      </c>
      <c r="C464">
        <v>7896072911022</v>
      </c>
      <c r="D464">
        <v>10.9</v>
      </c>
      <c r="E464">
        <v>7.35</v>
      </c>
      <c r="F464">
        <v>29.54</v>
      </c>
      <c r="G464">
        <v>6.6723999999999997</v>
      </c>
      <c r="H464">
        <v>1.833</v>
      </c>
      <c r="K464">
        <v>39539</v>
      </c>
      <c r="L464" t="s">
        <v>7409</v>
      </c>
      <c r="M464">
        <v>1.6</v>
      </c>
    </row>
    <row r="465" spans="1:13" x14ac:dyDescent="0.25">
      <c r="A465" t="s">
        <v>7410</v>
      </c>
      <c r="B465">
        <v>52221</v>
      </c>
      <c r="C465">
        <v>7896072911824</v>
      </c>
      <c r="D465">
        <v>19.899999999999999</v>
      </c>
      <c r="E465">
        <v>11.92</v>
      </c>
      <c r="F465">
        <v>40.090000000000003</v>
      </c>
      <c r="G465">
        <v>11.922499999999999</v>
      </c>
      <c r="H465">
        <v>6.7000000000000004E-2</v>
      </c>
      <c r="K465">
        <v>52221</v>
      </c>
      <c r="L465" t="s">
        <v>7410</v>
      </c>
      <c r="M465">
        <v>6.7000000000000004E-2</v>
      </c>
    </row>
    <row r="466" spans="1:13" x14ac:dyDescent="0.25">
      <c r="A466" t="s">
        <v>7411</v>
      </c>
      <c r="B466">
        <v>57709</v>
      </c>
      <c r="C466">
        <v>7893220260322</v>
      </c>
      <c r="D466">
        <v>29.9</v>
      </c>
      <c r="E466">
        <v>19.23</v>
      </c>
      <c r="F466">
        <v>30.45</v>
      </c>
      <c r="G466">
        <v>18.0288</v>
      </c>
      <c r="H466">
        <v>0</v>
      </c>
      <c r="K466">
        <v>57709</v>
      </c>
      <c r="L466" t="s">
        <v>7411</v>
      </c>
      <c r="M466">
        <v>0</v>
      </c>
    </row>
    <row r="467" spans="1:13" x14ac:dyDescent="0.25">
      <c r="A467" t="s">
        <v>7412</v>
      </c>
      <c r="B467">
        <v>32981</v>
      </c>
      <c r="C467">
        <v>7898255980375</v>
      </c>
      <c r="D467">
        <v>39.9</v>
      </c>
      <c r="E467">
        <v>27.03</v>
      </c>
      <c r="F467">
        <v>29.06</v>
      </c>
      <c r="G467">
        <v>24.615200000000002</v>
      </c>
      <c r="H467">
        <v>1.5</v>
      </c>
      <c r="K467">
        <v>32981</v>
      </c>
      <c r="L467" t="s">
        <v>7412</v>
      </c>
      <c r="M467">
        <v>0.7</v>
      </c>
    </row>
    <row r="468" spans="1:13" x14ac:dyDescent="0.25">
      <c r="A468" t="s">
        <v>7413</v>
      </c>
      <c r="B468">
        <v>66307</v>
      </c>
      <c r="C468">
        <v>7893220294709</v>
      </c>
      <c r="D468">
        <v>29.9</v>
      </c>
      <c r="E468">
        <v>18.440000000000001</v>
      </c>
      <c r="F468">
        <v>35.35</v>
      </c>
      <c r="G468">
        <v>16.563400000000001</v>
      </c>
      <c r="H468">
        <v>0.433</v>
      </c>
      <c r="K468">
        <v>66307</v>
      </c>
      <c r="L468" t="s">
        <v>7413</v>
      </c>
      <c r="M468">
        <v>0.4</v>
      </c>
    </row>
    <row r="469" spans="1:13" x14ac:dyDescent="0.25">
      <c r="A469" t="s">
        <v>7414</v>
      </c>
      <c r="B469">
        <v>66308</v>
      </c>
      <c r="C469">
        <v>7893220294693</v>
      </c>
      <c r="D469">
        <v>34.9</v>
      </c>
      <c r="E469">
        <v>20.11</v>
      </c>
      <c r="F469">
        <v>39.74</v>
      </c>
      <c r="G469">
        <v>17.802700000000002</v>
      </c>
      <c r="H469">
        <v>0</v>
      </c>
      <c r="K469">
        <v>66308</v>
      </c>
      <c r="L469" t="s">
        <v>7414</v>
      </c>
      <c r="M469">
        <v>0.36699999999999999</v>
      </c>
    </row>
    <row r="470" spans="1:13" x14ac:dyDescent="0.25">
      <c r="A470" t="s">
        <v>7415</v>
      </c>
      <c r="B470">
        <v>49392</v>
      </c>
      <c r="C470">
        <v>7893220227035</v>
      </c>
      <c r="D470">
        <v>24.9</v>
      </c>
      <c r="E470">
        <v>12.99</v>
      </c>
      <c r="F470">
        <v>43.39</v>
      </c>
      <c r="G470">
        <v>11.7919</v>
      </c>
      <c r="H470">
        <v>0.33300000000000002</v>
      </c>
      <c r="K470">
        <v>49392</v>
      </c>
      <c r="L470" t="s">
        <v>7415</v>
      </c>
      <c r="M470">
        <v>0.5</v>
      </c>
    </row>
    <row r="471" spans="1:13" x14ac:dyDescent="0.25">
      <c r="A471" t="s">
        <v>7416</v>
      </c>
      <c r="B471">
        <v>66306</v>
      </c>
      <c r="C471">
        <v>7893220294860</v>
      </c>
      <c r="D471">
        <v>29.9</v>
      </c>
      <c r="E471">
        <v>16</v>
      </c>
      <c r="F471">
        <v>42.19</v>
      </c>
      <c r="G471">
        <v>14.520300000000001</v>
      </c>
      <c r="H471">
        <v>0.16700000000000001</v>
      </c>
      <c r="K471">
        <v>66306</v>
      </c>
      <c r="L471" t="s">
        <v>7416</v>
      </c>
      <c r="M471">
        <v>0.16700000000000001</v>
      </c>
    </row>
    <row r="472" spans="1:13" x14ac:dyDescent="0.25">
      <c r="A472" t="s">
        <v>7417</v>
      </c>
      <c r="B472">
        <v>61737</v>
      </c>
      <c r="C472">
        <v>8593410000590</v>
      </c>
      <c r="D472">
        <v>29.9</v>
      </c>
      <c r="E472">
        <v>16.38</v>
      </c>
      <c r="F472">
        <v>41.05</v>
      </c>
      <c r="G472">
        <v>14.8607</v>
      </c>
      <c r="H472">
        <v>0.53300000000000003</v>
      </c>
      <c r="K472">
        <v>61737</v>
      </c>
      <c r="L472" t="s">
        <v>7417</v>
      </c>
      <c r="M472">
        <v>0.46700000000000003</v>
      </c>
    </row>
    <row r="473" spans="1:13" x14ac:dyDescent="0.25">
      <c r="A473" t="s">
        <v>7418</v>
      </c>
      <c r="B473">
        <v>65663</v>
      </c>
      <c r="C473">
        <v>7893220287497</v>
      </c>
      <c r="D473">
        <v>39.9</v>
      </c>
      <c r="E473">
        <v>22.85</v>
      </c>
      <c r="F473">
        <v>38.24</v>
      </c>
      <c r="G473">
        <v>20.9527</v>
      </c>
      <c r="H473">
        <v>0.66700000000000004</v>
      </c>
      <c r="K473">
        <v>65663</v>
      </c>
      <c r="L473" t="s">
        <v>7418</v>
      </c>
      <c r="M473">
        <v>3.3000000000000002E-2</v>
      </c>
    </row>
    <row r="474" spans="1:13" x14ac:dyDescent="0.25">
      <c r="A474" t="s">
        <v>7419</v>
      </c>
      <c r="B474">
        <v>66304</v>
      </c>
      <c r="C474">
        <v>7893220211119</v>
      </c>
      <c r="D474">
        <v>29.9</v>
      </c>
      <c r="E474">
        <v>18.79</v>
      </c>
      <c r="F474">
        <v>33.89</v>
      </c>
      <c r="G474">
        <v>16.9999</v>
      </c>
      <c r="H474">
        <v>0.26700000000000002</v>
      </c>
      <c r="K474">
        <v>66304</v>
      </c>
      <c r="L474" t="s">
        <v>7419</v>
      </c>
      <c r="M474">
        <v>0.26700000000000002</v>
      </c>
    </row>
    <row r="475" spans="1:13" x14ac:dyDescent="0.25">
      <c r="A475" t="s">
        <v>7420</v>
      </c>
      <c r="B475">
        <v>66305</v>
      </c>
      <c r="C475">
        <v>7893220289316</v>
      </c>
      <c r="D475">
        <v>34.9</v>
      </c>
      <c r="E475">
        <v>21.83</v>
      </c>
      <c r="F475">
        <v>33.99</v>
      </c>
      <c r="G475">
        <v>19.810400000000001</v>
      </c>
      <c r="H475">
        <v>0.1</v>
      </c>
      <c r="K475">
        <v>66305</v>
      </c>
      <c r="L475" t="s">
        <v>7420</v>
      </c>
      <c r="M475">
        <v>0.1</v>
      </c>
    </row>
    <row r="476" spans="1:13" x14ac:dyDescent="0.25">
      <c r="A476" t="s">
        <v>7421</v>
      </c>
      <c r="B476">
        <v>49657</v>
      </c>
      <c r="C476">
        <v>7893220208034</v>
      </c>
      <c r="D476">
        <v>24.9</v>
      </c>
      <c r="E476">
        <v>14.89</v>
      </c>
      <c r="F476">
        <v>36.49</v>
      </c>
      <c r="G476">
        <v>13.51</v>
      </c>
      <c r="H476">
        <v>0.46700000000000003</v>
      </c>
      <c r="K476">
        <v>49657</v>
      </c>
      <c r="L476" t="s">
        <v>7421</v>
      </c>
      <c r="M476">
        <v>0.46700000000000003</v>
      </c>
    </row>
    <row r="477" spans="1:13" x14ac:dyDescent="0.25">
      <c r="A477" t="s">
        <v>7422</v>
      </c>
      <c r="B477">
        <v>63052</v>
      </c>
      <c r="C477">
        <v>7893220227028</v>
      </c>
      <c r="D477">
        <v>24.9</v>
      </c>
      <c r="E477">
        <v>15.7</v>
      </c>
      <c r="F477">
        <v>33.94</v>
      </c>
      <c r="G477">
        <v>14.145300000000001</v>
      </c>
      <c r="H477">
        <v>2.5</v>
      </c>
      <c r="K477">
        <v>63052</v>
      </c>
      <c r="L477" t="s">
        <v>7422</v>
      </c>
      <c r="M477">
        <v>1.333</v>
      </c>
    </row>
    <row r="478" spans="1:13" x14ac:dyDescent="0.25">
      <c r="A478" t="s">
        <v>7423</v>
      </c>
      <c r="B478">
        <v>49389</v>
      </c>
      <c r="C478">
        <v>8593410992840</v>
      </c>
      <c r="D478">
        <v>24.9</v>
      </c>
      <c r="E478">
        <v>15.6</v>
      </c>
      <c r="F478">
        <v>33.9</v>
      </c>
      <c r="G478">
        <v>14.1561</v>
      </c>
      <c r="H478">
        <v>0</v>
      </c>
      <c r="K478">
        <v>49389</v>
      </c>
      <c r="L478" t="s">
        <v>7423</v>
      </c>
      <c r="M478">
        <v>0</v>
      </c>
    </row>
    <row r="479" spans="1:13" x14ac:dyDescent="0.25">
      <c r="A479" t="s">
        <v>7424</v>
      </c>
      <c r="B479">
        <v>53756</v>
      </c>
      <c r="C479">
        <v>7893220262425</v>
      </c>
      <c r="D479">
        <v>24.9</v>
      </c>
      <c r="E479">
        <v>16.760000000000002</v>
      </c>
      <c r="F479">
        <v>29.83</v>
      </c>
      <c r="G479">
        <v>15.1685</v>
      </c>
      <c r="H479">
        <v>0.66700000000000004</v>
      </c>
      <c r="K479">
        <v>53756</v>
      </c>
      <c r="L479" t="s">
        <v>7424</v>
      </c>
      <c r="M479">
        <v>0.3</v>
      </c>
    </row>
    <row r="480" spans="1:13" x14ac:dyDescent="0.25">
      <c r="A480" t="s">
        <v>7425</v>
      </c>
      <c r="B480">
        <v>61530</v>
      </c>
      <c r="C480">
        <v>798190087542</v>
      </c>
      <c r="D480">
        <v>22.9</v>
      </c>
      <c r="E480">
        <v>14.95</v>
      </c>
      <c r="F480">
        <v>31.5</v>
      </c>
      <c r="G480">
        <v>13.5671</v>
      </c>
      <c r="H480">
        <v>0</v>
      </c>
      <c r="K480">
        <v>61530</v>
      </c>
      <c r="L480" t="s">
        <v>7425</v>
      </c>
      <c r="M480">
        <v>0</v>
      </c>
    </row>
    <row r="481" spans="1:13" x14ac:dyDescent="0.25">
      <c r="A481" t="s">
        <v>7426</v>
      </c>
      <c r="B481">
        <v>60653</v>
      </c>
      <c r="C481">
        <v>7893220267598</v>
      </c>
      <c r="D481">
        <v>59.9</v>
      </c>
      <c r="E481">
        <v>57.76</v>
      </c>
      <c r="F481">
        <v>3.71</v>
      </c>
      <c r="G481">
        <v>52.1372</v>
      </c>
      <c r="H481">
        <v>0.1</v>
      </c>
      <c r="K481">
        <v>60653</v>
      </c>
      <c r="L481" t="s">
        <v>7426</v>
      </c>
      <c r="M481">
        <v>0</v>
      </c>
    </row>
    <row r="482" spans="1:13" x14ac:dyDescent="0.25">
      <c r="A482" t="s">
        <v>7427</v>
      </c>
      <c r="B482">
        <v>58172</v>
      </c>
      <c r="C482">
        <v>7893220254536</v>
      </c>
      <c r="D482">
        <v>19.899999999999999</v>
      </c>
      <c r="E482">
        <v>13.2</v>
      </c>
      <c r="F482">
        <v>30.34</v>
      </c>
      <c r="G482">
        <v>12.0222</v>
      </c>
      <c r="H482">
        <v>1.133</v>
      </c>
      <c r="K482">
        <v>58172</v>
      </c>
      <c r="L482" t="s">
        <v>7427</v>
      </c>
      <c r="M482">
        <v>1.133</v>
      </c>
    </row>
    <row r="483" spans="1:13" x14ac:dyDescent="0.25">
      <c r="A483" t="s">
        <v>7428</v>
      </c>
      <c r="B483">
        <v>49617</v>
      </c>
      <c r="C483">
        <v>49617</v>
      </c>
      <c r="D483">
        <v>24.9</v>
      </c>
      <c r="E483">
        <v>15.37</v>
      </c>
      <c r="F483">
        <v>34.72</v>
      </c>
      <c r="G483">
        <v>13.9512</v>
      </c>
      <c r="H483">
        <v>0.6</v>
      </c>
      <c r="K483">
        <v>49617</v>
      </c>
      <c r="L483" t="s">
        <v>7428</v>
      </c>
      <c r="M483">
        <v>0.8</v>
      </c>
    </row>
    <row r="484" spans="1:13" x14ac:dyDescent="0.25">
      <c r="A484" t="s">
        <v>7429</v>
      </c>
      <c r="B484">
        <v>65603</v>
      </c>
      <c r="C484">
        <v>8593401964931</v>
      </c>
      <c r="D484">
        <v>39.9</v>
      </c>
      <c r="E484">
        <v>19.190000000000001</v>
      </c>
      <c r="F484">
        <v>47.84</v>
      </c>
      <c r="G484">
        <v>17.119499999999999</v>
      </c>
      <c r="H484">
        <v>6.7000000000000004E-2</v>
      </c>
      <c r="K484">
        <v>65603</v>
      </c>
      <c r="L484" t="s">
        <v>7429</v>
      </c>
      <c r="M484">
        <v>6.7000000000000004E-2</v>
      </c>
    </row>
    <row r="485" spans="1:13" x14ac:dyDescent="0.25">
      <c r="A485" t="s">
        <v>7430</v>
      </c>
      <c r="B485">
        <v>63423</v>
      </c>
      <c r="C485">
        <v>7893220287503</v>
      </c>
      <c r="D485">
        <v>39.9</v>
      </c>
      <c r="E485">
        <v>25.38</v>
      </c>
      <c r="F485">
        <v>31.69</v>
      </c>
      <c r="G485">
        <v>23.5639</v>
      </c>
      <c r="H485">
        <v>0.7</v>
      </c>
      <c r="K485">
        <v>63423</v>
      </c>
      <c r="L485" t="s">
        <v>7430</v>
      </c>
      <c r="M485">
        <v>0.5</v>
      </c>
    </row>
    <row r="486" spans="1:13" x14ac:dyDescent="0.25">
      <c r="A486" t="s">
        <v>7431</v>
      </c>
      <c r="B486">
        <v>66364</v>
      </c>
      <c r="C486">
        <v>7893220072956</v>
      </c>
      <c r="D486">
        <v>29.9</v>
      </c>
      <c r="E486">
        <v>13.77</v>
      </c>
      <c r="F486">
        <v>39.39</v>
      </c>
      <c r="G486">
        <v>9.9740000000000002</v>
      </c>
      <c r="H486">
        <v>0.26700000000000002</v>
      </c>
      <c r="K486">
        <v>66364</v>
      </c>
      <c r="L486" t="s">
        <v>7431</v>
      </c>
      <c r="M486">
        <v>0.23300000000000001</v>
      </c>
    </row>
    <row r="487" spans="1:13" x14ac:dyDescent="0.25">
      <c r="A487" t="s">
        <v>7432</v>
      </c>
      <c r="B487">
        <v>63961</v>
      </c>
      <c r="C487">
        <v>5604098999519</v>
      </c>
      <c r="D487">
        <v>119.9</v>
      </c>
      <c r="E487">
        <v>94.32</v>
      </c>
      <c r="F487">
        <v>21.63</v>
      </c>
      <c r="G487">
        <v>52.903100000000002</v>
      </c>
      <c r="H487">
        <v>0.46700000000000003</v>
      </c>
      <c r="K487">
        <v>63961</v>
      </c>
      <c r="L487" t="s">
        <v>7432</v>
      </c>
      <c r="M487">
        <v>0</v>
      </c>
    </row>
    <row r="488" spans="1:13" x14ac:dyDescent="0.25">
      <c r="A488" t="s">
        <v>7433</v>
      </c>
      <c r="B488">
        <v>65241</v>
      </c>
      <c r="C488">
        <v>7506064300344</v>
      </c>
      <c r="D488" s="1">
        <v>1819.9</v>
      </c>
      <c r="E488" s="1">
        <v>1320.44</v>
      </c>
      <c r="F488">
        <v>24.91</v>
      </c>
      <c r="G488" s="1">
        <v>1198.2972</v>
      </c>
      <c r="H488">
        <v>0</v>
      </c>
      <c r="K488">
        <v>65241</v>
      </c>
      <c r="L488" t="s">
        <v>7433</v>
      </c>
      <c r="M488">
        <v>0</v>
      </c>
    </row>
    <row r="489" spans="1:13" x14ac:dyDescent="0.25">
      <c r="A489" t="s">
        <v>7434</v>
      </c>
      <c r="B489">
        <v>65242</v>
      </c>
      <c r="C489">
        <v>674545000865</v>
      </c>
      <c r="D489">
        <v>359.9</v>
      </c>
      <c r="E489">
        <v>257.02999999999997</v>
      </c>
      <c r="F489">
        <v>25.94</v>
      </c>
      <c r="G489">
        <v>233.25110000000001</v>
      </c>
      <c r="H489">
        <v>3.3000000000000002E-2</v>
      </c>
      <c r="K489">
        <v>65242</v>
      </c>
      <c r="L489" t="s">
        <v>7434</v>
      </c>
      <c r="M489">
        <v>3.3000000000000002E-2</v>
      </c>
    </row>
    <row r="490" spans="1:13" x14ac:dyDescent="0.25">
      <c r="A490" t="s">
        <v>7435</v>
      </c>
      <c r="B490">
        <v>60172</v>
      </c>
      <c r="C490">
        <v>674545000841</v>
      </c>
      <c r="D490">
        <v>299.89999999999998</v>
      </c>
      <c r="E490">
        <v>236.81</v>
      </c>
      <c r="F490">
        <v>19.43</v>
      </c>
      <c r="G490">
        <v>213.8947</v>
      </c>
      <c r="H490">
        <v>0.1</v>
      </c>
      <c r="K490">
        <v>60172</v>
      </c>
      <c r="L490" t="s">
        <v>7435</v>
      </c>
      <c r="M490">
        <v>0.1</v>
      </c>
    </row>
    <row r="491" spans="1:13" x14ac:dyDescent="0.25">
      <c r="A491" t="s">
        <v>7436</v>
      </c>
      <c r="B491">
        <v>65244</v>
      </c>
      <c r="C491">
        <v>674545000858</v>
      </c>
      <c r="D491">
        <v>329.9</v>
      </c>
      <c r="E491">
        <v>239.28</v>
      </c>
      <c r="F491">
        <v>24.93</v>
      </c>
      <c r="G491">
        <v>217.14859999999999</v>
      </c>
      <c r="H491">
        <v>0</v>
      </c>
      <c r="K491">
        <v>65244</v>
      </c>
      <c r="L491" t="s">
        <v>7436</v>
      </c>
      <c r="M491">
        <v>0</v>
      </c>
    </row>
    <row r="492" spans="1:13" x14ac:dyDescent="0.25">
      <c r="A492" t="s">
        <v>7437</v>
      </c>
      <c r="B492">
        <v>22885</v>
      </c>
      <c r="C492">
        <v>7501145228203</v>
      </c>
      <c r="D492">
        <v>159.9</v>
      </c>
      <c r="E492">
        <v>105.34</v>
      </c>
      <c r="F492">
        <v>30.97</v>
      </c>
      <c r="G492">
        <v>95.585899999999995</v>
      </c>
      <c r="H492">
        <v>6.7000000000000004E-2</v>
      </c>
      <c r="K492">
        <v>22885</v>
      </c>
      <c r="L492" t="s">
        <v>7437</v>
      </c>
      <c r="M492">
        <v>6.7000000000000004E-2</v>
      </c>
    </row>
    <row r="493" spans="1:13" x14ac:dyDescent="0.25">
      <c r="A493" t="s">
        <v>7438</v>
      </c>
      <c r="B493">
        <v>22886</v>
      </c>
      <c r="C493">
        <v>7898945131230</v>
      </c>
      <c r="D493">
        <v>159.9</v>
      </c>
      <c r="E493">
        <v>105.29</v>
      </c>
      <c r="F493">
        <v>30.98</v>
      </c>
      <c r="G493">
        <v>95.568700000000007</v>
      </c>
      <c r="H493">
        <v>6.7000000000000004E-2</v>
      </c>
      <c r="K493">
        <v>22886</v>
      </c>
      <c r="L493" t="s">
        <v>7438</v>
      </c>
      <c r="M493">
        <v>6.7000000000000004E-2</v>
      </c>
    </row>
    <row r="494" spans="1:13" x14ac:dyDescent="0.25">
      <c r="A494" t="s">
        <v>7439</v>
      </c>
      <c r="B494">
        <v>8051</v>
      </c>
      <c r="C494">
        <v>7501035010109</v>
      </c>
      <c r="D494">
        <v>139.9</v>
      </c>
      <c r="E494">
        <v>97.71</v>
      </c>
      <c r="F494">
        <v>27.94</v>
      </c>
      <c r="G494">
        <v>87.877300000000005</v>
      </c>
      <c r="H494">
        <v>0.36699999999999999</v>
      </c>
      <c r="K494">
        <v>8051</v>
      </c>
      <c r="L494" t="s">
        <v>7439</v>
      </c>
      <c r="M494">
        <v>0.36699999999999999</v>
      </c>
    </row>
    <row r="495" spans="1:13" x14ac:dyDescent="0.25">
      <c r="A495" t="s">
        <v>7440</v>
      </c>
      <c r="B495">
        <v>20507</v>
      </c>
      <c r="C495">
        <v>7501035042322</v>
      </c>
      <c r="D495">
        <v>139.9</v>
      </c>
      <c r="E495">
        <v>97.2</v>
      </c>
      <c r="F495">
        <v>27.68</v>
      </c>
      <c r="G495">
        <v>88.236199999999997</v>
      </c>
      <c r="H495">
        <v>0.13300000000000001</v>
      </c>
      <c r="K495">
        <v>20507</v>
      </c>
      <c r="L495" t="s">
        <v>7440</v>
      </c>
      <c r="M495">
        <v>0.16700000000000001</v>
      </c>
    </row>
    <row r="496" spans="1:13" x14ac:dyDescent="0.25">
      <c r="A496" t="s">
        <v>7441</v>
      </c>
      <c r="B496">
        <v>58832</v>
      </c>
      <c r="C496">
        <v>721733000593</v>
      </c>
      <c r="D496">
        <v>299.89999999999998</v>
      </c>
      <c r="E496">
        <v>206.5</v>
      </c>
      <c r="F496">
        <v>28.75</v>
      </c>
      <c r="G496">
        <v>185.94220000000001</v>
      </c>
      <c r="H496">
        <v>0</v>
      </c>
      <c r="K496">
        <v>58832</v>
      </c>
      <c r="L496" t="s">
        <v>7441</v>
      </c>
      <c r="M496">
        <v>0</v>
      </c>
    </row>
    <row r="497" spans="1:13" x14ac:dyDescent="0.25">
      <c r="A497" t="s">
        <v>7442</v>
      </c>
      <c r="B497">
        <v>58831</v>
      </c>
      <c r="C497">
        <v>721733000609</v>
      </c>
      <c r="D497">
        <v>269.89999999999998</v>
      </c>
      <c r="E497">
        <v>172.87</v>
      </c>
      <c r="F497">
        <v>32.619999999999997</v>
      </c>
      <c r="G497">
        <v>156.88</v>
      </c>
      <c r="H497">
        <v>0</v>
      </c>
      <c r="K497">
        <v>58831</v>
      </c>
      <c r="L497" t="s">
        <v>7442</v>
      </c>
      <c r="M497">
        <v>0</v>
      </c>
    </row>
    <row r="498" spans="1:13" x14ac:dyDescent="0.25">
      <c r="A498" t="s">
        <v>7443</v>
      </c>
      <c r="B498">
        <v>58830</v>
      </c>
      <c r="C498">
        <v>721733000029</v>
      </c>
      <c r="D498">
        <v>369.9</v>
      </c>
      <c r="E498">
        <v>284.62</v>
      </c>
      <c r="F498">
        <v>20.92</v>
      </c>
      <c r="G498">
        <v>258.29000000000002</v>
      </c>
      <c r="H498">
        <v>0</v>
      </c>
      <c r="K498">
        <v>58830</v>
      </c>
      <c r="L498" t="s">
        <v>7443</v>
      </c>
      <c r="M498">
        <v>0</v>
      </c>
    </row>
    <row r="499" spans="1:13" x14ac:dyDescent="0.25">
      <c r="A499" t="s">
        <v>7444</v>
      </c>
      <c r="B499">
        <v>29344</v>
      </c>
      <c r="C499">
        <v>7891125160426</v>
      </c>
      <c r="D499">
        <v>54.9</v>
      </c>
      <c r="E499">
        <v>39.19</v>
      </c>
      <c r="F499">
        <v>25.58</v>
      </c>
      <c r="G499">
        <v>35.775799999999997</v>
      </c>
      <c r="H499">
        <v>0.86699999999999999</v>
      </c>
      <c r="K499">
        <v>29344</v>
      </c>
      <c r="L499" t="s">
        <v>7444</v>
      </c>
      <c r="M499">
        <v>0.7</v>
      </c>
    </row>
    <row r="500" spans="1:13" x14ac:dyDescent="0.25">
      <c r="A500" t="s">
        <v>7445</v>
      </c>
      <c r="B500">
        <v>13355</v>
      </c>
      <c r="C500">
        <v>7891125160433</v>
      </c>
      <c r="D500">
        <v>54.9</v>
      </c>
      <c r="E500">
        <v>41.1</v>
      </c>
      <c r="F500">
        <v>20.81</v>
      </c>
      <c r="G500">
        <v>38.3979</v>
      </c>
      <c r="H500">
        <v>0.1</v>
      </c>
      <c r="K500">
        <v>13355</v>
      </c>
      <c r="L500" t="s">
        <v>7445</v>
      </c>
      <c r="M500">
        <v>0.1</v>
      </c>
    </row>
    <row r="501" spans="1:13" x14ac:dyDescent="0.25">
      <c r="A501" t="s">
        <v>7446</v>
      </c>
      <c r="B501">
        <v>29347</v>
      </c>
      <c r="C501">
        <v>7891125160440</v>
      </c>
      <c r="D501">
        <v>54.9</v>
      </c>
      <c r="E501">
        <v>34.659999999999997</v>
      </c>
      <c r="F501">
        <v>30.68</v>
      </c>
      <c r="G501">
        <v>32.976100000000002</v>
      </c>
      <c r="H501">
        <v>0.23300000000000001</v>
      </c>
      <c r="K501">
        <v>29347</v>
      </c>
      <c r="L501" t="s">
        <v>7446</v>
      </c>
      <c r="M501">
        <v>0.23300000000000001</v>
      </c>
    </row>
    <row r="502" spans="1:13" x14ac:dyDescent="0.25">
      <c r="A502" t="s">
        <v>7447</v>
      </c>
      <c r="B502">
        <v>16100</v>
      </c>
      <c r="C502">
        <v>7891125160419</v>
      </c>
      <c r="D502">
        <v>54.9</v>
      </c>
      <c r="E502">
        <v>42.66</v>
      </c>
      <c r="F502">
        <v>19.260000000000002</v>
      </c>
      <c r="G502">
        <v>39.2483</v>
      </c>
      <c r="H502">
        <v>0.6</v>
      </c>
      <c r="K502">
        <v>16100</v>
      </c>
      <c r="L502" t="s">
        <v>7447</v>
      </c>
      <c r="M502">
        <v>0.56699999999999995</v>
      </c>
    </row>
    <row r="503" spans="1:13" x14ac:dyDescent="0.25">
      <c r="A503" t="s">
        <v>7448</v>
      </c>
      <c r="B503">
        <v>31017</v>
      </c>
      <c r="C503">
        <v>8031303000673</v>
      </c>
      <c r="D503">
        <v>96.52</v>
      </c>
      <c r="E503">
        <v>69.36</v>
      </c>
      <c r="F503">
        <v>19.34</v>
      </c>
      <c r="G503">
        <v>44.790999999999997</v>
      </c>
      <c r="H503">
        <v>6.7000000000000004E-2</v>
      </c>
      <c r="K503">
        <v>31017</v>
      </c>
      <c r="L503" t="s">
        <v>7448</v>
      </c>
      <c r="M503">
        <v>6.7000000000000004E-2</v>
      </c>
    </row>
    <row r="504" spans="1:13" x14ac:dyDescent="0.25">
      <c r="A504" t="s">
        <v>7449</v>
      </c>
      <c r="B504">
        <v>69170</v>
      </c>
      <c r="C504">
        <v>7804426010024</v>
      </c>
      <c r="D504">
        <v>119.9</v>
      </c>
      <c r="E504">
        <v>49.27</v>
      </c>
      <c r="F504">
        <v>38.729999999999997</v>
      </c>
      <c r="G504">
        <v>32.3917</v>
      </c>
      <c r="H504">
        <v>0</v>
      </c>
      <c r="K504">
        <v>69170</v>
      </c>
      <c r="L504" t="s">
        <v>7449</v>
      </c>
      <c r="M504">
        <v>0</v>
      </c>
    </row>
    <row r="505" spans="1:13" x14ac:dyDescent="0.25">
      <c r="A505" t="s">
        <v>7450</v>
      </c>
      <c r="B505">
        <v>51778</v>
      </c>
      <c r="C505">
        <v>3296311152027</v>
      </c>
      <c r="D505">
        <v>139.9</v>
      </c>
      <c r="E505">
        <v>78.099999999999994</v>
      </c>
      <c r="F505">
        <v>29.04</v>
      </c>
      <c r="G505">
        <v>51.3521</v>
      </c>
      <c r="H505">
        <v>6.7000000000000004E-2</v>
      </c>
      <c r="K505">
        <v>51778</v>
      </c>
      <c r="L505" t="s">
        <v>7450</v>
      </c>
      <c r="M505">
        <v>0</v>
      </c>
    </row>
    <row r="506" spans="1:13" x14ac:dyDescent="0.25">
      <c r="A506" t="s">
        <v>7451</v>
      </c>
      <c r="B506">
        <v>64972</v>
      </c>
      <c r="C506">
        <v>3296311121054</v>
      </c>
      <c r="D506">
        <v>139.9</v>
      </c>
      <c r="E506">
        <v>94.89</v>
      </c>
      <c r="F506">
        <v>21.15</v>
      </c>
      <c r="G506">
        <v>62.391300000000001</v>
      </c>
      <c r="H506">
        <v>6.7000000000000004E-2</v>
      </c>
      <c r="K506">
        <v>64972</v>
      </c>
      <c r="L506" t="s">
        <v>7451</v>
      </c>
      <c r="M506">
        <v>0</v>
      </c>
    </row>
    <row r="507" spans="1:13" x14ac:dyDescent="0.25">
      <c r="A507" t="s">
        <v>7452</v>
      </c>
      <c r="B507">
        <v>64973</v>
      </c>
      <c r="C507">
        <v>3296311152058</v>
      </c>
      <c r="D507">
        <v>139.9</v>
      </c>
      <c r="E507">
        <v>94.89</v>
      </c>
      <c r="F507">
        <v>21.15</v>
      </c>
      <c r="G507">
        <v>62.392000000000003</v>
      </c>
      <c r="H507">
        <v>0.16700000000000001</v>
      </c>
      <c r="K507">
        <v>64973</v>
      </c>
      <c r="L507" t="s">
        <v>7452</v>
      </c>
      <c r="M507">
        <v>3.3000000000000002E-2</v>
      </c>
    </row>
    <row r="508" spans="1:13" x14ac:dyDescent="0.25">
      <c r="A508" t="s">
        <v>7453</v>
      </c>
      <c r="B508">
        <v>63990</v>
      </c>
      <c r="C508">
        <v>3296311118085</v>
      </c>
      <c r="D508">
        <v>479.9</v>
      </c>
      <c r="E508">
        <v>313.43</v>
      </c>
      <c r="F508">
        <v>22.81</v>
      </c>
      <c r="G508">
        <v>206.07749999999999</v>
      </c>
      <c r="H508">
        <v>0</v>
      </c>
      <c r="K508">
        <v>63990</v>
      </c>
      <c r="L508" t="s">
        <v>7453</v>
      </c>
      <c r="M508">
        <v>0</v>
      </c>
    </row>
    <row r="509" spans="1:13" x14ac:dyDescent="0.25">
      <c r="A509" t="s">
        <v>7454</v>
      </c>
      <c r="B509">
        <v>67400</v>
      </c>
      <c r="C509">
        <v>8033182901881</v>
      </c>
      <c r="D509">
        <v>89.9</v>
      </c>
      <c r="E509">
        <v>57.93</v>
      </c>
      <c r="F509">
        <v>23.38</v>
      </c>
      <c r="G509">
        <v>38.088799999999999</v>
      </c>
      <c r="H509">
        <v>0</v>
      </c>
      <c r="K509">
        <v>67400</v>
      </c>
      <c r="L509" t="s">
        <v>7454</v>
      </c>
      <c r="M509">
        <v>0</v>
      </c>
    </row>
    <row r="510" spans="1:13" x14ac:dyDescent="0.25">
      <c r="A510" t="s">
        <v>7455</v>
      </c>
      <c r="B510">
        <v>67401</v>
      </c>
      <c r="C510">
        <v>7896196067551</v>
      </c>
      <c r="D510">
        <v>89.9</v>
      </c>
      <c r="E510">
        <v>57.93</v>
      </c>
      <c r="F510">
        <v>23.38</v>
      </c>
      <c r="G510">
        <v>38.088200000000001</v>
      </c>
      <c r="H510">
        <v>6.7000000000000004E-2</v>
      </c>
      <c r="K510">
        <v>67401</v>
      </c>
      <c r="L510" t="s">
        <v>7455</v>
      </c>
      <c r="M510">
        <v>6.7000000000000004E-2</v>
      </c>
    </row>
    <row r="511" spans="1:13" x14ac:dyDescent="0.25">
      <c r="A511" t="s">
        <v>7456</v>
      </c>
      <c r="B511">
        <v>65072</v>
      </c>
      <c r="C511">
        <v>6009675641864</v>
      </c>
      <c r="D511">
        <v>89.9</v>
      </c>
      <c r="E511">
        <v>52.71</v>
      </c>
      <c r="F511">
        <v>27.2</v>
      </c>
      <c r="G511">
        <v>34.656700000000001</v>
      </c>
      <c r="H511">
        <v>0.1</v>
      </c>
      <c r="K511">
        <v>65072</v>
      </c>
      <c r="L511" t="s">
        <v>7456</v>
      </c>
      <c r="M511">
        <v>6.7000000000000004E-2</v>
      </c>
    </row>
    <row r="512" spans="1:13" x14ac:dyDescent="0.25">
      <c r="A512" t="s">
        <v>7457</v>
      </c>
      <c r="B512">
        <v>65073</v>
      </c>
      <c r="C512">
        <v>6009675641888</v>
      </c>
      <c r="D512">
        <v>89.9</v>
      </c>
      <c r="E512">
        <v>52.71</v>
      </c>
      <c r="F512">
        <v>27.2</v>
      </c>
      <c r="G512">
        <v>34.656700000000001</v>
      </c>
      <c r="H512">
        <v>0</v>
      </c>
      <c r="K512">
        <v>65073</v>
      </c>
      <c r="L512" t="s">
        <v>7457</v>
      </c>
      <c r="M512">
        <v>0</v>
      </c>
    </row>
    <row r="513" spans="1:13" x14ac:dyDescent="0.25">
      <c r="A513" t="s">
        <v>7458</v>
      </c>
      <c r="B513">
        <v>59598</v>
      </c>
      <c r="C513">
        <v>7798304611314</v>
      </c>
      <c r="D513">
        <v>34.9</v>
      </c>
      <c r="E513">
        <v>14.95</v>
      </c>
      <c r="F513">
        <v>37.590000000000003</v>
      </c>
      <c r="G513">
        <v>9.8290000000000006</v>
      </c>
      <c r="H513">
        <v>1.3</v>
      </c>
      <c r="K513">
        <v>59598</v>
      </c>
      <c r="L513" t="s">
        <v>7458</v>
      </c>
      <c r="M513">
        <v>0.23300000000000001</v>
      </c>
    </row>
    <row r="514" spans="1:13" x14ac:dyDescent="0.25">
      <c r="A514" t="s">
        <v>7459</v>
      </c>
      <c r="B514">
        <v>59595</v>
      </c>
      <c r="C514">
        <v>7798304611338</v>
      </c>
      <c r="D514">
        <v>34.9</v>
      </c>
      <c r="E514">
        <v>15.49</v>
      </c>
      <c r="F514">
        <v>36.549999999999997</v>
      </c>
      <c r="G514">
        <v>10.191700000000001</v>
      </c>
      <c r="H514">
        <v>1.6</v>
      </c>
      <c r="K514">
        <v>59595</v>
      </c>
      <c r="L514" t="s">
        <v>7459</v>
      </c>
      <c r="M514">
        <v>0.26700000000000002</v>
      </c>
    </row>
    <row r="515" spans="1:13" x14ac:dyDescent="0.25">
      <c r="A515" t="s">
        <v>7460</v>
      </c>
      <c r="B515">
        <v>59599</v>
      </c>
      <c r="C515">
        <v>7798304611307</v>
      </c>
      <c r="D515">
        <v>34.9</v>
      </c>
      <c r="E515">
        <v>15.2</v>
      </c>
      <c r="F515">
        <v>37.130000000000003</v>
      </c>
      <c r="G515">
        <v>9.9898000000000007</v>
      </c>
      <c r="H515">
        <v>1.0329999999999999</v>
      </c>
      <c r="K515">
        <v>59599</v>
      </c>
      <c r="L515" t="s">
        <v>7460</v>
      </c>
      <c r="M515">
        <v>0.33300000000000002</v>
      </c>
    </row>
    <row r="516" spans="1:13" x14ac:dyDescent="0.25">
      <c r="A516" t="s">
        <v>7461</v>
      </c>
      <c r="B516">
        <v>59591</v>
      </c>
      <c r="C516">
        <v>7798304611369</v>
      </c>
      <c r="D516">
        <v>59.9</v>
      </c>
      <c r="E516">
        <v>22.96</v>
      </c>
      <c r="F516">
        <v>40.76</v>
      </c>
      <c r="G516">
        <v>14.9686</v>
      </c>
      <c r="H516">
        <v>0.53300000000000003</v>
      </c>
      <c r="K516">
        <v>59591</v>
      </c>
      <c r="L516" t="s">
        <v>7461</v>
      </c>
      <c r="M516">
        <v>0</v>
      </c>
    </row>
    <row r="517" spans="1:13" x14ac:dyDescent="0.25">
      <c r="A517" t="s">
        <v>7462</v>
      </c>
      <c r="B517">
        <v>59592</v>
      </c>
      <c r="C517">
        <v>7798304611352</v>
      </c>
      <c r="D517">
        <v>59.9</v>
      </c>
      <c r="E517">
        <v>23.18</v>
      </c>
      <c r="F517">
        <v>40.880000000000003</v>
      </c>
      <c r="G517">
        <v>14.898</v>
      </c>
      <c r="H517">
        <v>0.93300000000000005</v>
      </c>
      <c r="K517">
        <v>59592</v>
      </c>
      <c r="L517" t="s">
        <v>7462</v>
      </c>
      <c r="M517">
        <v>3.3000000000000002E-2</v>
      </c>
    </row>
    <row r="518" spans="1:13" x14ac:dyDescent="0.25">
      <c r="A518" t="s">
        <v>7463</v>
      </c>
      <c r="B518">
        <v>59594</v>
      </c>
      <c r="C518">
        <v>7798304611345</v>
      </c>
      <c r="D518">
        <v>59.9</v>
      </c>
      <c r="E518">
        <v>22.93</v>
      </c>
      <c r="F518">
        <v>40.64</v>
      </c>
      <c r="G518">
        <v>15.0402</v>
      </c>
      <c r="H518">
        <v>1.2669999999999999</v>
      </c>
      <c r="K518">
        <v>59594</v>
      </c>
      <c r="L518" t="s">
        <v>7463</v>
      </c>
      <c r="M518">
        <v>0.1</v>
      </c>
    </row>
    <row r="519" spans="1:13" x14ac:dyDescent="0.25">
      <c r="A519" t="s">
        <v>7464</v>
      </c>
      <c r="B519">
        <v>63121</v>
      </c>
      <c r="C519">
        <v>5601213002543</v>
      </c>
      <c r="D519">
        <v>69.900000000000006</v>
      </c>
      <c r="E519">
        <v>31.01</v>
      </c>
      <c r="F519">
        <v>36.56</v>
      </c>
      <c r="G519">
        <v>20.404699999999998</v>
      </c>
      <c r="H519">
        <v>0.2</v>
      </c>
      <c r="K519">
        <v>63121</v>
      </c>
      <c r="L519" t="s">
        <v>7464</v>
      </c>
      <c r="M519">
        <v>0.16700000000000001</v>
      </c>
    </row>
    <row r="520" spans="1:13" x14ac:dyDescent="0.25">
      <c r="A520" t="s">
        <v>7465</v>
      </c>
      <c r="B520">
        <v>21602</v>
      </c>
      <c r="C520">
        <v>7899413360398</v>
      </c>
      <c r="D520">
        <v>99.9</v>
      </c>
      <c r="E520">
        <v>70.64</v>
      </c>
      <c r="F520">
        <v>19.36</v>
      </c>
      <c r="G520">
        <v>46.343200000000003</v>
      </c>
      <c r="H520">
        <v>3.3000000000000002E-2</v>
      </c>
      <c r="K520">
        <v>21602</v>
      </c>
      <c r="L520" t="s">
        <v>7465</v>
      </c>
      <c r="M520">
        <v>0</v>
      </c>
    </row>
    <row r="521" spans="1:13" x14ac:dyDescent="0.25">
      <c r="A521" t="s">
        <v>7466</v>
      </c>
      <c r="B521">
        <v>21603</v>
      </c>
      <c r="C521">
        <v>7899413375750</v>
      </c>
      <c r="D521">
        <v>99.9</v>
      </c>
      <c r="E521">
        <v>68.22</v>
      </c>
      <c r="F521">
        <v>21.13</v>
      </c>
      <c r="G521">
        <v>44.578400000000002</v>
      </c>
      <c r="H521">
        <v>1.0329999999999999</v>
      </c>
      <c r="K521">
        <v>21603</v>
      </c>
      <c r="L521" t="s">
        <v>7466</v>
      </c>
      <c r="M521">
        <v>0.3</v>
      </c>
    </row>
    <row r="522" spans="1:13" x14ac:dyDescent="0.25">
      <c r="A522" t="s">
        <v>7467</v>
      </c>
      <c r="B522">
        <v>21601</v>
      </c>
      <c r="C522">
        <v>7899413347115</v>
      </c>
      <c r="D522">
        <v>99.9</v>
      </c>
      <c r="E522">
        <v>67.78</v>
      </c>
      <c r="F522">
        <v>21.19</v>
      </c>
      <c r="G522">
        <v>44.510599999999997</v>
      </c>
      <c r="H522">
        <v>2.367</v>
      </c>
      <c r="K522">
        <v>21601</v>
      </c>
      <c r="L522" t="s">
        <v>7467</v>
      </c>
      <c r="M522">
        <v>0.8</v>
      </c>
    </row>
    <row r="523" spans="1:13" x14ac:dyDescent="0.25">
      <c r="A523" t="s">
        <v>7468</v>
      </c>
      <c r="B523">
        <v>21604</v>
      </c>
      <c r="C523">
        <v>7899413376603</v>
      </c>
      <c r="D523">
        <v>79.900000000000006</v>
      </c>
      <c r="E523">
        <v>72.349999999999994</v>
      </c>
      <c r="F523">
        <v>6.21</v>
      </c>
      <c r="G523">
        <v>47.57</v>
      </c>
      <c r="H523">
        <v>3.3000000000000002E-2</v>
      </c>
      <c r="K523">
        <v>21604</v>
      </c>
      <c r="L523" t="s">
        <v>7468</v>
      </c>
      <c r="M523">
        <v>0</v>
      </c>
    </row>
    <row r="524" spans="1:13" x14ac:dyDescent="0.25">
      <c r="A524" t="s">
        <v>7469</v>
      </c>
      <c r="B524">
        <v>3286</v>
      </c>
      <c r="C524">
        <v>5601989001818</v>
      </c>
      <c r="D524">
        <v>44.9</v>
      </c>
      <c r="E524">
        <v>25.27</v>
      </c>
      <c r="F524">
        <v>28.49</v>
      </c>
      <c r="G524">
        <v>16.7288</v>
      </c>
      <c r="H524">
        <v>2.4670000000000001</v>
      </c>
      <c r="K524">
        <v>3286</v>
      </c>
      <c r="L524" t="s">
        <v>7469</v>
      </c>
      <c r="M524">
        <v>0.93300000000000005</v>
      </c>
    </row>
    <row r="525" spans="1:13" x14ac:dyDescent="0.25">
      <c r="A525" t="s">
        <v>7470</v>
      </c>
      <c r="B525">
        <v>3283</v>
      </c>
      <c r="C525">
        <v>5601989001962</v>
      </c>
      <c r="D525">
        <v>44.9</v>
      </c>
      <c r="E525">
        <v>23.57</v>
      </c>
      <c r="F525">
        <v>29.6</v>
      </c>
      <c r="G525">
        <v>16.230399999999999</v>
      </c>
      <c r="H525">
        <v>0.23300000000000001</v>
      </c>
      <c r="K525">
        <v>3283</v>
      </c>
      <c r="L525" t="s">
        <v>7470</v>
      </c>
      <c r="M525">
        <v>0.1</v>
      </c>
    </row>
    <row r="526" spans="1:13" x14ac:dyDescent="0.25">
      <c r="A526" t="s">
        <v>7471</v>
      </c>
      <c r="B526">
        <v>63605</v>
      </c>
      <c r="C526">
        <v>7798113810793</v>
      </c>
      <c r="D526">
        <v>334.9</v>
      </c>
      <c r="E526">
        <v>250</v>
      </c>
      <c r="F526">
        <v>16.670000000000002</v>
      </c>
      <c r="G526">
        <v>164.37629999999999</v>
      </c>
      <c r="H526">
        <v>0</v>
      </c>
      <c r="K526">
        <v>63605</v>
      </c>
      <c r="L526" t="s">
        <v>7471</v>
      </c>
      <c r="M526">
        <v>0</v>
      </c>
    </row>
    <row r="527" spans="1:13" x14ac:dyDescent="0.25">
      <c r="A527" t="s">
        <v>7472</v>
      </c>
      <c r="B527">
        <v>62966</v>
      </c>
      <c r="C527">
        <v>7896100503830</v>
      </c>
      <c r="D527">
        <v>22.9</v>
      </c>
      <c r="E527">
        <v>22.7</v>
      </c>
      <c r="F527">
        <v>0.56000000000000005</v>
      </c>
      <c r="G527">
        <v>14.9276</v>
      </c>
      <c r="H527">
        <v>0.26700000000000002</v>
      </c>
      <c r="K527">
        <v>62966</v>
      </c>
      <c r="L527" t="s">
        <v>7472</v>
      </c>
      <c r="M527">
        <v>0</v>
      </c>
    </row>
    <row r="528" spans="1:13" x14ac:dyDescent="0.25">
      <c r="A528" t="s">
        <v>7473</v>
      </c>
      <c r="B528">
        <v>62968</v>
      </c>
      <c r="C528">
        <v>7896100503878</v>
      </c>
      <c r="D528">
        <v>22.9</v>
      </c>
      <c r="E528">
        <v>22.7</v>
      </c>
      <c r="F528">
        <v>0.56999999999999995</v>
      </c>
      <c r="G528">
        <v>14.9255</v>
      </c>
      <c r="H528">
        <v>0.2</v>
      </c>
      <c r="K528">
        <v>62968</v>
      </c>
      <c r="L528" t="s">
        <v>7473</v>
      </c>
      <c r="M528">
        <v>0</v>
      </c>
    </row>
    <row r="529" spans="1:13" x14ac:dyDescent="0.25">
      <c r="A529" t="s">
        <v>7474</v>
      </c>
      <c r="B529">
        <v>62965</v>
      </c>
      <c r="C529">
        <v>7896100503823</v>
      </c>
      <c r="D529">
        <v>22.9</v>
      </c>
      <c r="E529">
        <v>22.7</v>
      </c>
      <c r="F529">
        <v>0.56999999999999995</v>
      </c>
      <c r="G529">
        <v>14.926399999999999</v>
      </c>
      <c r="H529">
        <v>0.433</v>
      </c>
      <c r="K529">
        <v>62965</v>
      </c>
      <c r="L529" t="s">
        <v>7474</v>
      </c>
      <c r="M529">
        <v>0</v>
      </c>
    </row>
    <row r="530" spans="1:13" x14ac:dyDescent="0.25">
      <c r="A530" t="s">
        <v>7475</v>
      </c>
      <c r="B530">
        <v>64336</v>
      </c>
      <c r="C530">
        <v>9416917221062</v>
      </c>
      <c r="D530">
        <v>199.9</v>
      </c>
      <c r="E530">
        <v>116.03</v>
      </c>
      <c r="F530">
        <v>28.59</v>
      </c>
      <c r="G530">
        <v>74.274799999999999</v>
      </c>
      <c r="H530">
        <v>0</v>
      </c>
      <c r="K530">
        <v>64336</v>
      </c>
      <c r="L530" t="s">
        <v>7475</v>
      </c>
      <c r="M530">
        <v>0</v>
      </c>
    </row>
    <row r="531" spans="1:13" x14ac:dyDescent="0.25">
      <c r="A531" t="s">
        <v>7476</v>
      </c>
      <c r="B531">
        <v>64335</v>
      </c>
      <c r="C531">
        <v>9416917130869</v>
      </c>
      <c r="D531">
        <v>199.9</v>
      </c>
      <c r="E531">
        <v>115.99</v>
      </c>
      <c r="F531">
        <v>29.52</v>
      </c>
      <c r="G531">
        <v>72.413899999999998</v>
      </c>
      <c r="H531">
        <v>0</v>
      </c>
      <c r="K531">
        <v>64335</v>
      </c>
      <c r="L531" t="s">
        <v>7476</v>
      </c>
      <c r="M531">
        <v>0</v>
      </c>
    </row>
    <row r="532" spans="1:13" x14ac:dyDescent="0.25">
      <c r="A532" t="s">
        <v>7477</v>
      </c>
      <c r="B532">
        <v>58378</v>
      </c>
      <c r="C532">
        <v>8015822000178</v>
      </c>
      <c r="D532">
        <v>299.89999999999998</v>
      </c>
      <c r="E532">
        <v>166.76</v>
      </c>
      <c r="F532">
        <v>29.19</v>
      </c>
      <c r="G532">
        <v>109.64279999999999</v>
      </c>
      <c r="H532">
        <v>0</v>
      </c>
      <c r="K532">
        <v>58378</v>
      </c>
      <c r="L532" t="s">
        <v>7477</v>
      </c>
      <c r="M532">
        <v>0</v>
      </c>
    </row>
    <row r="533" spans="1:13" x14ac:dyDescent="0.25">
      <c r="A533" t="s">
        <v>7478</v>
      </c>
      <c r="B533">
        <v>66995</v>
      </c>
      <c r="C533">
        <v>7898266932141</v>
      </c>
      <c r="D533">
        <v>109.9</v>
      </c>
      <c r="E533">
        <v>69.05</v>
      </c>
      <c r="F533">
        <v>27.04</v>
      </c>
      <c r="G533">
        <v>50.2346</v>
      </c>
      <c r="H533">
        <v>0</v>
      </c>
      <c r="K533">
        <v>66995</v>
      </c>
      <c r="L533" t="s">
        <v>7478</v>
      </c>
      <c r="M533">
        <v>0</v>
      </c>
    </row>
    <row r="534" spans="1:13" x14ac:dyDescent="0.25">
      <c r="A534" t="s">
        <v>7479</v>
      </c>
      <c r="B534">
        <v>66994</v>
      </c>
      <c r="C534">
        <v>7898266931151</v>
      </c>
      <c r="D534">
        <v>109.9</v>
      </c>
      <c r="E534">
        <v>64.989999999999995</v>
      </c>
      <c r="F534">
        <v>29.73</v>
      </c>
      <c r="G534">
        <v>47.278199999999998</v>
      </c>
      <c r="H534">
        <v>0</v>
      </c>
      <c r="K534">
        <v>66994</v>
      </c>
      <c r="L534" t="s">
        <v>7479</v>
      </c>
      <c r="M534">
        <v>0</v>
      </c>
    </row>
    <row r="535" spans="1:13" x14ac:dyDescent="0.25">
      <c r="A535" t="s">
        <v>7480</v>
      </c>
      <c r="B535">
        <v>63070</v>
      </c>
      <c r="C535">
        <v>7898266931526</v>
      </c>
      <c r="D535">
        <v>109.9</v>
      </c>
      <c r="E535">
        <v>69.16</v>
      </c>
      <c r="F535">
        <v>24.24</v>
      </c>
      <c r="G535">
        <v>45.622900000000001</v>
      </c>
      <c r="H535">
        <v>0</v>
      </c>
      <c r="K535">
        <v>63070</v>
      </c>
      <c r="L535" t="s">
        <v>7480</v>
      </c>
      <c r="M535">
        <v>0</v>
      </c>
    </row>
    <row r="536" spans="1:13" x14ac:dyDescent="0.25">
      <c r="A536" t="s">
        <v>7481</v>
      </c>
      <c r="B536">
        <v>62298</v>
      </c>
      <c r="C536">
        <v>5600261524113</v>
      </c>
      <c r="D536">
        <v>48.58</v>
      </c>
      <c r="E536">
        <v>21.96</v>
      </c>
      <c r="F536">
        <v>34.33</v>
      </c>
      <c r="G536">
        <v>15.263999999999999</v>
      </c>
      <c r="H536">
        <v>1.0329999999999999</v>
      </c>
      <c r="K536">
        <v>62298</v>
      </c>
      <c r="L536" t="s">
        <v>7481</v>
      </c>
      <c r="M536">
        <v>0.433</v>
      </c>
    </row>
    <row r="537" spans="1:13" x14ac:dyDescent="0.25">
      <c r="A537" t="s">
        <v>7482</v>
      </c>
      <c r="B537">
        <v>65031</v>
      </c>
      <c r="C537">
        <v>5600791659385</v>
      </c>
      <c r="D537">
        <v>45.15</v>
      </c>
      <c r="E537">
        <v>23.22</v>
      </c>
      <c r="F537">
        <v>31.04</v>
      </c>
      <c r="G537">
        <v>15.673</v>
      </c>
      <c r="H537">
        <v>0.26700000000000002</v>
      </c>
      <c r="K537">
        <v>65031</v>
      </c>
      <c r="L537" t="s">
        <v>7482</v>
      </c>
      <c r="M537">
        <v>0.16700000000000001</v>
      </c>
    </row>
    <row r="538" spans="1:13" x14ac:dyDescent="0.25">
      <c r="A538" t="s">
        <v>7483</v>
      </c>
      <c r="B538">
        <v>65022</v>
      </c>
      <c r="C538">
        <v>5600261624776</v>
      </c>
      <c r="D538">
        <v>69.900000000000006</v>
      </c>
      <c r="E538">
        <v>27.71</v>
      </c>
      <c r="F538">
        <v>38.380000000000003</v>
      </c>
      <c r="G538">
        <v>19.135100000000001</v>
      </c>
      <c r="H538">
        <v>0.13300000000000001</v>
      </c>
      <c r="K538">
        <v>65022</v>
      </c>
      <c r="L538" t="s">
        <v>7483</v>
      </c>
      <c r="M538">
        <v>0.13300000000000001</v>
      </c>
    </row>
    <row r="539" spans="1:13" x14ac:dyDescent="0.25">
      <c r="A539" t="s">
        <v>7484</v>
      </c>
      <c r="B539">
        <v>64873</v>
      </c>
      <c r="C539">
        <v>5600791659705</v>
      </c>
      <c r="D539">
        <v>129.9</v>
      </c>
      <c r="E539">
        <v>40.72</v>
      </c>
      <c r="F539">
        <v>45</v>
      </c>
      <c r="G539">
        <v>26.9574</v>
      </c>
      <c r="H539">
        <v>3.3000000000000002E-2</v>
      </c>
      <c r="K539">
        <v>64873</v>
      </c>
      <c r="L539" t="s">
        <v>7484</v>
      </c>
      <c r="M539">
        <v>3.3000000000000002E-2</v>
      </c>
    </row>
    <row r="540" spans="1:13" x14ac:dyDescent="0.25">
      <c r="A540" t="s">
        <v>7485</v>
      </c>
      <c r="B540">
        <v>62192</v>
      </c>
      <c r="C540">
        <v>8436042850808</v>
      </c>
      <c r="D540">
        <v>40.17</v>
      </c>
      <c r="E540">
        <v>32.89</v>
      </c>
      <c r="F540">
        <v>13.17</v>
      </c>
      <c r="G540">
        <v>21.123100000000001</v>
      </c>
      <c r="H540">
        <v>1.0669999999999999</v>
      </c>
      <c r="K540">
        <v>62192</v>
      </c>
      <c r="L540" t="s">
        <v>7485</v>
      </c>
      <c r="M540">
        <v>0.56699999999999995</v>
      </c>
    </row>
    <row r="541" spans="1:13" x14ac:dyDescent="0.25">
      <c r="A541" t="s">
        <v>7486</v>
      </c>
      <c r="B541">
        <v>21605</v>
      </c>
      <c r="C541">
        <v>7899413373046</v>
      </c>
      <c r="D541">
        <v>229.9</v>
      </c>
      <c r="E541">
        <v>150.34</v>
      </c>
      <c r="F541">
        <v>21.25</v>
      </c>
      <c r="G541">
        <v>102.31529999999999</v>
      </c>
      <c r="H541">
        <v>0.1</v>
      </c>
      <c r="K541">
        <v>21605</v>
      </c>
      <c r="L541" t="s">
        <v>7486</v>
      </c>
      <c r="M541">
        <v>0.1</v>
      </c>
    </row>
    <row r="542" spans="1:13" x14ac:dyDescent="0.25">
      <c r="A542" t="s">
        <v>7487</v>
      </c>
      <c r="B542">
        <v>21606</v>
      </c>
      <c r="C542">
        <v>7899413373077</v>
      </c>
      <c r="D542">
        <v>269.89999999999998</v>
      </c>
      <c r="E542">
        <v>185.7</v>
      </c>
      <c r="F542">
        <v>19.41</v>
      </c>
      <c r="G542">
        <v>125.0814</v>
      </c>
      <c r="H542">
        <v>0</v>
      </c>
      <c r="K542">
        <v>21606</v>
      </c>
      <c r="L542" t="s">
        <v>7487</v>
      </c>
      <c r="M542">
        <v>0</v>
      </c>
    </row>
    <row r="543" spans="1:13" x14ac:dyDescent="0.25">
      <c r="A543" t="s">
        <v>7488</v>
      </c>
      <c r="B543">
        <v>32127</v>
      </c>
      <c r="C543">
        <v>7899413360565</v>
      </c>
      <c r="D543">
        <v>229.9</v>
      </c>
      <c r="E543">
        <v>146.72999999999999</v>
      </c>
      <c r="F543">
        <v>22.28</v>
      </c>
      <c r="G543">
        <v>99.932900000000004</v>
      </c>
      <c r="H543">
        <v>0</v>
      </c>
      <c r="K543">
        <v>32127</v>
      </c>
      <c r="L543" t="s">
        <v>7488</v>
      </c>
      <c r="M543">
        <v>0</v>
      </c>
    </row>
    <row r="544" spans="1:13" x14ac:dyDescent="0.25">
      <c r="A544" t="s">
        <v>7489</v>
      </c>
      <c r="B544">
        <v>63527</v>
      </c>
      <c r="C544">
        <v>1000000001471</v>
      </c>
      <c r="D544" s="1">
        <v>2599.9</v>
      </c>
      <c r="E544" s="1">
        <v>1701.23</v>
      </c>
      <c r="F544">
        <v>22.73</v>
      </c>
      <c r="G544" s="1">
        <v>1118.56</v>
      </c>
      <c r="H544">
        <v>0</v>
      </c>
      <c r="K544">
        <v>63527</v>
      </c>
      <c r="L544" t="s">
        <v>7489</v>
      </c>
      <c r="M544">
        <v>0</v>
      </c>
    </row>
    <row r="545" spans="1:13" x14ac:dyDescent="0.25">
      <c r="A545" t="s">
        <v>7490</v>
      </c>
      <c r="B545">
        <v>27931</v>
      </c>
      <c r="C545">
        <v>7804607440954</v>
      </c>
      <c r="D545" s="1">
        <v>2599.9</v>
      </c>
      <c r="E545" s="1">
        <v>1939.23</v>
      </c>
      <c r="F545">
        <v>16.21</v>
      </c>
      <c r="G545" s="1">
        <v>1288.1167</v>
      </c>
      <c r="H545">
        <v>0</v>
      </c>
      <c r="K545">
        <v>27931</v>
      </c>
      <c r="L545" t="s">
        <v>7490</v>
      </c>
      <c r="M545">
        <v>0</v>
      </c>
    </row>
    <row r="546" spans="1:13" x14ac:dyDescent="0.25">
      <c r="A546" t="s">
        <v>7491</v>
      </c>
      <c r="B546">
        <v>63522</v>
      </c>
      <c r="C546">
        <v>1000000001433</v>
      </c>
      <c r="D546" s="1">
        <v>2599.9</v>
      </c>
      <c r="E546" s="1">
        <v>1719.69</v>
      </c>
      <c r="F546">
        <v>22.23</v>
      </c>
      <c r="G546" s="1">
        <v>1131.4680000000001</v>
      </c>
      <c r="H546">
        <v>0</v>
      </c>
      <c r="K546">
        <v>63522</v>
      </c>
      <c r="L546" t="s">
        <v>7491</v>
      </c>
      <c r="M546">
        <v>0</v>
      </c>
    </row>
    <row r="547" spans="1:13" x14ac:dyDescent="0.25">
      <c r="A547" t="s">
        <v>7492</v>
      </c>
      <c r="B547">
        <v>63523</v>
      </c>
      <c r="C547">
        <v>1000000001440</v>
      </c>
      <c r="D547" s="1">
        <v>2599.9</v>
      </c>
      <c r="E547" s="1">
        <v>1717.01</v>
      </c>
      <c r="F547">
        <v>22.49</v>
      </c>
      <c r="G547" s="1">
        <v>1124.7840000000001</v>
      </c>
      <c r="H547">
        <v>0</v>
      </c>
      <c r="K547">
        <v>63523</v>
      </c>
      <c r="L547" t="s">
        <v>7492</v>
      </c>
      <c r="M547">
        <v>0</v>
      </c>
    </row>
    <row r="548" spans="1:13" x14ac:dyDescent="0.25">
      <c r="A548" t="s">
        <v>7493</v>
      </c>
      <c r="B548">
        <v>63524</v>
      </c>
      <c r="C548">
        <v>1000000001457</v>
      </c>
      <c r="D548" s="1">
        <v>2599.9</v>
      </c>
      <c r="E548" s="1">
        <v>1524</v>
      </c>
      <c r="F548">
        <v>27.21</v>
      </c>
      <c r="G548" s="1">
        <v>1002.03</v>
      </c>
      <c r="H548">
        <v>0</v>
      </c>
      <c r="K548">
        <v>63524</v>
      </c>
      <c r="L548" t="s">
        <v>7493</v>
      </c>
      <c r="M548">
        <v>0</v>
      </c>
    </row>
    <row r="549" spans="1:13" x14ac:dyDescent="0.25">
      <c r="A549" t="s">
        <v>7494</v>
      </c>
      <c r="B549">
        <v>63814</v>
      </c>
      <c r="C549">
        <v>8436014670359</v>
      </c>
      <c r="D549">
        <v>99.9</v>
      </c>
      <c r="E549">
        <v>38.28</v>
      </c>
      <c r="F549">
        <v>40.549999999999997</v>
      </c>
      <c r="G549">
        <v>25.170500000000001</v>
      </c>
      <c r="H549">
        <v>0.1</v>
      </c>
      <c r="K549">
        <v>63814</v>
      </c>
      <c r="L549" t="s">
        <v>7494</v>
      </c>
      <c r="M549">
        <v>0</v>
      </c>
    </row>
    <row r="550" spans="1:13" x14ac:dyDescent="0.25">
      <c r="A550" t="s">
        <v>7495</v>
      </c>
      <c r="B550">
        <v>63813</v>
      </c>
      <c r="C550">
        <v>8436014670618</v>
      </c>
      <c r="D550">
        <v>169.9</v>
      </c>
      <c r="E550">
        <v>55.04</v>
      </c>
      <c r="F550">
        <v>44.45</v>
      </c>
      <c r="G550">
        <v>36.1892</v>
      </c>
      <c r="H550">
        <v>0</v>
      </c>
      <c r="K550">
        <v>63813</v>
      </c>
      <c r="L550" t="s">
        <v>7495</v>
      </c>
      <c r="M550">
        <v>0</v>
      </c>
    </row>
    <row r="551" spans="1:13" x14ac:dyDescent="0.25">
      <c r="A551" t="s">
        <v>7496</v>
      </c>
      <c r="B551">
        <v>63815</v>
      </c>
      <c r="C551">
        <v>8436014670670</v>
      </c>
      <c r="D551">
        <v>59.9</v>
      </c>
      <c r="E551">
        <v>26.75</v>
      </c>
      <c r="F551">
        <v>36.380000000000003</v>
      </c>
      <c r="G551">
        <v>17.590199999999999</v>
      </c>
      <c r="H551">
        <v>0</v>
      </c>
      <c r="K551">
        <v>63815</v>
      </c>
      <c r="L551" t="s">
        <v>7496</v>
      </c>
      <c r="M551">
        <v>0</v>
      </c>
    </row>
    <row r="552" spans="1:13" x14ac:dyDescent="0.25">
      <c r="A552" t="s">
        <v>7497</v>
      </c>
      <c r="B552">
        <v>30010</v>
      </c>
      <c r="C552">
        <v>7790975017020</v>
      </c>
      <c r="D552">
        <v>79.900000000000006</v>
      </c>
      <c r="E552">
        <v>44.41</v>
      </c>
      <c r="F552">
        <v>29.38</v>
      </c>
      <c r="G552">
        <v>29.059799999999999</v>
      </c>
      <c r="H552">
        <v>0</v>
      </c>
      <c r="K552">
        <v>30010</v>
      </c>
      <c r="L552" t="s">
        <v>7497</v>
      </c>
      <c r="M552">
        <v>0</v>
      </c>
    </row>
    <row r="553" spans="1:13" x14ac:dyDescent="0.25">
      <c r="A553" t="s">
        <v>7498</v>
      </c>
      <c r="B553">
        <v>30009</v>
      </c>
      <c r="C553">
        <v>7790975017013</v>
      </c>
      <c r="D553">
        <v>79.900000000000006</v>
      </c>
      <c r="E553">
        <v>44.41</v>
      </c>
      <c r="F553">
        <v>29.52</v>
      </c>
      <c r="G553">
        <v>28.947700000000001</v>
      </c>
      <c r="H553">
        <v>0</v>
      </c>
      <c r="K553">
        <v>30009</v>
      </c>
      <c r="L553" t="s">
        <v>7498</v>
      </c>
      <c r="M553">
        <v>0</v>
      </c>
    </row>
    <row r="554" spans="1:13" x14ac:dyDescent="0.25">
      <c r="A554" t="s">
        <v>7499</v>
      </c>
      <c r="B554">
        <v>55038</v>
      </c>
      <c r="C554">
        <v>7798051950872</v>
      </c>
      <c r="D554">
        <v>119.9</v>
      </c>
      <c r="E554">
        <v>61.79</v>
      </c>
      <c r="F554">
        <v>31.87</v>
      </c>
      <c r="G554">
        <v>40.6265</v>
      </c>
      <c r="H554">
        <v>3.3000000000000002E-2</v>
      </c>
      <c r="K554">
        <v>55038</v>
      </c>
      <c r="L554" t="s">
        <v>7499</v>
      </c>
      <c r="M554">
        <v>3.3000000000000002E-2</v>
      </c>
    </row>
    <row r="555" spans="1:13" x14ac:dyDescent="0.25">
      <c r="A555" t="s">
        <v>7500</v>
      </c>
      <c r="B555">
        <v>67402</v>
      </c>
      <c r="C555">
        <v>7798051951121</v>
      </c>
      <c r="D555">
        <v>79.900000000000006</v>
      </c>
      <c r="E555">
        <v>50.54</v>
      </c>
      <c r="F555">
        <v>23.38</v>
      </c>
      <c r="G555">
        <v>33.853200000000001</v>
      </c>
      <c r="H555">
        <v>0.1</v>
      </c>
      <c r="K555">
        <v>67402</v>
      </c>
      <c r="L555" t="s">
        <v>7500</v>
      </c>
      <c r="M555">
        <v>0.1</v>
      </c>
    </row>
    <row r="556" spans="1:13" x14ac:dyDescent="0.25">
      <c r="A556" t="s">
        <v>7501</v>
      </c>
      <c r="B556">
        <v>55037</v>
      </c>
      <c r="C556">
        <v>7798051950032</v>
      </c>
      <c r="D556">
        <v>99.9</v>
      </c>
      <c r="E556">
        <v>67.58</v>
      </c>
      <c r="F556">
        <v>21.27</v>
      </c>
      <c r="G556">
        <v>44.435699999999997</v>
      </c>
      <c r="H556">
        <v>0</v>
      </c>
      <c r="K556">
        <v>55037</v>
      </c>
      <c r="L556" t="s">
        <v>7501</v>
      </c>
      <c r="M556">
        <v>0</v>
      </c>
    </row>
    <row r="557" spans="1:13" x14ac:dyDescent="0.25">
      <c r="A557" t="s">
        <v>7502</v>
      </c>
      <c r="B557">
        <v>69703</v>
      </c>
      <c r="C557">
        <v>8004645402108</v>
      </c>
      <c r="D557">
        <v>899.9</v>
      </c>
      <c r="E557">
        <v>565.48</v>
      </c>
      <c r="F557">
        <v>24.43</v>
      </c>
      <c r="G557">
        <v>371.80200000000002</v>
      </c>
      <c r="H557">
        <v>0</v>
      </c>
      <c r="K557">
        <v>69703</v>
      </c>
      <c r="L557" t="s">
        <v>7502</v>
      </c>
      <c r="M557">
        <v>0</v>
      </c>
    </row>
    <row r="558" spans="1:13" x14ac:dyDescent="0.25">
      <c r="A558" t="s">
        <v>7503</v>
      </c>
      <c r="B558">
        <v>29003</v>
      </c>
      <c r="C558">
        <v>8008326146152</v>
      </c>
      <c r="D558">
        <v>799.9</v>
      </c>
      <c r="E558">
        <v>504.52</v>
      </c>
      <c r="F558">
        <v>24.28</v>
      </c>
      <c r="G558">
        <v>331.72390000000001</v>
      </c>
      <c r="H558">
        <v>0</v>
      </c>
      <c r="K558">
        <v>29003</v>
      </c>
      <c r="L558" t="s">
        <v>7503</v>
      </c>
      <c r="M558">
        <v>0</v>
      </c>
    </row>
    <row r="559" spans="1:13" x14ac:dyDescent="0.25">
      <c r="A559" t="s">
        <v>7504</v>
      </c>
      <c r="B559">
        <v>68023</v>
      </c>
      <c r="C559">
        <v>7798304611901</v>
      </c>
      <c r="D559">
        <v>39.9</v>
      </c>
      <c r="E559">
        <v>16.739999999999998</v>
      </c>
      <c r="F559">
        <v>38.159999999999997</v>
      </c>
      <c r="G559">
        <v>11.0084</v>
      </c>
      <c r="H559">
        <v>1.0329999999999999</v>
      </c>
      <c r="K559">
        <v>68023</v>
      </c>
      <c r="L559" t="s">
        <v>7504</v>
      </c>
      <c r="M559">
        <v>0.23300000000000001</v>
      </c>
    </row>
    <row r="560" spans="1:13" x14ac:dyDescent="0.25">
      <c r="A560" t="s">
        <v>7505</v>
      </c>
      <c r="B560">
        <v>68024</v>
      </c>
      <c r="C560">
        <v>7798304610065</v>
      </c>
      <c r="D560">
        <v>39.9</v>
      </c>
      <c r="E560">
        <v>16.739999999999998</v>
      </c>
      <c r="F560">
        <v>38.159999999999997</v>
      </c>
      <c r="G560">
        <v>11.0076</v>
      </c>
      <c r="H560">
        <v>0.76700000000000002</v>
      </c>
      <c r="K560">
        <v>68024</v>
      </c>
      <c r="L560" t="s">
        <v>7505</v>
      </c>
      <c r="M560">
        <v>6.7000000000000004E-2</v>
      </c>
    </row>
    <row r="561" spans="1:13" x14ac:dyDescent="0.25">
      <c r="A561" t="s">
        <v>7506</v>
      </c>
      <c r="B561">
        <v>68025</v>
      </c>
      <c r="C561">
        <v>7798304610010</v>
      </c>
      <c r="D561">
        <v>39.9</v>
      </c>
      <c r="E561">
        <v>16.739999999999998</v>
      </c>
      <c r="F561">
        <v>38.159999999999997</v>
      </c>
      <c r="G561">
        <v>11.0076</v>
      </c>
      <c r="H561">
        <v>1.2669999999999999</v>
      </c>
      <c r="K561">
        <v>68025</v>
      </c>
      <c r="L561" t="s">
        <v>7506</v>
      </c>
      <c r="M561">
        <v>8.3000000000000004E-2</v>
      </c>
    </row>
    <row r="562" spans="1:13" x14ac:dyDescent="0.25">
      <c r="A562" t="s">
        <v>7507</v>
      </c>
      <c r="B562">
        <v>68026</v>
      </c>
      <c r="C562">
        <v>7798304611642</v>
      </c>
      <c r="D562">
        <v>49.9</v>
      </c>
      <c r="E562">
        <v>14.02</v>
      </c>
      <c r="F562">
        <v>47.28</v>
      </c>
      <c r="G562">
        <v>9.2165999999999997</v>
      </c>
      <c r="H562">
        <v>0.76700000000000002</v>
      </c>
      <c r="K562">
        <v>68026</v>
      </c>
      <c r="L562" t="s">
        <v>7507</v>
      </c>
      <c r="M562">
        <v>3.3000000000000002E-2</v>
      </c>
    </row>
    <row r="563" spans="1:13" x14ac:dyDescent="0.25">
      <c r="A563" t="s">
        <v>7508</v>
      </c>
      <c r="B563">
        <v>68032</v>
      </c>
      <c r="C563">
        <v>7798304611765</v>
      </c>
      <c r="D563">
        <v>59.9</v>
      </c>
      <c r="E563">
        <v>24.44</v>
      </c>
      <c r="F563">
        <v>38.92</v>
      </c>
      <c r="G563">
        <v>16.069099999999999</v>
      </c>
      <c r="H563">
        <v>0.5</v>
      </c>
      <c r="K563">
        <v>68032</v>
      </c>
      <c r="L563" t="s">
        <v>7508</v>
      </c>
      <c r="M563">
        <v>0.1</v>
      </c>
    </row>
    <row r="564" spans="1:13" x14ac:dyDescent="0.25">
      <c r="A564" t="s">
        <v>7509</v>
      </c>
      <c r="B564">
        <v>68033</v>
      </c>
      <c r="C564">
        <v>7798304611758</v>
      </c>
      <c r="D564">
        <v>59.9</v>
      </c>
      <c r="E564">
        <v>24.44</v>
      </c>
      <c r="F564">
        <v>38.92</v>
      </c>
      <c r="G564">
        <v>16.070399999999999</v>
      </c>
      <c r="H564">
        <v>1.0329999999999999</v>
      </c>
      <c r="K564">
        <v>68033</v>
      </c>
      <c r="L564" t="s">
        <v>7509</v>
      </c>
      <c r="M564">
        <v>0.433</v>
      </c>
    </row>
    <row r="565" spans="1:13" x14ac:dyDescent="0.25">
      <c r="A565" t="s">
        <v>7510</v>
      </c>
      <c r="B565">
        <v>68022</v>
      </c>
      <c r="C565">
        <v>7798304611772</v>
      </c>
      <c r="D565">
        <v>59.9</v>
      </c>
      <c r="E565">
        <v>24.44</v>
      </c>
      <c r="F565">
        <v>38.92</v>
      </c>
      <c r="G565">
        <v>16.0702</v>
      </c>
      <c r="H565">
        <v>0.6</v>
      </c>
      <c r="K565">
        <v>68022</v>
      </c>
      <c r="L565" t="s">
        <v>7510</v>
      </c>
      <c r="M565">
        <v>0.5</v>
      </c>
    </row>
    <row r="566" spans="1:13" x14ac:dyDescent="0.25">
      <c r="A566" t="s">
        <v>7511</v>
      </c>
      <c r="B566">
        <v>68034</v>
      </c>
      <c r="C566">
        <v>7798304611741</v>
      </c>
      <c r="D566">
        <v>59.9</v>
      </c>
      <c r="E566">
        <v>24.44</v>
      </c>
      <c r="F566">
        <v>38.92</v>
      </c>
      <c r="G566">
        <v>16.0688</v>
      </c>
      <c r="H566">
        <v>1</v>
      </c>
      <c r="K566">
        <v>68034</v>
      </c>
      <c r="L566" t="s">
        <v>7511</v>
      </c>
      <c r="M566">
        <v>0.36699999999999999</v>
      </c>
    </row>
    <row r="567" spans="1:13" x14ac:dyDescent="0.25">
      <c r="A567" t="s">
        <v>7512</v>
      </c>
      <c r="B567">
        <v>68020</v>
      </c>
      <c r="C567">
        <v>7798304610041</v>
      </c>
      <c r="D567">
        <v>39.9</v>
      </c>
      <c r="E567">
        <v>16.739999999999998</v>
      </c>
      <c r="F567">
        <v>38.159999999999997</v>
      </c>
      <c r="G567">
        <v>11.0075</v>
      </c>
      <c r="H567">
        <v>0.23300000000000001</v>
      </c>
      <c r="K567">
        <v>68020</v>
      </c>
      <c r="L567" t="s">
        <v>7512</v>
      </c>
      <c r="M567">
        <v>0.433</v>
      </c>
    </row>
    <row r="568" spans="1:13" x14ac:dyDescent="0.25">
      <c r="A568" t="s">
        <v>7513</v>
      </c>
      <c r="B568">
        <v>68021</v>
      </c>
      <c r="C568">
        <v>7798304611659</v>
      </c>
      <c r="D568">
        <v>39.9</v>
      </c>
      <c r="E568">
        <v>14.02</v>
      </c>
      <c r="F568">
        <v>42.65</v>
      </c>
      <c r="G568">
        <v>9.2162000000000006</v>
      </c>
      <c r="H568">
        <v>0.6</v>
      </c>
      <c r="K568">
        <v>68021</v>
      </c>
      <c r="L568" t="s">
        <v>7513</v>
      </c>
      <c r="M568">
        <v>0.16700000000000001</v>
      </c>
    </row>
    <row r="569" spans="1:13" x14ac:dyDescent="0.25">
      <c r="A569" t="s">
        <v>7514</v>
      </c>
      <c r="B569">
        <v>21667</v>
      </c>
      <c r="C569">
        <v>7899413349164</v>
      </c>
      <c r="D569">
        <v>199.9</v>
      </c>
      <c r="E569">
        <v>180.69</v>
      </c>
      <c r="F569">
        <v>6.32</v>
      </c>
      <c r="G569">
        <v>118.8018</v>
      </c>
      <c r="H569">
        <v>0</v>
      </c>
      <c r="K569">
        <v>21667</v>
      </c>
      <c r="L569" t="s">
        <v>7514</v>
      </c>
      <c r="M569">
        <v>0</v>
      </c>
    </row>
    <row r="570" spans="1:13" x14ac:dyDescent="0.25">
      <c r="A570" t="s">
        <v>7515</v>
      </c>
      <c r="B570">
        <v>62289</v>
      </c>
      <c r="C570">
        <v>5604882810105</v>
      </c>
      <c r="D570">
        <v>59.9</v>
      </c>
      <c r="E570">
        <v>46.2</v>
      </c>
      <c r="F570">
        <v>12.02</v>
      </c>
      <c r="G570">
        <v>32.185899999999997</v>
      </c>
      <c r="H570">
        <v>3.4670000000000001</v>
      </c>
      <c r="K570">
        <v>62289</v>
      </c>
      <c r="L570" t="s">
        <v>7515</v>
      </c>
      <c r="M570">
        <v>0.46700000000000003</v>
      </c>
    </row>
    <row r="571" spans="1:13" x14ac:dyDescent="0.25">
      <c r="A571" t="s">
        <v>7516</v>
      </c>
      <c r="B571">
        <v>62186</v>
      </c>
      <c r="C571">
        <v>3700619331942</v>
      </c>
      <c r="D571">
        <v>109.9</v>
      </c>
      <c r="E571">
        <v>61.65</v>
      </c>
      <c r="F571">
        <v>28.87</v>
      </c>
      <c r="G571">
        <v>40.5334</v>
      </c>
      <c r="H571">
        <v>3.3000000000000002E-2</v>
      </c>
      <c r="K571">
        <v>62186</v>
      </c>
      <c r="L571" t="s">
        <v>7516</v>
      </c>
      <c r="M571">
        <v>3.3000000000000002E-2</v>
      </c>
    </row>
    <row r="572" spans="1:13" x14ac:dyDescent="0.25">
      <c r="A572" t="s">
        <v>7517</v>
      </c>
      <c r="B572">
        <v>62185</v>
      </c>
      <c r="C572">
        <v>3700619308920</v>
      </c>
      <c r="D572">
        <v>109.9</v>
      </c>
      <c r="E572">
        <v>60.61</v>
      </c>
      <c r="F572">
        <v>29.49</v>
      </c>
      <c r="G572">
        <v>39.851900000000001</v>
      </c>
      <c r="H572">
        <v>0</v>
      </c>
      <c r="K572">
        <v>62185</v>
      </c>
      <c r="L572" t="s">
        <v>7517</v>
      </c>
      <c r="M572">
        <v>0</v>
      </c>
    </row>
    <row r="573" spans="1:13" x14ac:dyDescent="0.25">
      <c r="A573" t="s">
        <v>7518</v>
      </c>
      <c r="B573">
        <v>67592</v>
      </c>
      <c r="C573">
        <v>7798116660258</v>
      </c>
      <c r="D573">
        <v>59.9</v>
      </c>
      <c r="E573">
        <v>59.45</v>
      </c>
      <c r="F573">
        <v>-1.29</v>
      </c>
      <c r="G573">
        <v>40.156199999999998</v>
      </c>
      <c r="H573">
        <v>0.66700000000000004</v>
      </c>
      <c r="K573">
        <v>67592</v>
      </c>
      <c r="L573" t="s">
        <v>7518</v>
      </c>
      <c r="M573">
        <v>0</v>
      </c>
    </row>
    <row r="574" spans="1:13" x14ac:dyDescent="0.25">
      <c r="A574" t="s">
        <v>7519</v>
      </c>
      <c r="B574">
        <v>67593</v>
      </c>
      <c r="C574">
        <v>7798116660371</v>
      </c>
      <c r="D574">
        <v>59.9</v>
      </c>
      <c r="E574">
        <v>58.82</v>
      </c>
      <c r="F574">
        <v>1.18</v>
      </c>
      <c r="G574">
        <v>38.676699999999997</v>
      </c>
      <c r="H574">
        <v>0.16700000000000001</v>
      </c>
      <c r="K574">
        <v>67593</v>
      </c>
      <c r="L574" t="s">
        <v>7519</v>
      </c>
      <c r="M574">
        <v>0.1</v>
      </c>
    </row>
    <row r="575" spans="1:13" x14ac:dyDescent="0.25">
      <c r="A575" t="s">
        <v>7520</v>
      </c>
      <c r="B575">
        <v>67594</v>
      </c>
      <c r="C575">
        <v>7798116660418</v>
      </c>
      <c r="D575">
        <v>59.9</v>
      </c>
      <c r="E575">
        <v>60.03</v>
      </c>
      <c r="F575">
        <v>-1.72</v>
      </c>
      <c r="G575">
        <v>40.415300000000002</v>
      </c>
      <c r="H575">
        <v>0.36699999999999999</v>
      </c>
      <c r="K575">
        <v>67594</v>
      </c>
      <c r="L575" t="s">
        <v>7520</v>
      </c>
      <c r="M575">
        <v>0</v>
      </c>
    </row>
    <row r="576" spans="1:13" x14ac:dyDescent="0.25">
      <c r="A576" t="s">
        <v>7521</v>
      </c>
      <c r="B576">
        <v>21621</v>
      </c>
      <c r="C576">
        <v>7899413336140</v>
      </c>
      <c r="D576">
        <v>329.9</v>
      </c>
      <c r="E576">
        <v>220.71</v>
      </c>
      <c r="F576">
        <v>21.76</v>
      </c>
      <c r="G576">
        <v>145.1172</v>
      </c>
      <c r="H576">
        <v>6.7000000000000004E-2</v>
      </c>
      <c r="K576">
        <v>21621</v>
      </c>
      <c r="L576" t="s">
        <v>7521</v>
      </c>
      <c r="M576">
        <v>6.7000000000000004E-2</v>
      </c>
    </row>
    <row r="577" spans="1:13" x14ac:dyDescent="0.25">
      <c r="A577" t="s">
        <v>7522</v>
      </c>
      <c r="B577">
        <v>21609</v>
      </c>
      <c r="C577">
        <v>7899413336126</v>
      </c>
      <c r="D577">
        <v>469.9</v>
      </c>
      <c r="E577">
        <v>307.69</v>
      </c>
      <c r="F577">
        <v>22.7</v>
      </c>
      <c r="G577">
        <v>202.30510000000001</v>
      </c>
      <c r="H577">
        <v>0</v>
      </c>
      <c r="K577">
        <v>21609</v>
      </c>
      <c r="L577" t="s">
        <v>7522</v>
      </c>
      <c r="M577">
        <v>0</v>
      </c>
    </row>
    <row r="578" spans="1:13" x14ac:dyDescent="0.25">
      <c r="A578" t="s">
        <v>7523</v>
      </c>
      <c r="B578">
        <v>59063</v>
      </c>
      <c r="C578">
        <v>4023131066758</v>
      </c>
      <c r="D578">
        <v>99.9</v>
      </c>
      <c r="E578">
        <v>92</v>
      </c>
      <c r="F578">
        <v>5</v>
      </c>
      <c r="G578">
        <v>60.686399999999999</v>
      </c>
      <c r="H578">
        <v>0.2</v>
      </c>
      <c r="K578">
        <v>59063</v>
      </c>
      <c r="L578" t="s">
        <v>7523</v>
      </c>
      <c r="M578">
        <v>0</v>
      </c>
    </row>
    <row r="579" spans="1:13" x14ac:dyDescent="0.25">
      <c r="A579" t="s">
        <v>7524</v>
      </c>
      <c r="B579">
        <v>59055</v>
      </c>
      <c r="C579">
        <v>4023131028756</v>
      </c>
      <c r="D579">
        <v>229.9</v>
      </c>
      <c r="E579">
        <v>110.03</v>
      </c>
      <c r="F579">
        <v>34.28</v>
      </c>
      <c r="G579">
        <v>72.344999999999999</v>
      </c>
      <c r="H579">
        <v>0</v>
      </c>
      <c r="K579">
        <v>59055</v>
      </c>
      <c r="L579" t="s">
        <v>7524</v>
      </c>
      <c r="M579">
        <v>0</v>
      </c>
    </row>
    <row r="580" spans="1:13" x14ac:dyDescent="0.25">
      <c r="A580" t="s">
        <v>7525</v>
      </c>
      <c r="B580">
        <v>58875</v>
      </c>
      <c r="C580">
        <v>4023131675752</v>
      </c>
      <c r="D580">
        <v>189.9</v>
      </c>
      <c r="E580">
        <v>89.01</v>
      </c>
      <c r="F580">
        <v>34.65</v>
      </c>
      <c r="G580">
        <v>59.067700000000002</v>
      </c>
      <c r="H580">
        <v>0</v>
      </c>
      <c r="K580">
        <v>58875</v>
      </c>
      <c r="L580" t="s">
        <v>7525</v>
      </c>
      <c r="M580">
        <v>0</v>
      </c>
    </row>
    <row r="581" spans="1:13" x14ac:dyDescent="0.25">
      <c r="A581" t="s">
        <v>7526</v>
      </c>
      <c r="B581">
        <v>59054</v>
      </c>
      <c r="C581">
        <v>4023131058753</v>
      </c>
      <c r="D581">
        <v>189.9</v>
      </c>
      <c r="E581">
        <v>113.27</v>
      </c>
      <c r="F581">
        <v>25.48</v>
      </c>
      <c r="G581">
        <v>76.481999999999999</v>
      </c>
      <c r="H581">
        <v>0</v>
      </c>
      <c r="K581">
        <v>59054</v>
      </c>
      <c r="L581" t="s">
        <v>7526</v>
      </c>
      <c r="M581">
        <v>0</v>
      </c>
    </row>
    <row r="582" spans="1:13" x14ac:dyDescent="0.25">
      <c r="A582" t="s">
        <v>7527</v>
      </c>
      <c r="B582">
        <v>59056</v>
      </c>
      <c r="C582">
        <v>4023131029753</v>
      </c>
      <c r="D582">
        <v>229.9</v>
      </c>
      <c r="E582">
        <v>114.82</v>
      </c>
      <c r="F582">
        <v>31.98</v>
      </c>
      <c r="G582">
        <v>77.630499999999998</v>
      </c>
      <c r="H582">
        <v>0</v>
      </c>
      <c r="K582">
        <v>59056</v>
      </c>
      <c r="L582" t="s">
        <v>7527</v>
      </c>
      <c r="M582">
        <v>0</v>
      </c>
    </row>
    <row r="583" spans="1:13" x14ac:dyDescent="0.25">
      <c r="A583" t="s">
        <v>7528</v>
      </c>
      <c r="B583">
        <v>59066</v>
      </c>
      <c r="C583">
        <v>4023131475758</v>
      </c>
      <c r="D583">
        <v>189.9</v>
      </c>
      <c r="E583">
        <v>90.11</v>
      </c>
      <c r="F583">
        <v>34.979999999999997</v>
      </c>
      <c r="G583">
        <v>58.433199999999999</v>
      </c>
      <c r="H583">
        <v>0</v>
      </c>
      <c r="K583">
        <v>59066</v>
      </c>
      <c r="L583" t="s">
        <v>7528</v>
      </c>
      <c r="M583">
        <v>0</v>
      </c>
    </row>
    <row r="584" spans="1:13" x14ac:dyDescent="0.25">
      <c r="A584" t="s">
        <v>7529</v>
      </c>
      <c r="B584">
        <v>58490</v>
      </c>
      <c r="C584">
        <v>1000000000450</v>
      </c>
      <c r="D584" s="1">
        <v>4999.8999999999996</v>
      </c>
      <c r="E584" s="1">
        <v>2522.48</v>
      </c>
      <c r="F584">
        <v>32.58</v>
      </c>
      <c r="G584" s="1">
        <v>1658.5309999999999</v>
      </c>
      <c r="H584">
        <v>0</v>
      </c>
      <c r="K584">
        <v>58490</v>
      </c>
      <c r="L584" t="s">
        <v>7529</v>
      </c>
      <c r="M584">
        <v>0</v>
      </c>
    </row>
    <row r="585" spans="1:13" x14ac:dyDescent="0.25">
      <c r="A585" t="s">
        <v>7530</v>
      </c>
      <c r="B585">
        <v>67946</v>
      </c>
      <c r="C585">
        <v>7804407003366</v>
      </c>
      <c r="D585">
        <v>129.9</v>
      </c>
      <c r="E585">
        <v>90.1</v>
      </c>
      <c r="F585">
        <v>20.64</v>
      </c>
      <c r="G585">
        <v>58.5989</v>
      </c>
      <c r="H585">
        <v>0.2</v>
      </c>
      <c r="K585">
        <v>67946</v>
      </c>
      <c r="L585" t="s">
        <v>7530</v>
      </c>
      <c r="M585">
        <v>0.16700000000000001</v>
      </c>
    </row>
    <row r="586" spans="1:13" x14ac:dyDescent="0.25">
      <c r="A586" t="s">
        <v>7531</v>
      </c>
      <c r="B586">
        <v>67947</v>
      </c>
      <c r="C586">
        <v>7804407001096</v>
      </c>
      <c r="D586">
        <v>129.9</v>
      </c>
      <c r="E586">
        <v>90.17</v>
      </c>
      <c r="F586">
        <v>20.97</v>
      </c>
      <c r="G586">
        <v>58.164200000000001</v>
      </c>
      <c r="H586">
        <v>0.13300000000000001</v>
      </c>
      <c r="K586">
        <v>67947</v>
      </c>
      <c r="L586" t="s">
        <v>7531</v>
      </c>
      <c r="M586">
        <v>0.13300000000000001</v>
      </c>
    </row>
    <row r="587" spans="1:13" x14ac:dyDescent="0.25">
      <c r="A587" t="s">
        <v>7532</v>
      </c>
      <c r="B587">
        <v>67945</v>
      </c>
      <c r="C587">
        <v>7804407001102</v>
      </c>
      <c r="D587">
        <v>129.9</v>
      </c>
      <c r="E587">
        <v>90.41</v>
      </c>
      <c r="F587">
        <v>20.85</v>
      </c>
      <c r="G587">
        <v>58.329000000000001</v>
      </c>
      <c r="H587">
        <v>6.7000000000000004E-2</v>
      </c>
      <c r="K587">
        <v>67945</v>
      </c>
      <c r="L587" t="s">
        <v>7532</v>
      </c>
      <c r="M587">
        <v>6.7000000000000004E-2</v>
      </c>
    </row>
    <row r="588" spans="1:13" x14ac:dyDescent="0.25">
      <c r="A588" t="s">
        <v>7533</v>
      </c>
      <c r="B588">
        <v>67438</v>
      </c>
      <c r="C588">
        <v>7896196072333</v>
      </c>
      <c r="D588">
        <v>399.9</v>
      </c>
      <c r="E588">
        <v>274.72000000000003</v>
      </c>
      <c r="F588">
        <v>20.58</v>
      </c>
      <c r="G588">
        <v>180.6284</v>
      </c>
      <c r="H588">
        <v>0</v>
      </c>
      <c r="K588">
        <v>67438</v>
      </c>
      <c r="L588" t="s">
        <v>7533</v>
      </c>
      <c r="M588">
        <v>0</v>
      </c>
    </row>
    <row r="589" spans="1:13" x14ac:dyDescent="0.25">
      <c r="A589" t="s">
        <v>7534</v>
      </c>
      <c r="B589">
        <v>67439</v>
      </c>
      <c r="C589">
        <v>7804304105422</v>
      </c>
      <c r="D589">
        <v>169.9</v>
      </c>
      <c r="E589">
        <v>120</v>
      </c>
      <c r="F589">
        <v>19.309999999999999</v>
      </c>
      <c r="G589">
        <v>78.900400000000005</v>
      </c>
      <c r="H589">
        <v>0</v>
      </c>
      <c r="K589">
        <v>67439</v>
      </c>
      <c r="L589" t="s">
        <v>7534</v>
      </c>
      <c r="M589">
        <v>0</v>
      </c>
    </row>
    <row r="590" spans="1:13" x14ac:dyDescent="0.25">
      <c r="A590" t="s">
        <v>7535</v>
      </c>
      <c r="B590">
        <v>55040</v>
      </c>
      <c r="C590">
        <v>7896196069012</v>
      </c>
      <c r="D590">
        <v>169.9</v>
      </c>
      <c r="E590">
        <v>119.31</v>
      </c>
      <c r="F590">
        <v>19.579999999999998</v>
      </c>
      <c r="G590">
        <v>78.442999999999998</v>
      </c>
      <c r="H590">
        <v>0</v>
      </c>
      <c r="K590">
        <v>55040</v>
      </c>
      <c r="L590" t="s">
        <v>7535</v>
      </c>
      <c r="M590">
        <v>0</v>
      </c>
    </row>
    <row r="591" spans="1:13" x14ac:dyDescent="0.25">
      <c r="A591" t="s">
        <v>7536</v>
      </c>
      <c r="B591">
        <v>55041</v>
      </c>
      <c r="C591">
        <v>7804304105590</v>
      </c>
      <c r="D591">
        <v>169.9</v>
      </c>
      <c r="E591">
        <v>120</v>
      </c>
      <c r="F591">
        <v>19.309999999999999</v>
      </c>
      <c r="G591">
        <v>78.900599999999997</v>
      </c>
      <c r="H591">
        <v>0</v>
      </c>
      <c r="K591">
        <v>55041</v>
      </c>
      <c r="L591" t="s">
        <v>7536</v>
      </c>
      <c r="M591">
        <v>0</v>
      </c>
    </row>
    <row r="592" spans="1:13" x14ac:dyDescent="0.25">
      <c r="A592" t="s">
        <v>7537</v>
      </c>
      <c r="B592">
        <v>67398</v>
      </c>
      <c r="C592">
        <v>7896196067650</v>
      </c>
      <c r="D592">
        <v>169.9</v>
      </c>
      <c r="E592">
        <v>119.27</v>
      </c>
      <c r="F592">
        <v>19.59</v>
      </c>
      <c r="G592">
        <v>78.417400000000001</v>
      </c>
      <c r="H592">
        <v>3.3000000000000002E-2</v>
      </c>
      <c r="K592">
        <v>67398</v>
      </c>
      <c r="L592" t="s">
        <v>7537</v>
      </c>
      <c r="M592">
        <v>3.3000000000000002E-2</v>
      </c>
    </row>
    <row r="593" spans="1:13" x14ac:dyDescent="0.25">
      <c r="A593" t="s">
        <v>7538</v>
      </c>
      <c r="B593">
        <v>67399</v>
      </c>
      <c r="C593">
        <v>7804304105453</v>
      </c>
      <c r="D593">
        <v>169.9</v>
      </c>
      <c r="E593">
        <v>119.3</v>
      </c>
      <c r="F593">
        <v>19.559999999999999</v>
      </c>
      <c r="G593">
        <v>78.481200000000001</v>
      </c>
      <c r="H593">
        <v>0</v>
      </c>
      <c r="K593">
        <v>67399</v>
      </c>
      <c r="L593" t="s">
        <v>7538</v>
      </c>
      <c r="M593">
        <v>0</v>
      </c>
    </row>
    <row r="594" spans="1:13" x14ac:dyDescent="0.25">
      <c r="A594" t="s">
        <v>7539</v>
      </c>
      <c r="B594">
        <v>66605</v>
      </c>
      <c r="C594">
        <v>5603238123869</v>
      </c>
      <c r="D594">
        <v>49.9</v>
      </c>
      <c r="E594">
        <v>22.39</v>
      </c>
      <c r="F594">
        <v>36.25</v>
      </c>
      <c r="G594">
        <v>14.721</v>
      </c>
      <c r="H594">
        <v>0.6</v>
      </c>
      <c r="K594">
        <v>66605</v>
      </c>
      <c r="L594" t="s">
        <v>7539</v>
      </c>
      <c r="M594">
        <v>0.5</v>
      </c>
    </row>
    <row r="595" spans="1:13" x14ac:dyDescent="0.25">
      <c r="A595" t="s">
        <v>7540</v>
      </c>
      <c r="B595">
        <v>66606</v>
      </c>
      <c r="C595">
        <v>5603238121834</v>
      </c>
      <c r="D595">
        <v>129.9</v>
      </c>
      <c r="E595">
        <v>54.65</v>
      </c>
      <c r="F595">
        <v>38.090000000000003</v>
      </c>
      <c r="G595">
        <v>35.930300000000003</v>
      </c>
      <c r="H595">
        <v>0.2</v>
      </c>
      <c r="K595">
        <v>66606</v>
      </c>
      <c r="L595" t="s">
        <v>7540</v>
      </c>
      <c r="M595">
        <v>3.3000000000000002E-2</v>
      </c>
    </row>
    <row r="596" spans="1:13" x14ac:dyDescent="0.25">
      <c r="A596" t="s">
        <v>7541</v>
      </c>
      <c r="B596">
        <v>63117</v>
      </c>
      <c r="C596">
        <v>5603589313384</v>
      </c>
      <c r="D596">
        <v>79.150000000000006</v>
      </c>
      <c r="E596">
        <v>28.8</v>
      </c>
      <c r="F596">
        <v>41.83</v>
      </c>
      <c r="G596">
        <v>18.936299999999999</v>
      </c>
      <c r="H596">
        <v>0.36699999999999999</v>
      </c>
      <c r="K596">
        <v>63117</v>
      </c>
      <c r="L596" t="s">
        <v>7541</v>
      </c>
      <c r="M596">
        <v>0.5</v>
      </c>
    </row>
    <row r="597" spans="1:13" x14ac:dyDescent="0.25">
      <c r="A597" t="s">
        <v>7542</v>
      </c>
      <c r="B597">
        <v>63115</v>
      </c>
      <c r="C597">
        <v>5603589030335</v>
      </c>
      <c r="D597">
        <v>49.9</v>
      </c>
      <c r="E597">
        <v>21.49</v>
      </c>
      <c r="F597">
        <v>37.43</v>
      </c>
      <c r="G597">
        <v>14.1309</v>
      </c>
      <c r="H597">
        <v>0</v>
      </c>
      <c r="K597">
        <v>63115</v>
      </c>
      <c r="L597" t="s">
        <v>7542</v>
      </c>
      <c r="M597">
        <v>0</v>
      </c>
    </row>
    <row r="598" spans="1:13" x14ac:dyDescent="0.25">
      <c r="A598" t="s">
        <v>7543</v>
      </c>
      <c r="B598">
        <v>63116</v>
      </c>
      <c r="C598">
        <v>5603589031134</v>
      </c>
      <c r="D598">
        <v>79.63</v>
      </c>
      <c r="E598">
        <v>29.1</v>
      </c>
      <c r="F598">
        <v>41.67</v>
      </c>
      <c r="G598">
        <v>19.175799999999999</v>
      </c>
      <c r="H598">
        <v>0.76700000000000002</v>
      </c>
      <c r="K598">
        <v>63116</v>
      </c>
      <c r="L598" t="s">
        <v>7543</v>
      </c>
      <c r="M598">
        <v>0.36699999999999999</v>
      </c>
    </row>
    <row r="599" spans="1:13" x14ac:dyDescent="0.25">
      <c r="A599" t="s">
        <v>7544</v>
      </c>
      <c r="B599">
        <v>63118</v>
      </c>
      <c r="C599">
        <v>5603589032131</v>
      </c>
      <c r="D599">
        <v>99.9</v>
      </c>
      <c r="E599">
        <v>35.76</v>
      </c>
      <c r="F599">
        <v>42.21</v>
      </c>
      <c r="G599">
        <v>23.5183</v>
      </c>
      <c r="H599">
        <v>0.13300000000000001</v>
      </c>
      <c r="K599">
        <v>63118</v>
      </c>
      <c r="L599" t="s">
        <v>7544</v>
      </c>
      <c r="M599">
        <v>3.3000000000000002E-2</v>
      </c>
    </row>
    <row r="600" spans="1:13" x14ac:dyDescent="0.25">
      <c r="A600" t="s">
        <v>7545</v>
      </c>
      <c r="B600">
        <v>63114</v>
      </c>
      <c r="C600">
        <v>5603589030137</v>
      </c>
      <c r="D600">
        <v>49.9</v>
      </c>
      <c r="E600">
        <v>21.49</v>
      </c>
      <c r="F600">
        <v>37.43</v>
      </c>
      <c r="G600">
        <v>14.131</v>
      </c>
      <c r="H600">
        <v>6.7000000000000004E-2</v>
      </c>
      <c r="K600">
        <v>63114</v>
      </c>
      <c r="L600" t="s">
        <v>7545</v>
      </c>
      <c r="M600">
        <v>6.7000000000000004E-2</v>
      </c>
    </row>
    <row r="601" spans="1:13" x14ac:dyDescent="0.25">
      <c r="A601" t="s">
        <v>7546</v>
      </c>
      <c r="B601">
        <v>23235</v>
      </c>
      <c r="C601">
        <v>7798159560256</v>
      </c>
      <c r="D601">
        <v>49.9</v>
      </c>
      <c r="E601">
        <v>45.12</v>
      </c>
      <c r="F601">
        <v>6.3</v>
      </c>
      <c r="G601">
        <v>29.663399999999999</v>
      </c>
      <c r="H601">
        <v>0.2</v>
      </c>
      <c r="K601">
        <v>23235</v>
      </c>
      <c r="L601" t="s">
        <v>7546</v>
      </c>
      <c r="M601">
        <v>3.3000000000000002E-2</v>
      </c>
    </row>
    <row r="602" spans="1:13" x14ac:dyDescent="0.25">
      <c r="A602" t="s">
        <v>7547</v>
      </c>
      <c r="B602">
        <v>59939</v>
      </c>
      <c r="C602">
        <v>8022931504190</v>
      </c>
      <c r="D602">
        <v>299.89999999999998</v>
      </c>
      <c r="E602">
        <v>173.11</v>
      </c>
      <c r="F602">
        <v>27.8</v>
      </c>
      <c r="G602">
        <v>113.82210000000001</v>
      </c>
      <c r="H602">
        <v>0</v>
      </c>
      <c r="K602">
        <v>59939</v>
      </c>
      <c r="L602" t="s">
        <v>7547</v>
      </c>
      <c r="M602">
        <v>0</v>
      </c>
    </row>
    <row r="603" spans="1:13" x14ac:dyDescent="0.25">
      <c r="A603" t="s">
        <v>7548</v>
      </c>
      <c r="B603">
        <v>65422</v>
      </c>
      <c r="C603">
        <v>7804321099032</v>
      </c>
      <c r="D603">
        <v>149.9</v>
      </c>
      <c r="E603">
        <v>81.12</v>
      </c>
      <c r="F603">
        <v>30.17</v>
      </c>
      <c r="G603">
        <v>53.334699999999998</v>
      </c>
      <c r="H603">
        <v>0</v>
      </c>
      <c r="K603">
        <v>65422</v>
      </c>
      <c r="L603" t="s">
        <v>7548</v>
      </c>
      <c r="M603">
        <v>0</v>
      </c>
    </row>
    <row r="604" spans="1:13" x14ac:dyDescent="0.25">
      <c r="A604" t="s">
        <v>7549</v>
      </c>
      <c r="B604">
        <v>65417</v>
      </c>
      <c r="C604">
        <v>7804321091104</v>
      </c>
      <c r="D604">
        <v>149.9</v>
      </c>
      <c r="E604">
        <v>79.989999999999995</v>
      </c>
      <c r="F604">
        <v>30.67</v>
      </c>
      <c r="G604">
        <v>52.592100000000002</v>
      </c>
      <c r="H604">
        <v>0</v>
      </c>
      <c r="K604">
        <v>65417</v>
      </c>
      <c r="L604" t="s">
        <v>7549</v>
      </c>
      <c r="M604">
        <v>0</v>
      </c>
    </row>
    <row r="605" spans="1:13" x14ac:dyDescent="0.25">
      <c r="A605" t="s">
        <v>7550</v>
      </c>
      <c r="B605">
        <v>65425</v>
      </c>
      <c r="C605">
        <v>7804321028292</v>
      </c>
      <c r="D605">
        <v>35.9</v>
      </c>
      <c r="E605">
        <v>16.36</v>
      </c>
      <c r="F605">
        <v>33.18</v>
      </c>
      <c r="G605">
        <v>11.6928</v>
      </c>
      <c r="H605">
        <v>0.5</v>
      </c>
      <c r="K605">
        <v>65425</v>
      </c>
      <c r="L605" t="s">
        <v>7550</v>
      </c>
      <c r="M605">
        <v>0.16700000000000001</v>
      </c>
    </row>
    <row r="606" spans="1:13" x14ac:dyDescent="0.25">
      <c r="A606" t="s">
        <v>7551</v>
      </c>
      <c r="B606">
        <v>65423</v>
      </c>
      <c r="C606">
        <v>7804321028483</v>
      </c>
      <c r="D606">
        <v>35.9</v>
      </c>
      <c r="E606">
        <v>15.5</v>
      </c>
      <c r="F606">
        <v>33.74</v>
      </c>
      <c r="G606">
        <v>11.4932</v>
      </c>
      <c r="H606">
        <v>0.76700000000000002</v>
      </c>
      <c r="K606">
        <v>65423</v>
      </c>
      <c r="L606" t="s">
        <v>7551</v>
      </c>
      <c r="M606">
        <v>0.433</v>
      </c>
    </row>
    <row r="607" spans="1:13" x14ac:dyDescent="0.25">
      <c r="A607" t="s">
        <v>7552</v>
      </c>
      <c r="B607">
        <v>65416</v>
      </c>
      <c r="C607">
        <v>7804321028346</v>
      </c>
      <c r="D607">
        <v>35.9</v>
      </c>
      <c r="E607">
        <v>17.37</v>
      </c>
      <c r="F607">
        <v>32.83</v>
      </c>
      <c r="G607">
        <v>11.8169</v>
      </c>
      <c r="H607">
        <v>0.33300000000000002</v>
      </c>
      <c r="K607">
        <v>65416</v>
      </c>
      <c r="L607" t="s">
        <v>7552</v>
      </c>
      <c r="M607">
        <v>0.16700000000000001</v>
      </c>
    </row>
    <row r="608" spans="1:13" x14ac:dyDescent="0.25">
      <c r="A608" t="s">
        <v>7553</v>
      </c>
      <c r="B608">
        <v>65424</v>
      </c>
      <c r="C608">
        <v>7804321028339</v>
      </c>
      <c r="D608">
        <v>35.9</v>
      </c>
      <c r="E608">
        <v>18.13</v>
      </c>
      <c r="F608">
        <v>32.54</v>
      </c>
      <c r="G608">
        <v>11.9208</v>
      </c>
      <c r="H608">
        <v>0.46700000000000003</v>
      </c>
      <c r="K608">
        <v>65424</v>
      </c>
      <c r="L608" t="s">
        <v>7553</v>
      </c>
      <c r="M608">
        <v>0.26700000000000002</v>
      </c>
    </row>
    <row r="609" spans="1:13" x14ac:dyDescent="0.25">
      <c r="A609" t="s">
        <v>7554</v>
      </c>
      <c r="B609">
        <v>66073</v>
      </c>
      <c r="C609">
        <v>7804321028315</v>
      </c>
      <c r="D609">
        <v>49.9</v>
      </c>
      <c r="E609">
        <v>26.72</v>
      </c>
      <c r="F609">
        <v>30.51</v>
      </c>
      <c r="G609">
        <v>17.5825</v>
      </c>
      <c r="H609">
        <v>2.133</v>
      </c>
      <c r="K609">
        <v>66073</v>
      </c>
      <c r="L609" t="s">
        <v>7554</v>
      </c>
      <c r="M609">
        <v>1.8</v>
      </c>
    </row>
    <row r="610" spans="1:13" x14ac:dyDescent="0.25">
      <c r="A610" t="s">
        <v>7555</v>
      </c>
      <c r="B610">
        <v>65426</v>
      </c>
      <c r="C610">
        <v>7804321028490</v>
      </c>
      <c r="D610">
        <v>49.9</v>
      </c>
      <c r="E610">
        <v>26.77</v>
      </c>
      <c r="F610">
        <v>30.48</v>
      </c>
      <c r="G610">
        <v>17.5989</v>
      </c>
      <c r="H610">
        <v>1.133</v>
      </c>
      <c r="K610">
        <v>65426</v>
      </c>
      <c r="L610" t="s">
        <v>7555</v>
      </c>
      <c r="M610">
        <v>0.5</v>
      </c>
    </row>
    <row r="611" spans="1:13" x14ac:dyDescent="0.25">
      <c r="A611" t="s">
        <v>7556</v>
      </c>
      <c r="B611">
        <v>65418</v>
      </c>
      <c r="C611">
        <v>7804321028377</v>
      </c>
      <c r="D611">
        <v>49.9</v>
      </c>
      <c r="E611">
        <v>26.77</v>
      </c>
      <c r="F611">
        <v>30.48</v>
      </c>
      <c r="G611">
        <v>17.599299999999999</v>
      </c>
      <c r="H611">
        <v>1.333</v>
      </c>
      <c r="K611">
        <v>65418</v>
      </c>
      <c r="L611" t="s">
        <v>7556</v>
      </c>
      <c r="M611">
        <v>1.367</v>
      </c>
    </row>
    <row r="612" spans="1:13" x14ac:dyDescent="0.25">
      <c r="A612" t="s">
        <v>7557</v>
      </c>
      <c r="B612">
        <v>65427</v>
      </c>
      <c r="C612">
        <v>7804321091678</v>
      </c>
      <c r="D612">
        <v>49.9</v>
      </c>
      <c r="E612">
        <v>26.77</v>
      </c>
      <c r="F612">
        <v>30.48</v>
      </c>
      <c r="G612">
        <v>17.598600000000001</v>
      </c>
      <c r="H612">
        <v>1.2669999999999999</v>
      </c>
      <c r="K612">
        <v>65427</v>
      </c>
      <c r="L612" t="s">
        <v>7557</v>
      </c>
      <c r="M612">
        <v>0.73299999999999998</v>
      </c>
    </row>
    <row r="613" spans="1:13" x14ac:dyDescent="0.25">
      <c r="A613" t="s">
        <v>7558</v>
      </c>
      <c r="B613">
        <v>65419</v>
      </c>
      <c r="C613">
        <v>7804321028322</v>
      </c>
      <c r="D613">
        <v>49.9</v>
      </c>
      <c r="E613">
        <v>22.64</v>
      </c>
      <c r="F613">
        <v>35.83</v>
      </c>
      <c r="G613">
        <v>14.928800000000001</v>
      </c>
      <c r="H613">
        <v>0.46700000000000003</v>
      </c>
      <c r="K613">
        <v>65419</v>
      </c>
      <c r="L613" t="s">
        <v>7558</v>
      </c>
      <c r="M613">
        <v>0.433</v>
      </c>
    </row>
    <row r="614" spans="1:13" x14ac:dyDescent="0.25">
      <c r="A614" t="s">
        <v>7559</v>
      </c>
      <c r="B614">
        <v>65428</v>
      </c>
      <c r="C614">
        <v>7804321090381</v>
      </c>
      <c r="D614">
        <v>49.9</v>
      </c>
      <c r="E614">
        <v>22.65</v>
      </c>
      <c r="F614">
        <v>35.909999999999997</v>
      </c>
      <c r="G614">
        <v>14.8903</v>
      </c>
      <c r="H614">
        <v>1.633</v>
      </c>
      <c r="K614">
        <v>65428</v>
      </c>
      <c r="L614" t="s">
        <v>7559</v>
      </c>
      <c r="M614">
        <v>0.46700000000000003</v>
      </c>
    </row>
    <row r="615" spans="1:13" x14ac:dyDescent="0.25">
      <c r="A615" t="s">
        <v>7560</v>
      </c>
      <c r="B615">
        <v>69133</v>
      </c>
      <c r="C615">
        <v>7804321091890</v>
      </c>
      <c r="D615">
        <v>29.9</v>
      </c>
      <c r="E615">
        <v>17.940000000000001</v>
      </c>
      <c r="F615">
        <v>29.42</v>
      </c>
      <c r="G615">
        <v>10.863200000000001</v>
      </c>
      <c r="H615">
        <v>5.9669999999999996</v>
      </c>
      <c r="K615">
        <v>69133</v>
      </c>
      <c r="L615" t="s">
        <v>7560</v>
      </c>
      <c r="M615">
        <v>1.9330000000000001</v>
      </c>
    </row>
    <row r="616" spans="1:13" x14ac:dyDescent="0.25">
      <c r="A616" t="s">
        <v>7561</v>
      </c>
      <c r="B616">
        <v>69134</v>
      </c>
      <c r="C616">
        <v>7804321091913</v>
      </c>
      <c r="D616">
        <v>29.9</v>
      </c>
      <c r="E616">
        <v>19.05</v>
      </c>
      <c r="F616">
        <v>27.16</v>
      </c>
      <c r="G616">
        <v>11.5389</v>
      </c>
      <c r="H616">
        <v>2.1669999999999998</v>
      </c>
      <c r="K616">
        <v>69134</v>
      </c>
      <c r="L616" t="s">
        <v>7561</v>
      </c>
      <c r="M616">
        <v>1.1000000000000001</v>
      </c>
    </row>
    <row r="617" spans="1:13" x14ac:dyDescent="0.25">
      <c r="A617" t="s">
        <v>7562</v>
      </c>
      <c r="B617">
        <v>69131</v>
      </c>
      <c r="C617">
        <v>7804321091920</v>
      </c>
      <c r="D617">
        <v>29.9</v>
      </c>
      <c r="E617">
        <v>18.559999999999999</v>
      </c>
      <c r="F617">
        <v>23.74</v>
      </c>
      <c r="G617">
        <v>12.562200000000001</v>
      </c>
      <c r="H617">
        <v>3.1669999999999998</v>
      </c>
      <c r="K617">
        <v>69131</v>
      </c>
      <c r="L617" t="s">
        <v>7562</v>
      </c>
      <c r="M617">
        <v>0.9</v>
      </c>
    </row>
    <row r="618" spans="1:13" x14ac:dyDescent="0.25">
      <c r="A618" t="s">
        <v>7563</v>
      </c>
      <c r="B618">
        <v>69132</v>
      </c>
      <c r="C618">
        <v>7804321091906</v>
      </c>
      <c r="D618">
        <v>29.9</v>
      </c>
      <c r="E618">
        <v>18.5</v>
      </c>
      <c r="F618">
        <v>27.92</v>
      </c>
      <c r="G618">
        <v>11.3118</v>
      </c>
      <c r="H618">
        <v>4.2329999999999997</v>
      </c>
      <c r="K618">
        <v>69132</v>
      </c>
      <c r="L618" t="s">
        <v>7563</v>
      </c>
      <c r="M618">
        <v>2.0670000000000002</v>
      </c>
    </row>
    <row r="619" spans="1:13" x14ac:dyDescent="0.25">
      <c r="A619" t="s">
        <v>7564</v>
      </c>
      <c r="B619">
        <v>65420</v>
      </c>
      <c r="C619">
        <v>7804321028308</v>
      </c>
      <c r="D619">
        <v>35.9</v>
      </c>
      <c r="E619">
        <v>14.35</v>
      </c>
      <c r="F619">
        <v>39.479999999999997</v>
      </c>
      <c r="G619">
        <v>9.4318000000000008</v>
      </c>
      <c r="H619">
        <v>1.3</v>
      </c>
      <c r="K619">
        <v>65420</v>
      </c>
      <c r="L619" t="s">
        <v>7564</v>
      </c>
      <c r="M619">
        <v>1.2</v>
      </c>
    </row>
    <row r="620" spans="1:13" x14ac:dyDescent="0.25">
      <c r="A620" t="s">
        <v>7565</v>
      </c>
      <c r="B620">
        <v>65421</v>
      </c>
      <c r="C620">
        <v>7804321028667</v>
      </c>
      <c r="D620">
        <v>35.9</v>
      </c>
      <c r="E620">
        <v>17.579999999999998</v>
      </c>
      <c r="F620">
        <v>32.94</v>
      </c>
      <c r="G620">
        <v>11.778</v>
      </c>
      <c r="H620">
        <v>0.36699999999999999</v>
      </c>
      <c r="K620">
        <v>65421</v>
      </c>
      <c r="L620" t="s">
        <v>7565</v>
      </c>
      <c r="M620">
        <v>0.33300000000000002</v>
      </c>
    </row>
    <row r="621" spans="1:13" x14ac:dyDescent="0.25">
      <c r="A621" t="s">
        <v>7566</v>
      </c>
      <c r="B621">
        <v>69130</v>
      </c>
      <c r="C621">
        <v>7804321097939</v>
      </c>
      <c r="D621">
        <v>69.900000000000006</v>
      </c>
      <c r="E621">
        <v>42.65</v>
      </c>
      <c r="F621">
        <v>25.63</v>
      </c>
      <c r="G621">
        <v>28.0411</v>
      </c>
      <c r="H621">
        <v>1.512</v>
      </c>
      <c r="K621">
        <v>69130</v>
      </c>
      <c r="L621" t="s">
        <v>7566</v>
      </c>
      <c r="M621">
        <v>1.512</v>
      </c>
    </row>
    <row r="622" spans="1:13" x14ac:dyDescent="0.25">
      <c r="A622" t="s">
        <v>7567</v>
      </c>
      <c r="B622">
        <v>62280</v>
      </c>
      <c r="C622">
        <v>7798130462333</v>
      </c>
      <c r="D622">
        <v>49.9</v>
      </c>
      <c r="E622">
        <v>29.22</v>
      </c>
      <c r="F622">
        <v>26.6</v>
      </c>
      <c r="G622">
        <v>19.533899999999999</v>
      </c>
      <c r="H622">
        <v>0.16700000000000001</v>
      </c>
      <c r="K622">
        <v>62280</v>
      </c>
      <c r="L622" t="s">
        <v>7567</v>
      </c>
      <c r="M622">
        <v>0.16700000000000001</v>
      </c>
    </row>
    <row r="623" spans="1:13" x14ac:dyDescent="0.25">
      <c r="A623" t="s">
        <v>7568</v>
      </c>
      <c r="B623">
        <v>69129</v>
      </c>
      <c r="C623">
        <v>7804321099018</v>
      </c>
      <c r="D623">
        <v>79.900000000000006</v>
      </c>
      <c r="E623">
        <v>43.03</v>
      </c>
      <c r="F623">
        <v>30.34</v>
      </c>
      <c r="G623">
        <v>28.290800000000001</v>
      </c>
      <c r="H623">
        <v>4.8000000000000001E-2</v>
      </c>
      <c r="K623">
        <v>69129</v>
      </c>
      <c r="L623" t="s">
        <v>7568</v>
      </c>
      <c r="M623">
        <v>0.05</v>
      </c>
    </row>
    <row r="624" spans="1:13" x14ac:dyDescent="0.25">
      <c r="A624" t="s">
        <v>7569</v>
      </c>
      <c r="B624">
        <v>9484</v>
      </c>
      <c r="C624">
        <v>5603522994533</v>
      </c>
      <c r="D624">
        <v>129.9</v>
      </c>
      <c r="E624">
        <v>60.85</v>
      </c>
      <c r="F624">
        <v>34.04</v>
      </c>
      <c r="G624">
        <v>41.189700000000002</v>
      </c>
      <c r="H624">
        <v>1.167</v>
      </c>
      <c r="K624">
        <v>9484</v>
      </c>
      <c r="L624" t="s">
        <v>7569</v>
      </c>
      <c r="M624">
        <v>0.16700000000000001</v>
      </c>
    </row>
    <row r="625" spans="1:13" x14ac:dyDescent="0.25">
      <c r="A625" t="s">
        <v>7570</v>
      </c>
      <c r="B625">
        <v>46104</v>
      </c>
      <c r="C625">
        <v>5600391231448</v>
      </c>
      <c r="D625">
        <v>49.9</v>
      </c>
      <c r="E625">
        <v>29.27</v>
      </c>
      <c r="F625">
        <v>27.14</v>
      </c>
      <c r="G625">
        <v>19.267900000000001</v>
      </c>
      <c r="H625">
        <v>0.1</v>
      </c>
      <c r="K625">
        <v>46104</v>
      </c>
      <c r="L625" t="s">
        <v>7570</v>
      </c>
      <c r="M625">
        <v>6.7000000000000004E-2</v>
      </c>
    </row>
    <row r="626" spans="1:13" x14ac:dyDescent="0.25">
      <c r="A626" t="s">
        <v>7571</v>
      </c>
      <c r="B626">
        <v>60591</v>
      </c>
      <c r="C626">
        <v>7891141034534</v>
      </c>
      <c r="D626">
        <v>22.9</v>
      </c>
      <c r="E626">
        <v>16.5</v>
      </c>
      <c r="F626">
        <v>18.41</v>
      </c>
      <c r="G626">
        <v>10.8405</v>
      </c>
      <c r="H626">
        <v>0.63300000000000001</v>
      </c>
      <c r="K626">
        <v>60591</v>
      </c>
      <c r="L626" t="s">
        <v>7571</v>
      </c>
      <c r="M626">
        <v>0.63300000000000001</v>
      </c>
    </row>
    <row r="627" spans="1:13" x14ac:dyDescent="0.25">
      <c r="A627" t="s">
        <v>7572</v>
      </c>
      <c r="B627">
        <v>9577</v>
      </c>
      <c r="C627">
        <v>7891141023569</v>
      </c>
      <c r="D627">
        <v>22.9</v>
      </c>
      <c r="E627">
        <v>16.09</v>
      </c>
      <c r="F627">
        <v>18.5</v>
      </c>
      <c r="G627">
        <v>10.820399999999999</v>
      </c>
      <c r="H627">
        <v>10.067</v>
      </c>
      <c r="K627">
        <v>9577</v>
      </c>
      <c r="L627" t="s">
        <v>7572</v>
      </c>
      <c r="M627">
        <v>9.4670000000000005</v>
      </c>
    </row>
    <row r="628" spans="1:13" x14ac:dyDescent="0.25">
      <c r="A628" t="s">
        <v>7573</v>
      </c>
      <c r="B628">
        <v>69076</v>
      </c>
      <c r="C628">
        <v>7891141033711</v>
      </c>
      <c r="D628">
        <v>349.9</v>
      </c>
      <c r="E628">
        <v>0</v>
      </c>
      <c r="F628">
        <v>65.75</v>
      </c>
      <c r="G628">
        <v>0</v>
      </c>
      <c r="H628">
        <v>0</v>
      </c>
      <c r="K628">
        <v>69076</v>
      </c>
      <c r="L628" t="s">
        <v>7573</v>
      </c>
      <c r="M628">
        <v>0</v>
      </c>
    </row>
    <row r="629" spans="1:13" x14ac:dyDescent="0.25">
      <c r="A629" t="s">
        <v>7574</v>
      </c>
      <c r="B629">
        <v>9574</v>
      </c>
      <c r="C629">
        <v>7891141016998</v>
      </c>
      <c r="D629">
        <v>49.9</v>
      </c>
      <c r="E629">
        <v>30.56</v>
      </c>
      <c r="F629">
        <v>25.49</v>
      </c>
      <c r="G629">
        <v>20.089300000000001</v>
      </c>
      <c r="H629">
        <v>0.33300000000000002</v>
      </c>
      <c r="K629">
        <v>9574</v>
      </c>
      <c r="L629" t="s">
        <v>7574</v>
      </c>
      <c r="M629">
        <v>0.33300000000000002</v>
      </c>
    </row>
    <row r="630" spans="1:13" x14ac:dyDescent="0.25">
      <c r="A630" t="s">
        <v>7575</v>
      </c>
      <c r="B630">
        <v>9575</v>
      </c>
      <c r="C630">
        <v>7891141017001</v>
      </c>
      <c r="D630">
        <v>49.9</v>
      </c>
      <c r="E630">
        <v>30.26</v>
      </c>
      <c r="F630">
        <v>25.8</v>
      </c>
      <c r="G630">
        <v>19.935099999999998</v>
      </c>
      <c r="H630">
        <v>0.13300000000000001</v>
      </c>
      <c r="K630">
        <v>9575</v>
      </c>
      <c r="L630" t="s">
        <v>7575</v>
      </c>
      <c r="M630">
        <v>0.13300000000000001</v>
      </c>
    </row>
    <row r="631" spans="1:13" x14ac:dyDescent="0.25">
      <c r="A631" t="s">
        <v>7576</v>
      </c>
      <c r="B631">
        <v>10311</v>
      </c>
      <c r="C631">
        <v>7891141021619</v>
      </c>
      <c r="D631">
        <v>49.9</v>
      </c>
      <c r="E631">
        <v>29.96</v>
      </c>
      <c r="F631">
        <v>25.81</v>
      </c>
      <c r="G631">
        <v>19.929400000000001</v>
      </c>
      <c r="H631">
        <v>0.16700000000000001</v>
      </c>
      <c r="K631">
        <v>10311</v>
      </c>
      <c r="L631" t="s">
        <v>7576</v>
      </c>
      <c r="M631">
        <v>0.16700000000000001</v>
      </c>
    </row>
    <row r="632" spans="1:13" x14ac:dyDescent="0.25">
      <c r="A632" t="s">
        <v>7577</v>
      </c>
      <c r="B632">
        <v>51379</v>
      </c>
      <c r="C632">
        <v>7891141030772</v>
      </c>
      <c r="D632">
        <v>49.9</v>
      </c>
      <c r="E632">
        <v>29.78</v>
      </c>
      <c r="F632">
        <v>26.48</v>
      </c>
      <c r="G632">
        <v>19.5946</v>
      </c>
      <c r="H632">
        <v>6.7000000000000004E-2</v>
      </c>
      <c r="K632">
        <v>51379</v>
      </c>
      <c r="L632" t="s">
        <v>7577</v>
      </c>
      <c r="M632">
        <v>6.7000000000000004E-2</v>
      </c>
    </row>
    <row r="633" spans="1:13" x14ac:dyDescent="0.25">
      <c r="A633" t="s">
        <v>7578</v>
      </c>
      <c r="B633">
        <v>10312</v>
      </c>
      <c r="C633">
        <v>7891141026270</v>
      </c>
      <c r="D633">
        <v>49.9</v>
      </c>
      <c r="E633">
        <v>30.29</v>
      </c>
      <c r="F633">
        <v>25.65</v>
      </c>
      <c r="G633">
        <v>20.010100000000001</v>
      </c>
      <c r="H633">
        <v>0.23300000000000001</v>
      </c>
      <c r="K633">
        <v>10312</v>
      </c>
      <c r="L633" t="s">
        <v>7578</v>
      </c>
      <c r="M633">
        <v>0.23300000000000001</v>
      </c>
    </row>
    <row r="634" spans="1:13" x14ac:dyDescent="0.25">
      <c r="A634" t="s">
        <v>7579</v>
      </c>
      <c r="B634">
        <v>39297</v>
      </c>
      <c r="C634">
        <v>7891141007620</v>
      </c>
      <c r="D634">
        <v>34.9</v>
      </c>
      <c r="E634">
        <v>26.01</v>
      </c>
      <c r="F634">
        <v>16.52</v>
      </c>
      <c r="G634">
        <v>17.180499999999999</v>
      </c>
      <c r="H634">
        <v>0.76700000000000002</v>
      </c>
      <c r="K634">
        <v>39297</v>
      </c>
      <c r="L634" t="s">
        <v>7579</v>
      </c>
      <c r="M634">
        <v>0.6</v>
      </c>
    </row>
    <row r="635" spans="1:13" x14ac:dyDescent="0.25">
      <c r="A635" t="s">
        <v>7580</v>
      </c>
      <c r="B635">
        <v>68828</v>
      </c>
      <c r="C635">
        <v>7891141038617</v>
      </c>
      <c r="D635">
        <v>34.9</v>
      </c>
      <c r="E635">
        <v>23.45</v>
      </c>
      <c r="F635">
        <v>21.57</v>
      </c>
      <c r="G635">
        <v>15.420299999999999</v>
      </c>
      <c r="H635">
        <v>0.33300000000000002</v>
      </c>
      <c r="K635">
        <v>68828</v>
      </c>
      <c r="L635" t="s">
        <v>7580</v>
      </c>
      <c r="M635">
        <v>0.16700000000000001</v>
      </c>
    </row>
    <row r="636" spans="1:13" x14ac:dyDescent="0.25">
      <c r="A636" t="s">
        <v>7581</v>
      </c>
      <c r="B636">
        <v>64931</v>
      </c>
      <c r="C636">
        <v>7891141036392</v>
      </c>
      <c r="D636">
        <v>34.9</v>
      </c>
      <c r="E636">
        <v>25.92</v>
      </c>
      <c r="F636">
        <v>16.899999999999999</v>
      </c>
      <c r="G636">
        <v>17.047499999999999</v>
      </c>
      <c r="H636">
        <v>0.16700000000000001</v>
      </c>
      <c r="K636">
        <v>64931</v>
      </c>
      <c r="L636" t="s">
        <v>7581</v>
      </c>
      <c r="M636">
        <v>0.16700000000000001</v>
      </c>
    </row>
    <row r="637" spans="1:13" x14ac:dyDescent="0.25">
      <c r="A637" t="s">
        <v>7582</v>
      </c>
      <c r="B637">
        <v>39296</v>
      </c>
      <c r="C637">
        <v>7891141016752</v>
      </c>
      <c r="D637">
        <v>34.9</v>
      </c>
      <c r="E637">
        <v>25.32</v>
      </c>
      <c r="F637">
        <v>17.43</v>
      </c>
      <c r="G637">
        <v>16.865200000000002</v>
      </c>
      <c r="H637">
        <v>0.26700000000000002</v>
      </c>
      <c r="K637">
        <v>39296</v>
      </c>
      <c r="L637" t="s">
        <v>7582</v>
      </c>
      <c r="M637">
        <v>0.16700000000000001</v>
      </c>
    </row>
    <row r="638" spans="1:13" x14ac:dyDescent="0.25">
      <c r="A638" t="s">
        <v>7583</v>
      </c>
      <c r="B638">
        <v>64932</v>
      </c>
      <c r="C638">
        <v>7891141036415</v>
      </c>
      <c r="D638">
        <v>34.9</v>
      </c>
      <c r="E638">
        <v>25.67</v>
      </c>
      <c r="F638">
        <v>17.3</v>
      </c>
      <c r="G638">
        <v>16.907399999999999</v>
      </c>
      <c r="H638">
        <v>0.13300000000000001</v>
      </c>
      <c r="K638">
        <v>64932</v>
      </c>
      <c r="L638" t="s">
        <v>7583</v>
      </c>
      <c r="M638">
        <v>0.1</v>
      </c>
    </row>
    <row r="639" spans="1:13" x14ac:dyDescent="0.25">
      <c r="A639" t="s">
        <v>7584</v>
      </c>
      <c r="B639">
        <v>39126</v>
      </c>
      <c r="C639">
        <v>7891141007606</v>
      </c>
      <c r="D639">
        <v>34.9</v>
      </c>
      <c r="E639">
        <v>25.94</v>
      </c>
      <c r="F639">
        <v>16.59</v>
      </c>
      <c r="G639">
        <v>17.1585</v>
      </c>
      <c r="H639">
        <v>0.56699999999999995</v>
      </c>
      <c r="K639">
        <v>39126</v>
      </c>
      <c r="L639" t="s">
        <v>7584</v>
      </c>
      <c r="M639">
        <v>0.33300000000000002</v>
      </c>
    </row>
    <row r="640" spans="1:13" x14ac:dyDescent="0.25">
      <c r="A640" t="s">
        <v>7585</v>
      </c>
      <c r="B640">
        <v>64930</v>
      </c>
      <c r="C640">
        <v>7891141037979</v>
      </c>
      <c r="D640">
        <v>34.9</v>
      </c>
      <c r="E640">
        <v>25.63</v>
      </c>
      <c r="F640">
        <v>17.29</v>
      </c>
      <c r="G640">
        <v>16.912800000000001</v>
      </c>
      <c r="H640">
        <v>0.16700000000000001</v>
      </c>
      <c r="K640">
        <v>64930</v>
      </c>
      <c r="L640" t="s">
        <v>7585</v>
      </c>
      <c r="M640">
        <v>6.7000000000000004E-2</v>
      </c>
    </row>
    <row r="641" spans="1:13" x14ac:dyDescent="0.25">
      <c r="A641" t="s">
        <v>7586</v>
      </c>
      <c r="B641">
        <v>68827</v>
      </c>
      <c r="C641">
        <v>7891141038594</v>
      </c>
      <c r="D641">
        <v>34.9</v>
      </c>
      <c r="E641">
        <v>23.65</v>
      </c>
      <c r="F641">
        <v>21.2</v>
      </c>
      <c r="G641">
        <v>15.547700000000001</v>
      </c>
      <c r="H641">
        <v>0.26700000000000002</v>
      </c>
      <c r="K641">
        <v>68827</v>
      </c>
      <c r="L641" t="s">
        <v>7586</v>
      </c>
      <c r="M641">
        <v>0.23300000000000001</v>
      </c>
    </row>
    <row r="642" spans="1:13" x14ac:dyDescent="0.25">
      <c r="A642" t="s">
        <v>7587</v>
      </c>
      <c r="B642">
        <v>68832</v>
      </c>
      <c r="C642">
        <v>7891141038631</v>
      </c>
      <c r="D642">
        <v>39.9</v>
      </c>
      <c r="E642">
        <v>21.95</v>
      </c>
      <c r="F642">
        <v>29.58</v>
      </c>
      <c r="G642">
        <v>14.4307</v>
      </c>
      <c r="H642">
        <v>0.3</v>
      </c>
      <c r="K642">
        <v>68832</v>
      </c>
      <c r="L642" t="s">
        <v>7587</v>
      </c>
      <c r="M642">
        <v>0.3</v>
      </c>
    </row>
    <row r="643" spans="1:13" x14ac:dyDescent="0.25">
      <c r="A643" t="s">
        <v>7588</v>
      </c>
      <c r="B643">
        <v>68833</v>
      </c>
      <c r="C643">
        <v>7891141038655</v>
      </c>
      <c r="D643">
        <v>39.9</v>
      </c>
      <c r="E643">
        <v>21.95</v>
      </c>
      <c r="F643">
        <v>29.58</v>
      </c>
      <c r="G643">
        <v>14.431800000000001</v>
      </c>
      <c r="H643">
        <v>0.46700000000000003</v>
      </c>
      <c r="K643">
        <v>68833</v>
      </c>
      <c r="L643" t="s">
        <v>7588</v>
      </c>
      <c r="M643">
        <v>0.4</v>
      </c>
    </row>
    <row r="644" spans="1:13" x14ac:dyDescent="0.25">
      <c r="A644" t="s">
        <v>7589</v>
      </c>
      <c r="B644">
        <v>64428</v>
      </c>
      <c r="C644">
        <v>7798304611635</v>
      </c>
      <c r="D644">
        <v>39.9</v>
      </c>
      <c r="E644">
        <v>18.149999999999999</v>
      </c>
      <c r="F644">
        <v>35.76</v>
      </c>
      <c r="G644">
        <v>11.966100000000001</v>
      </c>
      <c r="H644">
        <v>0.7</v>
      </c>
      <c r="K644">
        <v>64428</v>
      </c>
      <c r="L644" t="s">
        <v>7589</v>
      </c>
      <c r="M644">
        <v>0.2</v>
      </c>
    </row>
    <row r="645" spans="1:13" x14ac:dyDescent="0.25">
      <c r="A645" t="s">
        <v>7590</v>
      </c>
      <c r="B645">
        <v>64430</v>
      </c>
      <c r="C645">
        <v>7798304611628</v>
      </c>
      <c r="D645">
        <v>39.9</v>
      </c>
      <c r="E645">
        <v>18.5</v>
      </c>
      <c r="F645">
        <v>35.72</v>
      </c>
      <c r="G645">
        <v>11.9808</v>
      </c>
      <c r="H645">
        <v>6.7000000000000004E-2</v>
      </c>
      <c r="K645">
        <v>64430</v>
      </c>
      <c r="L645" t="s">
        <v>7590</v>
      </c>
      <c r="M645">
        <v>6.7000000000000004E-2</v>
      </c>
    </row>
    <row r="646" spans="1:13" x14ac:dyDescent="0.25">
      <c r="A646" t="s">
        <v>7591</v>
      </c>
      <c r="B646">
        <v>67630</v>
      </c>
      <c r="C646">
        <v>7798304611826</v>
      </c>
      <c r="D646">
        <v>39.9</v>
      </c>
      <c r="E646">
        <v>18.239999999999998</v>
      </c>
      <c r="F646">
        <v>35.71</v>
      </c>
      <c r="G646">
        <v>11.986800000000001</v>
      </c>
      <c r="H646">
        <v>0.73299999999999998</v>
      </c>
      <c r="K646">
        <v>67630</v>
      </c>
      <c r="L646" t="s">
        <v>7591</v>
      </c>
      <c r="M646">
        <v>0.53300000000000003</v>
      </c>
    </row>
    <row r="647" spans="1:13" x14ac:dyDescent="0.25">
      <c r="A647" t="s">
        <v>7592</v>
      </c>
      <c r="B647">
        <v>57783</v>
      </c>
      <c r="C647">
        <v>5601007002131</v>
      </c>
      <c r="D647" s="1">
        <v>8999.9</v>
      </c>
      <c r="E647" s="1">
        <v>4198.43</v>
      </c>
      <c r="F647">
        <v>35.79</v>
      </c>
      <c r="G647" s="1">
        <v>2696.5787999999998</v>
      </c>
      <c r="H647">
        <v>0</v>
      </c>
      <c r="K647">
        <v>57783</v>
      </c>
      <c r="L647" t="s">
        <v>7592</v>
      </c>
      <c r="M647">
        <v>0</v>
      </c>
    </row>
    <row r="648" spans="1:13" x14ac:dyDescent="0.25">
      <c r="A648" t="s">
        <v>7593</v>
      </c>
      <c r="B648">
        <v>68080</v>
      </c>
      <c r="C648">
        <v>5601007002377</v>
      </c>
      <c r="D648" s="1">
        <v>8999.9</v>
      </c>
      <c r="E648" s="1">
        <v>6615.46</v>
      </c>
      <c r="F648">
        <v>17.420000000000002</v>
      </c>
      <c r="G648" s="1">
        <v>4349.6666999999998</v>
      </c>
      <c r="H648">
        <v>0</v>
      </c>
      <c r="K648">
        <v>68080</v>
      </c>
      <c r="L648" t="s">
        <v>7593</v>
      </c>
      <c r="M648">
        <v>0</v>
      </c>
    </row>
    <row r="649" spans="1:13" x14ac:dyDescent="0.25">
      <c r="A649" t="s">
        <v>7594</v>
      </c>
      <c r="B649">
        <v>69431</v>
      </c>
      <c r="C649">
        <v>7804426003682</v>
      </c>
      <c r="D649">
        <v>32.9</v>
      </c>
      <c r="E649">
        <v>27.94</v>
      </c>
      <c r="F649">
        <v>9.91</v>
      </c>
      <c r="G649">
        <v>18.371099999999998</v>
      </c>
      <c r="H649">
        <v>1.1000000000000001</v>
      </c>
      <c r="K649">
        <v>69431</v>
      </c>
      <c r="L649" t="s">
        <v>7594</v>
      </c>
      <c r="M649">
        <v>0</v>
      </c>
    </row>
    <row r="650" spans="1:13" x14ac:dyDescent="0.25">
      <c r="A650" t="s">
        <v>7595</v>
      </c>
      <c r="B650">
        <v>69432</v>
      </c>
      <c r="C650">
        <v>7804426003699</v>
      </c>
      <c r="D650">
        <v>32.9</v>
      </c>
      <c r="E650">
        <v>27.94</v>
      </c>
      <c r="F650">
        <v>9.91</v>
      </c>
      <c r="G650">
        <v>18.370799999999999</v>
      </c>
      <c r="H650">
        <v>1.133</v>
      </c>
      <c r="K650">
        <v>69432</v>
      </c>
      <c r="L650" t="s">
        <v>7595</v>
      </c>
      <c r="M650">
        <v>0</v>
      </c>
    </row>
    <row r="651" spans="1:13" x14ac:dyDescent="0.25">
      <c r="A651" t="s">
        <v>7596</v>
      </c>
      <c r="B651">
        <v>69430</v>
      </c>
      <c r="C651">
        <v>7804426004993</v>
      </c>
      <c r="D651">
        <v>32.9</v>
      </c>
      <c r="E651">
        <v>27.94</v>
      </c>
      <c r="F651">
        <v>9.91</v>
      </c>
      <c r="G651">
        <v>18.370699999999999</v>
      </c>
      <c r="H651">
        <v>1.5669999999999999</v>
      </c>
      <c r="K651">
        <v>69430</v>
      </c>
      <c r="L651" t="s">
        <v>7596</v>
      </c>
      <c r="M651">
        <v>0.2</v>
      </c>
    </row>
    <row r="652" spans="1:13" x14ac:dyDescent="0.25">
      <c r="A652" t="s">
        <v>7597</v>
      </c>
      <c r="B652">
        <v>69433</v>
      </c>
      <c r="C652">
        <v>7804426003712</v>
      </c>
      <c r="D652">
        <v>32.9</v>
      </c>
      <c r="E652">
        <v>27.94</v>
      </c>
      <c r="F652">
        <v>9.91</v>
      </c>
      <c r="G652">
        <v>18.369900000000001</v>
      </c>
      <c r="H652">
        <v>0.7</v>
      </c>
      <c r="K652">
        <v>69433</v>
      </c>
      <c r="L652" t="s">
        <v>7597</v>
      </c>
      <c r="M652">
        <v>0</v>
      </c>
    </row>
    <row r="653" spans="1:13" x14ac:dyDescent="0.25">
      <c r="A653" t="s">
        <v>7598</v>
      </c>
      <c r="B653">
        <v>69586</v>
      </c>
      <c r="C653">
        <v>7798127631452</v>
      </c>
      <c r="D653">
        <v>349.9</v>
      </c>
      <c r="E653">
        <v>222.27</v>
      </c>
      <c r="F653">
        <v>23.98</v>
      </c>
      <c r="G653">
        <v>146.14330000000001</v>
      </c>
      <c r="H653">
        <v>0</v>
      </c>
      <c r="K653">
        <v>69586</v>
      </c>
      <c r="L653" t="s">
        <v>7598</v>
      </c>
      <c r="M653">
        <v>0</v>
      </c>
    </row>
    <row r="654" spans="1:13" x14ac:dyDescent="0.25">
      <c r="A654" t="s">
        <v>7599</v>
      </c>
      <c r="B654">
        <v>60589</v>
      </c>
      <c r="C654">
        <v>8002820002563</v>
      </c>
      <c r="D654">
        <v>149.9</v>
      </c>
      <c r="E654">
        <v>100.97</v>
      </c>
      <c r="F654">
        <v>21.46</v>
      </c>
      <c r="G654">
        <v>66.389300000000006</v>
      </c>
      <c r="H654">
        <v>0</v>
      </c>
      <c r="K654">
        <v>60589</v>
      </c>
      <c r="L654" t="s">
        <v>7599</v>
      </c>
      <c r="M654">
        <v>0</v>
      </c>
    </row>
    <row r="655" spans="1:13" x14ac:dyDescent="0.25">
      <c r="A655" t="s">
        <v>7600</v>
      </c>
      <c r="B655">
        <v>3112</v>
      </c>
      <c r="C655">
        <v>3298660017323</v>
      </c>
      <c r="D655">
        <v>149.9</v>
      </c>
      <c r="E655">
        <v>82.45</v>
      </c>
      <c r="F655">
        <v>29.59</v>
      </c>
      <c r="G655">
        <v>54.21</v>
      </c>
      <c r="H655">
        <v>0</v>
      </c>
      <c r="K655">
        <v>3112</v>
      </c>
      <c r="L655" t="s">
        <v>7600</v>
      </c>
      <c r="M655">
        <v>0</v>
      </c>
    </row>
    <row r="656" spans="1:13" x14ac:dyDescent="0.25">
      <c r="A656" t="s">
        <v>7601</v>
      </c>
      <c r="B656">
        <v>68029</v>
      </c>
      <c r="C656">
        <v>7798304611840</v>
      </c>
      <c r="D656">
        <v>189.9</v>
      </c>
      <c r="E656">
        <v>58.12</v>
      </c>
      <c r="F656">
        <v>45.63</v>
      </c>
      <c r="G656">
        <v>38.210700000000003</v>
      </c>
      <c r="H656">
        <v>1.367</v>
      </c>
      <c r="K656">
        <v>68029</v>
      </c>
      <c r="L656" t="s">
        <v>7601</v>
      </c>
      <c r="M656">
        <v>0</v>
      </c>
    </row>
    <row r="657" spans="1:13" x14ac:dyDescent="0.25">
      <c r="A657" t="s">
        <v>7602</v>
      </c>
      <c r="B657">
        <v>68035</v>
      </c>
      <c r="C657">
        <v>7798304611833</v>
      </c>
      <c r="D657">
        <v>189.9</v>
      </c>
      <c r="E657">
        <v>58.11</v>
      </c>
      <c r="F657">
        <v>45.63</v>
      </c>
      <c r="G657">
        <v>38.208599999999997</v>
      </c>
      <c r="H657">
        <v>0</v>
      </c>
      <c r="K657">
        <v>68035</v>
      </c>
      <c r="L657" t="s">
        <v>7602</v>
      </c>
      <c r="M657">
        <v>0</v>
      </c>
    </row>
    <row r="658" spans="1:13" x14ac:dyDescent="0.25">
      <c r="A658" t="s">
        <v>7603</v>
      </c>
      <c r="B658">
        <v>68031</v>
      </c>
      <c r="C658">
        <v>7798304611864</v>
      </c>
      <c r="D658">
        <v>189.9</v>
      </c>
      <c r="E658">
        <v>58.12</v>
      </c>
      <c r="F658">
        <v>45.63</v>
      </c>
      <c r="G658">
        <v>38.210700000000003</v>
      </c>
      <c r="H658">
        <v>1.4330000000000001</v>
      </c>
      <c r="K658">
        <v>68031</v>
      </c>
      <c r="L658" t="s">
        <v>7603</v>
      </c>
      <c r="M658">
        <v>0</v>
      </c>
    </row>
    <row r="659" spans="1:13" x14ac:dyDescent="0.25">
      <c r="A659" t="s">
        <v>7604</v>
      </c>
      <c r="B659">
        <v>59600</v>
      </c>
      <c r="C659">
        <v>7798304610836</v>
      </c>
      <c r="D659">
        <v>119.9</v>
      </c>
      <c r="E659">
        <v>45.84</v>
      </c>
      <c r="F659">
        <v>41.01</v>
      </c>
      <c r="G659">
        <v>29.659400000000002</v>
      </c>
      <c r="H659">
        <v>1.167</v>
      </c>
      <c r="K659">
        <v>59600</v>
      </c>
      <c r="L659" t="s">
        <v>7604</v>
      </c>
      <c r="M659">
        <v>3.3000000000000002E-2</v>
      </c>
    </row>
    <row r="660" spans="1:13" x14ac:dyDescent="0.25">
      <c r="A660" t="s">
        <v>7605</v>
      </c>
      <c r="B660">
        <v>59612</v>
      </c>
      <c r="C660">
        <v>7798304610072</v>
      </c>
      <c r="D660">
        <v>119.9</v>
      </c>
      <c r="E660">
        <v>45.26</v>
      </c>
      <c r="F660">
        <v>40.94</v>
      </c>
      <c r="G660">
        <v>29.745699999999999</v>
      </c>
      <c r="H660">
        <v>1.2330000000000001</v>
      </c>
      <c r="K660">
        <v>59612</v>
      </c>
      <c r="L660" t="s">
        <v>7605</v>
      </c>
      <c r="M660">
        <v>3.3000000000000002E-2</v>
      </c>
    </row>
    <row r="661" spans="1:13" x14ac:dyDescent="0.25">
      <c r="A661" t="s">
        <v>7606</v>
      </c>
      <c r="B661">
        <v>59601</v>
      </c>
      <c r="C661">
        <v>7798304610034</v>
      </c>
      <c r="D661">
        <v>88.05</v>
      </c>
      <c r="E661">
        <v>44.7</v>
      </c>
      <c r="F661">
        <v>32.21</v>
      </c>
      <c r="G661">
        <v>29.530200000000001</v>
      </c>
      <c r="H661">
        <v>0.13300000000000001</v>
      </c>
      <c r="K661">
        <v>59601</v>
      </c>
      <c r="L661" t="s">
        <v>7606</v>
      </c>
      <c r="M661">
        <v>0</v>
      </c>
    </row>
    <row r="662" spans="1:13" x14ac:dyDescent="0.25">
      <c r="A662" t="s">
        <v>7607</v>
      </c>
      <c r="B662">
        <v>60790</v>
      </c>
      <c r="C662">
        <v>7798068481062</v>
      </c>
      <c r="D662">
        <v>259.89999999999998</v>
      </c>
      <c r="E662">
        <v>158.69</v>
      </c>
      <c r="F662">
        <v>25.03</v>
      </c>
      <c r="G662">
        <v>105.83159999999999</v>
      </c>
      <c r="H662">
        <v>0</v>
      </c>
      <c r="K662">
        <v>60790</v>
      </c>
      <c r="L662" t="s">
        <v>7607</v>
      </c>
      <c r="M662">
        <v>0</v>
      </c>
    </row>
    <row r="663" spans="1:13" x14ac:dyDescent="0.25">
      <c r="A663" t="s">
        <v>7608</v>
      </c>
      <c r="B663">
        <v>58380</v>
      </c>
      <c r="C663">
        <v>3760033596075</v>
      </c>
      <c r="D663">
        <v>49.9</v>
      </c>
      <c r="E663">
        <v>103.13</v>
      </c>
      <c r="F663">
        <v>-70.14</v>
      </c>
      <c r="G663">
        <v>67.806700000000006</v>
      </c>
      <c r="H663">
        <v>0</v>
      </c>
      <c r="K663">
        <v>58380</v>
      </c>
      <c r="L663" t="s">
        <v>7608</v>
      </c>
      <c r="M663">
        <v>0</v>
      </c>
    </row>
    <row r="664" spans="1:13" x14ac:dyDescent="0.25">
      <c r="A664" t="s">
        <v>7609</v>
      </c>
      <c r="B664">
        <v>63977</v>
      </c>
      <c r="C664">
        <v>3760033595580</v>
      </c>
      <c r="D664">
        <v>49.9</v>
      </c>
      <c r="E664">
        <v>113.13</v>
      </c>
      <c r="F664">
        <v>-83.32</v>
      </c>
      <c r="G664">
        <v>74.385199999999998</v>
      </c>
      <c r="H664">
        <v>0</v>
      </c>
      <c r="K664">
        <v>63977</v>
      </c>
      <c r="L664" t="s">
        <v>7609</v>
      </c>
      <c r="M664">
        <v>0</v>
      </c>
    </row>
    <row r="665" spans="1:13" x14ac:dyDescent="0.25">
      <c r="A665" t="s">
        <v>7610</v>
      </c>
      <c r="B665">
        <v>63991</v>
      </c>
      <c r="C665">
        <v>3296311109014</v>
      </c>
      <c r="D665">
        <v>269.89999999999998</v>
      </c>
      <c r="E665">
        <v>187.4</v>
      </c>
      <c r="F665">
        <v>22.24</v>
      </c>
      <c r="G665">
        <v>136.3321</v>
      </c>
      <c r="H665">
        <v>0</v>
      </c>
      <c r="K665">
        <v>63991</v>
      </c>
      <c r="L665" t="s">
        <v>7610</v>
      </c>
      <c r="M665">
        <v>0</v>
      </c>
    </row>
    <row r="666" spans="1:13" x14ac:dyDescent="0.25">
      <c r="A666" t="s">
        <v>7611</v>
      </c>
      <c r="B666">
        <v>3125</v>
      </c>
      <c r="C666">
        <v>40696164</v>
      </c>
      <c r="D666">
        <v>69.900000000000006</v>
      </c>
      <c r="E666">
        <v>47.08</v>
      </c>
      <c r="F666">
        <v>21.47</v>
      </c>
      <c r="G666">
        <v>30.952300000000001</v>
      </c>
      <c r="H666">
        <v>3.3000000000000002E-2</v>
      </c>
      <c r="K666">
        <v>3125</v>
      </c>
      <c r="L666" t="s">
        <v>7611</v>
      </c>
      <c r="M666">
        <v>3.3000000000000002E-2</v>
      </c>
    </row>
    <row r="667" spans="1:13" x14ac:dyDescent="0.25">
      <c r="A667" t="s">
        <v>7612</v>
      </c>
      <c r="B667">
        <v>66667</v>
      </c>
      <c r="C667">
        <v>7804426000223</v>
      </c>
      <c r="D667">
        <v>29.9</v>
      </c>
      <c r="E667">
        <v>14.57</v>
      </c>
      <c r="F667">
        <v>33.72</v>
      </c>
      <c r="G667">
        <v>9.5774000000000008</v>
      </c>
      <c r="H667">
        <v>2.7330000000000001</v>
      </c>
      <c r="K667">
        <v>66667</v>
      </c>
      <c r="L667" t="s">
        <v>7612</v>
      </c>
      <c r="M667">
        <v>0.63300000000000001</v>
      </c>
    </row>
    <row r="668" spans="1:13" x14ac:dyDescent="0.25">
      <c r="A668" t="s">
        <v>7613</v>
      </c>
      <c r="B668">
        <v>66668</v>
      </c>
      <c r="C668">
        <v>7804426002296</v>
      </c>
      <c r="D668">
        <v>29.9</v>
      </c>
      <c r="E668">
        <v>14.57</v>
      </c>
      <c r="F668">
        <v>33.72</v>
      </c>
      <c r="G668">
        <v>9.5774000000000008</v>
      </c>
      <c r="H668">
        <v>2.1669999999999998</v>
      </c>
      <c r="K668">
        <v>66668</v>
      </c>
      <c r="L668" t="s">
        <v>7613</v>
      </c>
      <c r="M668">
        <v>0.7</v>
      </c>
    </row>
    <row r="669" spans="1:13" x14ac:dyDescent="0.25">
      <c r="A669" t="s">
        <v>7614</v>
      </c>
      <c r="B669">
        <v>66669</v>
      </c>
      <c r="C669">
        <v>7804426001756</v>
      </c>
      <c r="D669">
        <v>29.9</v>
      </c>
      <c r="E669">
        <v>14.57</v>
      </c>
      <c r="F669">
        <v>33.72</v>
      </c>
      <c r="G669">
        <v>9.5775000000000006</v>
      </c>
      <c r="H669">
        <v>1.2</v>
      </c>
      <c r="K669">
        <v>66669</v>
      </c>
      <c r="L669" t="s">
        <v>7614</v>
      </c>
      <c r="M669">
        <v>0.6</v>
      </c>
    </row>
    <row r="670" spans="1:13" x14ac:dyDescent="0.25">
      <c r="A670" t="s">
        <v>7615</v>
      </c>
      <c r="B670">
        <v>27684</v>
      </c>
      <c r="C670">
        <v>5601377120084</v>
      </c>
      <c r="D670">
        <v>199.9</v>
      </c>
      <c r="E670">
        <v>128.57</v>
      </c>
      <c r="F670">
        <v>23.81</v>
      </c>
      <c r="G670">
        <v>83.837999999999994</v>
      </c>
      <c r="H670">
        <v>0</v>
      </c>
      <c r="K670">
        <v>27684</v>
      </c>
      <c r="L670" t="s">
        <v>7615</v>
      </c>
      <c r="M670">
        <v>0</v>
      </c>
    </row>
    <row r="671" spans="1:13" x14ac:dyDescent="0.25">
      <c r="A671" t="s">
        <v>7616</v>
      </c>
      <c r="B671">
        <v>67660</v>
      </c>
      <c r="C671">
        <v>5604424000568</v>
      </c>
      <c r="D671">
        <v>79.900000000000006</v>
      </c>
      <c r="E671">
        <v>53.21</v>
      </c>
      <c r="F671">
        <v>21.96</v>
      </c>
      <c r="G671">
        <v>34.9876</v>
      </c>
      <c r="H671">
        <v>0.16700000000000001</v>
      </c>
      <c r="K671">
        <v>67660</v>
      </c>
      <c r="L671" t="s">
        <v>7616</v>
      </c>
      <c r="M671">
        <v>0.16700000000000001</v>
      </c>
    </row>
    <row r="672" spans="1:13" x14ac:dyDescent="0.25">
      <c r="A672" t="s">
        <v>7617</v>
      </c>
      <c r="B672">
        <v>62188</v>
      </c>
      <c r="C672">
        <v>8032793950066</v>
      </c>
      <c r="D672">
        <v>199.9</v>
      </c>
      <c r="E672">
        <v>132.38999999999999</v>
      </c>
      <c r="F672">
        <v>22.21</v>
      </c>
      <c r="G672">
        <v>87.043300000000002</v>
      </c>
      <c r="H672">
        <v>0</v>
      </c>
      <c r="K672">
        <v>62188</v>
      </c>
      <c r="L672" t="s">
        <v>7617</v>
      </c>
      <c r="M672">
        <v>0</v>
      </c>
    </row>
    <row r="673" spans="1:13" x14ac:dyDescent="0.25">
      <c r="A673" t="s">
        <v>7618</v>
      </c>
      <c r="B673">
        <v>62187</v>
      </c>
      <c r="C673">
        <v>8032793950073</v>
      </c>
      <c r="D673">
        <v>349.9</v>
      </c>
      <c r="E673">
        <v>249.43</v>
      </c>
      <c r="F673">
        <v>17.920000000000002</v>
      </c>
      <c r="G673">
        <v>167.34889999999999</v>
      </c>
      <c r="H673">
        <v>3.3000000000000002E-2</v>
      </c>
      <c r="K673">
        <v>62187</v>
      </c>
      <c r="L673" t="s">
        <v>7618</v>
      </c>
      <c r="M673">
        <v>3.3000000000000002E-2</v>
      </c>
    </row>
    <row r="674" spans="1:13" x14ac:dyDescent="0.25">
      <c r="A674" t="s">
        <v>7619</v>
      </c>
      <c r="B674">
        <v>62189</v>
      </c>
      <c r="C674">
        <v>8032793970378</v>
      </c>
      <c r="D674">
        <v>139.9</v>
      </c>
      <c r="E674">
        <v>85.89</v>
      </c>
      <c r="F674">
        <v>25.39</v>
      </c>
      <c r="G674">
        <v>56.47</v>
      </c>
      <c r="H674">
        <v>0</v>
      </c>
      <c r="K674">
        <v>62189</v>
      </c>
      <c r="L674" t="s">
        <v>7619</v>
      </c>
      <c r="M674">
        <v>0</v>
      </c>
    </row>
    <row r="675" spans="1:13" x14ac:dyDescent="0.25">
      <c r="A675" t="s">
        <v>7620</v>
      </c>
      <c r="B675">
        <v>59617</v>
      </c>
      <c r="C675">
        <v>7804330005550</v>
      </c>
      <c r="D675">
        <v>444.65</v>
      </c>
      <c r="E675">
        <v>254.82</v>
      </c>
      <c r="F675">
        <v>29.5</v>
      </c>
      <c r="G675">
        <v>161.16589999999999</v>
      </c>
      <c r="H675">
        <v>3.3000000000000002E-2</v>
      </c>
      <c r="K675">
        <v>59617</v>
      </c>
      <c r="L675" t="s">
        <v>7620</v>
      </c>
      <c r="M675">
        <v>0</v>
      </c>
    </row>
    <row r="676" spans="1:13" x14ac:dyDescent="0.25">
      <c r="A676" t="s">
        <v>7621</v>
      </c>
      <c r="B676">
        <v>56961</v>
      </c>
      <c r="C676">
        <v>7730905195046</v>
      </c>
      <c r="D676">
        <v>219.9</v>
      </c>
      <c r="E676">
        <v>146.38</v>
      </c>
      <c r="F676">
        <v>21.44</v>
      </c>
      <c r="G676">
        <v>97.432400000000001</v>
      </c>
      <c r="H676">
        <v>0</v>
      </c>
      <c r="K676">
        <v>56961</v>
      </c>
      <c r="L676" t="s">
        <v>7621</v>
      </c>
      <c r="M676">
        <v>0</v>
      </c>
    </row>
    <row r="677" spans="1:13" x14ac:dyDescent="0.25">
      <c r="A677" t="s">
        <v>7622</v>
      </c>
      <c r="B677">
        <v>60793</v>
      </c>
      <c r="C677">
        <v>7730950810116</v>
      </c>
      <c r="D677">
        <v>49.9</v>
      </c>
      <c r="E677">
        <v>48.11</v>
      </c>
      <c r="F677">
        <v>2.36</v>
      </c>
      <c r="G677">
        <v>31.630199999999999</v>
      </c>
      <c r="H677">
        <v>1.7669999999999999</v>
      </c>
      <c r="K677">
        <v>60793</v>
      </c>
      <c r="L677" t="s">
        <v>7622</v>
      </c>
      <c r="M677">
        <v>0</v>
      </c>
    </row>
    <row r="678" spans="1:13" x14ac:dyDescent="0.25">
      <c r="A678" t="s">
        <v>7623</v>
      </c>
      <c r="B678">
        <v>60783</v>
      </c>
      <c r="C678">
        <v>7730950810109</v>
      </c>
      <c r="D678">
        <v>89.9</v>
      </c>
      <c r="E678">
        <v>70.98</v>
      </c>
      <c r="F678">
        <v>12.17</v>
      </c>
      <c r="G678">
        <v>48.1678</v>
      </c>
      <c r="H678">
        <v>0.16700000000000001</v>
      </c>
      <c r="K678">
        <v>60783</v>
      </c>
      <c r="L678" t="s">
        <v>7623</v>
      </c>
      <c r="M678">
        <v>0</v>
      </c>
    </row>
    <row r="679" spans="1:13" x14ac:dyDescent="0.25">
      <c r="A679" t="s">
        <v>7624</v>
      </c>
      <c r="B679">
        <v>60792</v>
      </c>
      <c r="C679">
        <v>7730950810017</v>
      </c>
      <c r="D679">
        <v>99.9</v>
      </c>
      <c r="E679">
        <v>74.89</v>
      </c>
      <c r="F679">
        <v>16.46</v>
      </c>
      <c r="G679">
        <v>49.2395</v>
      </c>
      <c r="H679">
        <v>0.29599999999999999</v>
      </c>
      <c r="K679">
        <v>60792</v>
      </c>
      <c r="L679" t="s">
        <v>7624</v>
      </c>
      <c r="M679">
        <v>0</v>
      </c>
    </row>
    <row r="680" spans="1:13" x14ac:dyDescent="0.25">
      <c r="A680" t="s">
        <v>7625</v>
      </c>
      <c r="B680">
        <v>69599</v>
      </c>
      <c r="C680">
        <v>7730950810048</v>
      </c>
      <c r="D680">
        <v>199.9</v>
      </c>
      <c r="E680">
        <v>107.5</v>
      </c>
      <c r="F680">
        <v>30.39</v>
      </c>
      <c r="G680">
        <v>70.683000000000007</v>
      </c>
      <c r="H680">
        <v>0.33300000000000002</v>
      </c>
      <c r="K680">
        <v>69599</v>
      </c>
      <c r="L680" t="s">
        <v>7625</v>
      </c>
      <c r="M680">
        <v>0.33300000000000002</v>
      </c>
    </row>
    <row r="681" spans="1:13" x14ac:dyDescent="0.25">
      <c r="A681" t="s">
        <v>7626</v>
      </c>
      <c r="B681">
        <v>15140</v>
      </c>
      <c r="C681">
        <v>5601377001017</v>
      </c>
      <c r="D681">
        <v>39.9</v>
      </c>
      <c r="E681">
        <v>26.4</v>
      </c>
      <c r="F681">
        <v>22.24</v>
      </c>
      <c r="G681">
        <v>17.360900000000001</v>
      </c>
      <c r="H681">
        <v>0.63300000000000001</v>
      </c>
      <c r="K681">
        <v>15140</v>
      </c>
      <c r="L681" t="s">
        <v>7626</v>
      </c>
      <c r="M681">
        <v>0.63300000000000001</v>
      </c>
    </row>
    <row r="682" spans="1:13" x14ac:dyDescent="0.25">
      <c r="A682" t="s">
        <v>7627</v>
      </c>
      <c r="B682">
        <v>60645</v>
      </c>
      <c r="C682">
        <v>9414024426851</v>
      </c>
      <c r="D682">
        <v>286.57</v>
      </c>
      <c r="E682">
        <v>210.74</v>
      </c>
      <c r="F682">
        <v>17.63</v>
      </c>
      <c r="G682">
        <v>137.9059</v>
      </c>
      <c r="H682">
        <v>0</v>
      </c>
      <c r="K682">
        <v>60645</v>
      </c>
      <c r="L682" t="s">
        <v>7627</v>
      </c>
      <c r="M682">
        <v>0</v>
      </c>
    </row>
    <row r="683" spans="1:13" x14ac:dyDescent="0.25">
      <c r="A683" t="s">
        <v>7628</v>
      </c>
      <c r="B683">
        <v>68718</v>
      </c>
      <c r="C683">
        <v>3800200685031</v>
      </c>
      <c r="D683">
        <v>129.9</v>
      </c>
      <c r="E683">
        <v>76.959999999999994</v>
      </c>
      <c r="F683">
        <v>26.8</v>
      </c>
      <c r="G683">
        <v>50.598500000000001</v>
      </c>
      <c r="H683">
        <v>0</v>
      </c>
      <c r="K683">
        <v>68718</v>
      </c>
      <c r="L683" t="s">
        <v>7628</v>
      </c>
      <c r="M683">
        <v>0</v>
      </c>
    </row>
    <row r="684" spans="1:13" x14ac:dyDescent="0.25">
      <c r="A684" t="s">
        <v>7629</v>
      </c>
      <c r="B684">
        <v>68719</v>
      </c>
      <c r="C684">
        <v>3800200686168</v>
      </c>
      <c r="D684">
        <v>129.9</v>
      </c>
      <c r="E684">
        <v>76.959999999999994</v>
      </c>
      <c r="F684">
        <v>26.8</v>
      </c>
      <c r="G684">
        <v>50.600499999999997</v>
      </c>
      <c r="H684">
        <v>0</v>
      </c>
      <c r="K684">
        <v>68719</v>
      </c>
      <c r="L684" t="s">
        <v>7629</v>
      </c>
      <c r="M684">
        <v>0</v>
      </c>
    </row>
    <row r="685" spans="1:13" x14ac:dyDescent="0.25">
      <c r="A685" t="s">
        <v>7630</v>
      </c>
      <c r="B685">
        <v>67638</v>
      </c>
      <c r="C685">
        <v>8004012000029</v>
      </c>
      <c r="D685">
        <v>799.9</v>
      </c>
      <c r="E685">
        <v>552.16999999999996</v>
      </c>
      <c r="F685">
        <v>20.36</v>
      </c>
      <c r="G685">
        <v>363.0487</v>
      </c>
      <c r="H685">
        <v>0</v>
      </c>
      <c r="K685">
        <v>67638</v>
      </c>
      <c r="L685" t="s">
        <v>7630</v>
      </c>
      <c r="M685">
        <v>0</v>
      </c>
    </row>
    <row r="686" spans="1:13" x14ac:dyDescent="0.25">
      <c r="A686" t="s">
        <v>7631</v>
      </c>
      <c r="B686">
        <v>59057</v>
      </c>
      <c r="C686">
        <v>8032790030266</v>
      </c>
      <c r="D686">
        <v>701.33</v>
      </c>
      <c r="E686">
        <v>493.27</v>
      </c>
      <c r="F686">
        <v>17.52</v>
      </c>
      <c r="G686">
        <v>338.27120000000002</v>
      </c>
      <c r="H686">
        <v>0</v>
      </c>
      <c r="K686">
        <v>59057</v>
      </c>
      <c r="L686" t="s">
        <v>7631</v>
      </c>
      <c r="M686">
        <v>0</v>
      </c>
    </row>
    <row r="687" spans="1:13" x14ac:dyDescent="0.25">
      <c r="A687" t="s">
        <v>7632</v>
      </c>
      <c r="B687">
        <v>60958</v>
      </c>
      <c r="C687">
        <v>5942093009445</v>
      </c>
      <c r="D687">
        <v>99.9</v>
      </c>
      <c r="E687">
        <v>61.89</v>
      </c>
      <c r="F687">
        <v>24.2</v>
      </c>
      <c r="G687">
        <v>41.511899999999997</v>
      </c>
      <c r="H687">
        <v>0</v>
      </c>
      <c r="K687">
        <v>60958</v>
      </c>
      <c r="L687" t="s">
        <v>7632</v>
      </c>
      <c r="M687">
        <v>0</v>
      </c>
    </row>
    <row r="688" spans="1:13" x14ac:dyDescent="0.25">
      <c r="A688" t="s">
        <v>7633</v>
      </c>
      <c r="B688">
        <v>60959</v>
      </c>
      <c r="C688">
        <v>5942093009407</v>
      </c>
      <c r="D688">
        <v>99.9</v>
      </c>
      <c r="E688">
        <v>59.19</v>
      </c>
      <c r="F688">
        <v>24.91</v>
      </c>
      <c r="G688">
        <v>40.796500000000002</v>
      </c>
      <c r="H688">
        <v>0</v>
      </c>
      <c r="K688">
        <v>60959</v>
      </c>
      <c r="L688" t="s">
        <v>7633</v>
      </c>
      <c r="M688">
        <v>0</v>
      </c>
    </row>
    <row r="689" spans="1:13" x14ac:dyDescent="0.25">
      <c r="A689" t="s">
        <v>7634</v>
      </c>
      <c r="B689">
        <v>60957</v>
      </c>
      <c r="C689">
        <v>5942093001517</v>
      </c>
      <c r="D689">
        <v>99.9</v>
      </c>
      <c r="E689">
        <v>58.43</v>
      </c>
      <c r="F689">
        <v>26.18</v>
      </c>
      <c r="G689">
        <v>39.5334</v>
      </c>
      <c r="H689">
        <v>6.7000000000000004E-2</v>
      </c>
      <c r="K689">
        <v>60957</v>
      </c>
      <c r="L689" t="s">
        <v>7634</v>
      </c>
      <c r="M689">
        <v>6.7000000000000004E-2</v>
      </c>
    </row>
    <row r="690" spans="1:13" x14ac:dyDescent="0.25">
      <c r="A690" t="s">
        <v>7635</v>
      </c>
      <c r="B690">
        <v>66071</v>
      </c>
      <c r="C690">
        <v>5607582010066</v>
      </c>
      <c r="D690">
        <v>53.83</v>
      </c>
      <c r="E690">
        <v>22.68</v>
      </c>
      <c r="F690">
        <v>37.36</v>
      </c>
      <c r="G690">
        <v>15.2812</v>
      </c>
      <c r="H690">
        <v>2.5670000000000002</v>
      </c>
      <c r="K690">
        <v>66071</v>
      </c>
      <c r="L690" t="s">
        <v>7635</v>
      </c>
      <c r="M690">
        <v>0.4</v>
      </c>
    </row>
    <row r="691" spans="1:13" x14ac:dyDescent="0.25">
      <c r="A691" t="s">
        <v>7636</v>
      </c>
      <c r="B691">
        <v>66072</v>
      </c>
      <c r="C691">
        <v>5607582010073</v>
      </c>
      <c r="D691">
        <v>44.98</v>
      </c>
      <c r="E691">
        <v>23.73</v>
      </c>
      <c r="F691">
        <v>30.1</v>
      </c>
      <c r="G691">
        <v>16.035900000000002</v>
      </c>
      <c r="H691">
        <v>0.86699999999999999</v>
      </c>
      <c r="K691">
        <v>66072</v>
      </c>
      <c r="L691" t="s">
        <v>7636</v>
      </c>
      <c r="M691">
        <v>0.26700000000000002</v>
      </c>
    </row>
    <row r="692" spans="1:13" x14ac:dyDescent="0.25">
      <c r="A692" t="s">
        <v>7637</v>
      </c>
      <c r="B692">
        <v>66070</v>
      </c>
      <c r="C692">
        <v>5607582010295</v>
      </c>
      <c r="D692">
        <v>99.9</v>
      </c>
      <c r="E692">
        <v>33.29</v>
      </c>
      <c r="F692">
        <v>42.7</v>
      </c>
      <c r="G692">
        <v>23.026900000000001</v>
      </c>
      <c r="H692">
        <v>0</v>
      </c>
      <c r="K692">
        <v>66070</v>
      </c>
      <c r="L692" t="s">
        <v>7637</v>
      </c>
      <c r="M692">
        <v>0</v>
      </c>
    </row>
    <row r="693" spans="1:13" x14ac:dyDescent="0.25">
      <c r="A693" t="s">
        <v>7638</v>
      </c>
      <c r="B693">
        <v>2962</v>
      </c>
      <c r="C693">
        <v>5601110008099</v>
      </c>
      <c r="D693">
        <v>54.9</v>
      </c>
      <c r="E693">
        <v>36.01</v>
      </c>
      <c r="F693">
        <v>21.99</v>
      </c>
      <c r="G693">
        <v>24.022500000000001</v>
      </c>
      <c r="H693">
        <v>2.2330000000000001</v>
      </c>
      <c r="K693">
        <v>2962</v>
      </c>
      <c r="L693" t="s">
        <v>7638</v>
      </c>
      <c r="M693">
        <v>1.867</v>
      </c>
    </row>
    <row r="694" spans="1:13" x14ac:dyDescent="0.25">
      <c r="A694" t="s">
        <v>7639</v>
      </c>
      <c r="B694">
        <v>14000</v>
      </c>
      <c r="C694">
        <v>5601110008105</v>
      </c>
      <c r="D694">
        <v>54.9</v>
      </c>
      <c r="E694">
        <v>36.42</v>
      </c>
      <c r="F694">
        <v>21.71</v>
      </c>
      <c r="G694">
        <v>24.180599999999998</v>
      </c>
      <c r="H694">
        <v>0.23300000000000001</v>
      </c>
      <c r="K694">
        <v>14000</v>
      </c>
      <c r="L694" t="s">
        <v>7639</v>
      </c>
      <c r="M694">
        <v>0.4</v>
      </c>
    </row>
    <row r="695" spans="1:13" x14ac:dyDescent="0.25">
      <c r="A695" t="s">
        <v>7640</v>
      </c>
      <c r="B695">
        <v>48411</v>
      </c>
      <c r="C695">
        <v>3500610087745</v>
      </c>
      <c r="D695">
        <v>179.9</v>
      </c>
      <c r="E695">
        <v>112.65</v>
      </c>
      <c r="F695">
        <v>23.94</v>
      </c>
      <c r="G695">
        <v>75.216499999999996</v>
      </c>
      <c r="H695">
        <v>3.3000000000000002E-2</v>
      </c>
      <c r="K695">
        <v>48411</v>
      </c>
      <c r="L695" t="s">
        <v>7640</v>
      </c>
      <c r="M695">
        <v>3.3000000000000002E-2</v>
      </c>
    </row>
    <row r="696" spans="1:13" x14ac:dyDescent="0.25">
      <c r="A696" t="s">
        <v>7641</v>
      </c>
      <c r="B696">
        <v>56218</v>
      </c>
      <c r="C696">
        <v>3159560700077</v>
      </c>
      <c r="D696">
        <v>319.89999999999998</v>
      </c>
      <c r="E696">
        <v>199.33</v>
      </c>
      <c r="F696">
        <v>21.08</v>
      </c>
      <c r="G696">
        <v>142.8854</v>
      </c>
      <c r="H696">
        <v>0</v>
      </c>
      <c r="K696">
        <v>56218</v>
      </c>
      <c r="L696" t="s">
        <v>7641</v>
      </c>
      <c r="M696">
        <v>0</v>
      </c>
    </row>
    <row r="697" spans="1:13" x14ac:dyDescent="0.25">
      <c r="A697" t="s">
        <v>7642</v>
      </c>
      <c r="B697">
        <v>52761</v>
      </c>
      <c r="C697">
        <v>3500610146701</v>
      </c>
      <c r="D697">
        <v>149.9</v>
      </c>
      <c r="E697">
        <v>81.41</v>
      </c>
      <c r="F697">
        <v>30.04</v>
      </c>
      <c r="G697">
        <v>53.527700000000003</v>
      </c>
      <c r="H697">
        <v>3.3000000000000002E-2</v>
      </c>
      <c r="K697">
        <v>52761</v>
      </c>
      <c r="L697" t="s">
        <v>7642</v>
      </c>
      <c r="M697">
        <v>3.3000000000000002E-2</v>
      </c>
    </row>
    <row r="698" spans="1:13" x14ac:dyDescent="0.25">
      <c r="A698" t="s">
        <v>7643</v>
      </c>
      <c r="B698">
        <v>31598</v>
      </c>
      <c r="C698">
        <v>8006114000020</v>
      </c>
      <c r="D698">
        <v>299.89999999999998</v>
      </c>
      <c r="E698">
        <v>283.31</v>
      </c>
      <c r="F698">
        <v>-2.39</v>
      </c>
      <c r="G698">
        <v>204.33779999999999</v>
      </c>
      <c r="H698">
        <v>0</v>
      </c>
      <c r="K698">
        <v>31598</v>
      </c>
      <c r="L698" t="s">
        <v>7643</v>
      </c>
      <c r="M698">
        <v>0</v>
      </c>
    </row>
    <row r="699" spans="1:13" x14ac:dyDescent="0.25">
      <c r="A699" t="s">
        <v>7644</v>
      </c>
      <c r="B699">
        <v>31547</v>
      </c>
      <c r="C699">
        <v>8006114000013</v>
      </c>
      <c r="D699">
        <v>649.9</v>
      </c>
      <c r="E699">
        <v>422.39</v>
      </c>
      <c r="F699">
        <v>23.97</v>
      </c>
      <c r="G699">
        <v>271.5009</v>
      </c>
      <c r="H699">
        <v>0</v>
      </c>
      <c r="K699">
        <v>31547</v>
      </c>
      <c r="L699" t="s">
        <v>7644</v>
      </c>
      <c r="M699">
        <v>0</v>
      </c>
    </row>
    <row r="700" spans="1:13" x14ac:dyDescent="0.25">
      <c r="A700" t="s">
        <v>7645</v>
      </c>
      <c r="B700">
        <v>31597</v>
      </c>
      <c r="C700">
        <v>8006097000253</v>
      </c>
      <c r="D700">
        <v>249.9</v>
      </c>
      <c r="E700">
        <v>164.38</v>
      </c>
      <c r="F700">
        <v>22.5</v>
      </c>
      <c r="G700">
        <v>108.08</v>
      </c>
      <c r="H700">
        <v>0</v>
      </c>
      <c r="K700">
        <v>31597</v>
      </c>
      <c r="L700" t="s">
        <v>7645</v>
      </c>
      <c r="M700">
        <v>0</v>
      </c>
    </row>
    <row r="701" spans="1:13" x14ac:dyDescent="0.25">
      <c r="A701" t="s">
        <v>7646</v>
      </c>
      <c r="B701">
        <v>59620</v>
      </c>
      <c r="C701">
        <v>7804426000698</v>
      </c>
      <c r="D701">
        <v>26.9</v>
      </c>
      <c r="E701">
        <v>14.61</v>
      </c>
      <c r="F701">
        <v>30.03</v>
      </c>
      <c r="G701">
        <v>9.6082000000000001</v>
      </c>
      <c r="H701">
        <v>6.2670000000000003</v>
      </c>
      <c r="K701">
        <v>59620</v>
      </c>
      <c r="L701" t="s">
        <v>7646</v>
      </c>
      <c r="M701">
        <v>3.5670000000000002</v>
      </c>
    </row>
    <row r="702" spans="1:13" x14ac:dyDescent="0.25">
      <c r="A702" t="s">
        <v>7647</v>
      </c>
      <c r="B702">
        <v>59415</v>
      </c>
      <c r="C702">
        <v>7896931611353</v>
      </c>
      <c r="D702">
        <v>16.899999999999999</v>
      </c>
      <c r="E702">
        <v>11.49</v>
      </c>
      <c r="F702">
        <v>21.82</v>
      </c>
      <c r="G702">
        <v>7.4242999999999997</v>
      </c>
      <c r="H702">
        <v>1.5669999999999999</v>
      </c>
      <c r="K702">
        <v>59415</v>
      </c>
      <c r="L702" t="s">
        <v>7647</v>
      </c>
      <c r="M702">
        <v>1.0669999999999999</v>
      </c>
    </row>
    <row r="703" spans="1:13" x14ac:dyDescent="0.25">
      <c r="A703" t="s">
        <v>7648</v>
      </c>
      <c r="B703">
        <v>64345</v>
      </c>
      <c r="C703">
        <v>7896931611377</v>
      </c>
      <c r="D703">
        <v>16.899999999999999</v>
      </c>
      <c r="E703">
        <v>11.38</v>
      </c>
      <c r="F703">
        <v>22.08</v>
      </c>
      <c r="G703">
        <v>7.3807</v>
      </c>
      <c r="H703">
        <v>3.4329999999999998</v>
      </c>
      <c r="K703">
        <v>64345</v>
      </c>
      <c r="L703" t="s">
        <v>7648</v>
      </c>
      <c r="M703">
        <v>3.1669999999999998</v>
      </c>
    </row>
    <row r="704" spans="1:13" x14ac:dyDescent="0.25">
      <c r="A704" t="s">
        <v>7649</v>
      </c>
      <c r="B704">
        <v>59416</v>
      </c>
      <c r="C704">
        <v>7896931611346</v>
      </c>
      <c r="D704">
        <v>16.899999999999999</v>
      </c>
      <c r="E704">
        <v>11.01</v>
      </c>
      <c r="F704">
        <v>22.76</v>
      </c>
      <c r="G704">
        <v>7.2653999999999996</v>
      </c>
      <c r="H704">
        <v>11.266999999999999</v>
      </c>
      <c r="K704">
        <v>59416</v>
      </c>
      <c r="L704" t="s">
        <v>7649</v>
      </c>
      <c r="M704">
        <v>6.8</v>
      </c>
    </row>
    <row r="705" spans="1:13" x14ac:dyDescent="0.25">
      <c r="A705" t="s">
        <v>7650</v>
      </c>
      <c r="B705">
        <v>64347</v>
      </c>
      <c r="C705">
        <v>7896931611360</v>
      </c>
      <c r="D705">
        <v>16.899999999999999</v>
      </c>
      <c r="E705">
        <v>11.66</v>
      </c>
      <c r="F705">
        <v>21.63</v>
      </c>
      <c r="G705">
        <v>7.4565000000000001</v>
      </c>
      <c r="H705">
        <v>2.367</v>
      </c>
      <c r="K705">
        <v>64347</v>
      </c>
      <c r="L705" t="s">
        <v>7650</v>
      </c>
      <c r="M705">
        <v>2.5329999999999999</v>
      </c>
    </row>
    <row r="706" spans="1:13" x14ac:dyDescent="0.25">
      <c r="A706" t="s">
        <v>7651</v>
      </c>
      <c r="B706">
        <v>64358</v>
      </c>
      <c r="C706">
        <v>7896931611384</v>
      </c>
      <c r="D706">
        <v>16.899999999999999</v>
      </c>
      <c r="E706">
        <v>11.66</v>
      </c>
      <c r="F706">
        <v>20.190000000000001</v>
      </c>
      <c r="G706">
        <v>7.6988000000000003</v>
      </c>
      <c r="H706">
        <v>3.5670000000000002</v>
      </c>
      <c r="K706">
        <v>64358</v>
      </c>
      <c r="L706" t="s">
        <v>7651</v>
      </c>
      <c r="M706">
        <v>1.7</v>
      </c>
    </row>
    <row r="707" spans="1:13" x14ac:dyDescent="0.25">
      <c r="A707" t="s">
        <v>7652</v>
      </c>
      <c r="B707">
        <v>64122</v>
      </c>
      <c r="C707">
        <v>8016706002813</v>
      </c>
      <c r="D707">
        <v>88.56</v>
      </c>
      <c r="E707">
        <v>56.93</v>
      </c>
      <c r="F707">
        <v>23.48</v>
      </c>
      <c r="G707">
        <v>37.434199999999997</v>
      </c>
      <c r="H707">
        <v>0.16700000000000001</v>
      </c>
      <c r="K707">
        <v>64122</v>
      </c>
      <c r="L707" t="s">
        <v>7652</v>
      </c>
      <c r="M707">
        <v>3.3000000000000002E-2</v>
      </c>
    </row>
    <row r="708" spans="1:13" x14ac:dyDescent="0.25">
      <c r="A708" t="s">
        <v>7653</v>
      </c>
      <c r="B708">
        <v>64121</v>
      </c>
      <c r="C708">
        <v>8016706002998</v>
      </c>
      <c r="D708">
        <v>89.9</v>
      </c>
      <c r="E708">
        <v>56.93</v>
      </c>
      <c r="F708">
        <v>24.11</v>
      </c>
      <c r="G708">
        <v>37.433900000000001</v>
      </c>
      <c r="H708">
        <v>3.3000000000000002E-2</v>
      </c>
      <c r="K708">
        <v>64121</v>
      </c>
      <c r="L708" t="s">
        <v>7653</v>
      </c>
      <c r="M708">
        <v>3.3000000000000002E-2</v>
      </c>
    </row>
    <row r="709" spans="1:13" x14ac:dyDescent="0.25">
      <c r="A709" t="s">
        <v>7654</v>
      </c>
      <c r="B709">
        <v>62180</v>
      </c>
      <c r="C709">
        <v>8412366020011</v>
      </c>
      <c r="D709">
        <v>99.9</v>
      </c>
      <c r="E709">
        <v>59.45</v>
      </c>
      <c r="F709">
        <v>26.62</v>
      </c>
      <c r="G709">
        <v>39.0871</v>
      </c>
      <c r="H709">
        <v>0</v>
      </c>
      <c r="K709">
        <v>62180</v>
      </c>
      <c r="L709" t="s">
        <v>7654</v>
      </c>
      <c r="M709">
        <v>0</v>
      </c>
    </row>
    <row r="710" spans="1:13" x14ac:dyDescent="0.25">
      <c r="A710" t="s">
        <v>7655</v>
      </c>
      <c r="B710">
        <v>62182</v>
      </c>
      <c r="C710">
        <v>8412366010036</v>
      </c>
      <c r="D710">
        <v>139.9</v>
      </c>
      <c r="E710">
        <v>90.49</v>
      </c>
      <c r="F710">
        <v>23.53</v>
      </c>
      <c r="G710">
        <v>59.065300000000001</v>
      </c>
      <c r="H710">
        <v>0</v>
      </c>
      <c r="K710">
        <v>62182</v>
      </c>
      <c r="L710" t="s">
        <v>7655</v>
      </c>
      <c r="M710">
        <v>0</v>
      </c>
    </row>
    <row r="711" spans="1:13" x14ac:dyDescent="0.25">
      <c r="A711" t="s">
        <v>7656</v>
      </c>
      <c r="B711">
        <v>62181</v>
      </c>
      <c r="C711">
        <v>8412366010012</v>
      </c>
      <c r="D711">
        <v>99.9</v>
      </c>
      <c r="E711">
        <v>64.37</v>
      </c>
      <c r="F711">
        <v>23.55</v>
      </c>
      <c r="G711">
        <v>42.157400000000003</v>
      </c>
      <c r="H711">
        <v>3.3000000000000002E-2</v>
      </c>
      <c r="K711">
        <v>62181</v>
      </c>
      <c r="L711" t="s">
        <v>7656</v>
      </c>
      <c r="M711">
        <v>3.3000000000000002E-2</v>
      </c>
    </row>
    <row r="712" spans="1:13" x14ac:dyDescent="0.25">
      <c r="A712" t="s">
        <v>7657</v>
      </c>
      <c r="B712">
        <v>69621</v>
      </c>
      <c r="C712">
        <v>7804335004152</v>
      </c>
      <c r="D712">
        <v>149.9</v>
      </c>
      <c r="E712">
        <v>67.400000000000006</v>
      </c>
      <c r="F712">
        <v>36.18</v>
      </c>
      <c r="G712">
        <v>44.3185</v>
      </c>
      <c r="H712">
        <v>0</v>
      </c>
      <c r="K712">
        <v>69621</v>
      </c>
      <c r="L712" t="s">
        <v>7657</v>
      </c>
      <c r="M712">
        <v>0</v>
      </c>
    </row>
    <row r="713" spans="1:13" x14ac:dyDescent="0.25">
      <c r="A713" t="s">
        <v>7658</v>
      </c>
      <c r="B713">
        <v>69622</v>
      </c>
      <c r="C713">
        <v>7804335604154</v>
      </c>
      <c r="D713">
        <v>899.9</v>
      </c>
      <c r="E713">
        <v>363.58</v>
      </c>
      <c r="F713">
        <v>39.19</v>
      </c>
      <c r="G713">
        <v>239.05109999999999</v>
      </c>
      <c r="H713">
        <v>0</v>
      </c>
      <c r="K713">
        <v>69622</v>
      </c>
      <c r="L713" t="s">
        <v>7658</v>
      </c>
      <c r="M713">
        <v>0</v>
      </c>
    </row>
    <row r="714" spans="1:13" x14ac:dyDescent="0.25">
      <c r="A714" t="s">
        <v>7659</v>
      </c>
      <c r="B714">
        <v>63028</v>
      </c>
      <c r="C714">
        <v>7804335005562</v>
      </c>
      <c r="D714">
        <v>299.89999999999998</v>
      </c>
      <c r="E714">
        <v>130.16</v>
      </c>
      <c r="F714">
        <v>37.56</v>
      </c>
      <c r="G714">
        <v>84.549499999999995</v>
      </c>
      <c r="H714">
        <v>0</v>
      </c>
      <c r="K714">
        <v>63028</v>
      </c>
      <c r="L714" t="s">
        <v>7659</v>
      </c>
      <c r="M714">
        <v>0</v>
      </c>
    </row>
    <row r="715" spans="1:13" x14ac:dyDescent="0.25">
      <c r="A715" t="s">
        <v>7660</v>
      </c>
      <c r="B715">
        <v>63025</v>
      </c>
      <c r="C715">
        <v>7804335004985</v>
      </c>
      <c r="D715">
        <v>299.89999999999998</v>
      </c>
      <c r="E715">
        <v>129.93</v>
      </c>
      <c r="F715">
        <v>37.78</v>
      </c>
      <c r="G715">
        <v>83.876999999999995</v>
      </c>
      <c r="H715">
        <v>0</v>
      </c>
      <c r="K715">
        <v>63025</v>
      </c>
      <c r="L715" t="s">
        <v>7660</v>
      </c>
      <c r="M715">
        <v>0</v>
      </c>
    </row>
    <row r="716" spans="1:13" x14ac:dyDescent="0.25">
      <c r="A716" t="s">
        <v>7661</v>
      </c>
      <c r="B716">
        <v>63027</v>
      </c>
      <c r="C716">
        <v>7804335005678</v>
      </c>
      <c r="D716">
        <v>49.9</v>
      </c>
      <c r="E716">
        <v>19</v>
      </c>
      <c r="F716">
        <v>40.53</v>
      </c>
      <c r="G716">
        <v>12.5829</v>
      </c>
      <c r="H716">
        <v>0.36699999999999999</v>
      </c>
      <c r="K716">
        <v>63027</v>
      </c>
      <c r="L716" t="s">
        <v>7661</v>
      </c>
      <c r="M716">
        <v>0.23300000000000001</v>
      </c>
    </row>
    <row r="717" spans="1:13" x14ac:dyDescent="0.25">
      <c r="A717" t="s">
        <v>7662</v>
      </c>
      <c r="B717">
        <v>63026</v>
      </c>
      <c r="C717">
        <v>7804335005685</v>
      </c>
      <c r="D717">
        <v>49.9</v>
      </c>
      <c r="E717">
        <v>18.93</v>
      </c>
      <c r="F717">
        <v>40.46</v>
      </c>
      <c r="G717">
        <v>12.618</v>
      </c>
      <c r="H717">
        <v>0.1</v>
      </c>
      <c r="K717">
        <v>63026</v>
      </c>
      <c r="L717" t="s">
        <v>7662</v>
      </c>
      <c r="M717">
        <v>6.7000000000000004E-2</v>
      </c>
    </row>
    <row r="718" spans="1:13" x14ac:dyDescent="0.25">
      <c r="A718" t="s">
        <v>7663</v>
      </c>
      <c r="B718">
        <v>63029</v>
      </c>
      <c r="C718">
        <v>7804335005715</v>
      </c>
      <c r="D718">
        <v>49.9</v>
      </c>
      <c r="E718">
        <v>19.05</v>
      </c>
      <c r="F718">
        <v>40.6</v>
      </c>
      <c r="G718">
        <v>12.5482</v>
      </c>
      <c r="H718">
        <v>1</v>
      </c>
      <c r="K718">
        <v>63029</v>
      </c>
      <c r="L718" t="s">
        <v>7663</v>
      </c>
      <c r="M718">
        <v>0.26700000000000002</v>
      </c>
    </row>
    <row r="719" spans="1:13" x14ac:dyDescent="0.25">
      <c r="A719" t="s">
        <v>7664</v>
      </c>
      <c r="B719">
        <v>63022</v>
      </c>
      <c r="C719">
        <v>7804335005722</v>
      </c>
      <c r="D719">
        <v>49.9</v>
      </c>
      <c r="E719">
        <v>18.37</v>
      </c>
      <c r="F719">
        <v>41.04</v>
      </c>
      <c r="G719">
        <v>12.332100000000001</v>
      </c>
      <c r="H719">
        <v>0.6</v>
      </c>
      <c r="K719">
        <v>63022</v>
      </c>
      <c r="L719" t="s">
        <v>7664</v>
      </c>
      <c r="M719">
        <v>0.26700000000000002</v>
      </c>
    </row>
    <row r="720" spans="1:13" x14ac:dyDescent="0.25">
      <c r="A720" t="s">
        <v>7665</v>
      </c>
      <c r="B720">
        <v>69128</v>
      </c>
      <c r="C720">
        <v>7804335004589</v>
      </c>
      <c r="D720">
        <v>119.9</v>
      </c>
      <c r="E720">
        <v>61.78</v>
      </c>
      <c r="F720">
        <v>31.87</v>
      </c>
      <c r="G720">
        <v>40.619999999999997</v>
      </c>
      <c r="H720">
        <v>3.3000000000000002E-2</v>
      </c>
      <c r="K720">
        <v>69128</v>
      </c>
      <c r="L720" t="s">
        <v>7665</v>
      </c>
      <c r="M720">
        <v>3.3000000000000002E-2</v>
      </c>
    </row>
    <row r="721" spans="1:13" x14ac:dyDescent="0.25">
      <c r="A721" t="s">
        <v>7666</v>
      </c>
      <c r="B721">
        <v>67147</v>
      </c>
      <c r="C721">
        <v>7804335004640</v>
      </c>
      <c r="D721">
        <v>149</v>
      </c>
      <c r="E721">
        <v>62.9</v>
      </c>
      <c r="F721">
        <v>37.5</v>
      </c>
      <c r="G721">
        <v>42.087299999999999</v>
      </c>
      <c r="H721">
        <v>0.2</v>
      </c>
      <c r="K721">
        <v>67147</v>
      </c>
      <c r="L721" t="s">
        <v>7666</v>
      </c>
      <c r="M721">
        <v>0</v>
      </c>
    </row>
    <row r="722" spans="1:13" x14ac:dyDescent="0.25">
      <c r="A722" t="s">
        <v>7667</v>
      </c>
      <c r="B722">
        <v>62816</v>
      </c>
      <c r="C722">
        <v>7898152997414</v>
      </c>
      <c r="D722">
        <v>59.9</v>
      </c>
      <c r="E722">
        <v>41.98</v>
      </c>
      <c r="F722">
        <v>19.68</v>
      </c>
      <c r="G722">
        <v>27.596800000000002</v>
      </c>
      <c r="H722">
        <v>0.2</v>
      </c>
      <c r="K722">
        <v>62816</v>
      </c>
      <c r="L722" t="s">
        <v>7667</v>
      </c>
      <c r="M722">
        <v>0.16700000000000001</v>
      </c>
    </row>
    <row r="723" spans="1:13" x14ac:dyDescent="0.25">
      <c r="A723" t="s">
        <v>7668</v>
      </c>
      <c r="B723">
        <v>27692</v>
      </c>
      <c r="C723">
        <v>5602720144078</v>
      </c>
      <c r="D723">
        <v>219.9</v>
      </c>
      <c r="E723">
        <v>118.49</v>
      </c>
      <c r="F723">
        <v>30.32</v>
      </c>
      <c r="G723">
        <v>77.91</v>
      </c>
      <c r="H723">
        <v>6.7000000000000004E-2</v>
      </c>
      <c r="K723">
        <v>27692</v>
      </c>
      <c r="L723" t="s">
        <v>7668</v>
      </c>
      <c r="M723">
        <v>6.7000000000000004E-2</v>
      </c>
    </row>
    <row r="724" spans="1:13" x14ac:dyDescent="0.25">
      <c r="A724" t="s">
        <v>7669</v>
      </c>
      <c r="B724">
        <v>64431</v>
      </c>
      <c r="C724">
        <v>5602720844756</v>
      </c>
      <c r="D724" s="1">
        <v>1999.9</v>
      </c>
      <c r="E724" s="1">
        <v>1109.3399999999999</v>
      </c>
      <c r="F724">
        <v>29.28</v>
      </c>
      <c r="G724">
        <v>729.39160000000004</v>
      </c>
      <c r="H724">
        <v>0</v>
      </c>
      <c r="K724">
        <v>64431</v>
      </c>
      <c r="L724" t="s">
        <v>7669</v>
      </c>
      <c r="M724">
        <v>0</v>
      </c>
    </row>
    <row r="725" spans="1:13" x14ac:dyDescent="0.25">
      <c r="A725" t="s">
        <v>7670</v>
      </c>
      <c r="B725">
        <v>28001</v>
      </c>
      <c r="C725">
        <v>5602720044057</v>
      </c>
      <c r="D725">
        <v>199.9</v>
      </c>
      <c r="E725">
        <v>160.91</v>
      </c>
      <c r="F725">
        <v>12.79</v>
      </c>
      <c r="G725">
        <v>105.8591</v>
      </c>
      <c r="H725">
        <v>1.3</v>
      </c>
      <c r="K725">
        <v>28001</v>
      </c>
      <c r="L725" t="s">
        <v>7670</v>
      </c>
      <c r="M725">
        <v>6.7000000000000004E-2</v>
      </c>
    </row>
    <row r="726" spans="1:13" x14ac:dyDescent="0.25">
      <c r="A726" t="s">
        <v>7671</v>
      </c>
      <c r="B726">
        <v>27697</v>
      </c>
      <c r="C726">
        <v>5602720014074</v>
      </c>
      <c r="D726">
        <v>49.9</v>
      </c>
      <c r="E726">
        <v>43.01</v>
      </c>
      <c r="F726">
        <v>9.01</v>
      </c>
      <c r="G726">
        <v>28.3126</v>
      </c>
      <c r="H726">
        <v>6.7670000000000003</v>
      </c>
      <c r="K726">
        <v>27697</v>
      </c>
      <c r="L726" t="s">
        <v>7671</v>
      </c>
      <c r="M726">
        <v>2.0329999999999999</v>
      </c>
    </row>
    <row r="727" spans="1:13" x14ac:dyDescent="0.25">
      <c r="A727" t="s">
        <v>7672</v>
      </c>
      <c r="B727">
        <v>66737</v>
      </c>
      <c r="C727">
        <v>5602720214078</v>
      </c>
      <c r="D727">
        <v>69.900000000000006</v>
      </c>
      <c r="E727">
        <v>44.53</v>
      </c>
      <c r="F727">
        <v>23.86</v>
      </c>
      <c r="G727">
        <v>29.2806</v>
      </c>
      <c r="H727">
        <v>0.3</v>
      </c>
      <c r="K727">
        <v>66737</v>
      </c>
      <c r="L727" t="s">
        <v>7672</v>
      </c>
      <c r="M727">
        <v>0.3</v>
      </c>
    </row>
    <row r="728" spans="1:13" x14ac:dyDescent="0.25">
      <c r="A728" t="s">
        <v>7673</v>
      </c>
      <c r="B728">
        <v>54885</v>
      </c>
      <c r="C728">
        <v>5602720015071</v>
      </c>
      <c r="D728">
        <v>159.9</v>
      </c>
      <c r="E728">
        <v>101.48</v>
      </c>
      <c r="F728">
        <v>24.07</v>
      </c>
      <c r="G728">
        <v>66.646299999999997</v>
      </c>
      <c r="H728">
        <v>0</v>
      </c>
      <c r="K728">
        <v>54885</v>
      </c>
      <c r="L728" t="s">
        <v>7673</v>
      </c>
      <c r="M728">
        <v>0</v>
      </c>
    </row>
    <row r="729" spans="1:13" x14ac:dyDescent="0.25">
      <c r="A729" t="s">
        <v>7674</v>
      </c>
      <c r="B729">
        <v>64433</v>
      </c>
      <c r="C729">
        <v>5602720841045</v>
      </c>
      <c r="D729" s="1">
        <v>2999.9</v>
      </c>
      <c r="E729" s="1">
        <v>1285.33</v>
      </c>
      <c r="F729">
        <v>37.58</v>
      </c>
      <c r="G729">
        <v>845.10569999999996</v>
      </c>
      <c r="H729">
        <v>0</v>
      </c>
      <c r="K729">
        <v>64433</v>
      </c>
      <c r="L729" t="s">
        <v>7674</v>
      </c>
      <c r="M729">
        <v>0</v>
      </c>
    </row>
    <row r="730" spans="1:13" x14ac:dyDescent="0.25">
      <c r="A730" t="s">
        <v>7675</v>
      </c>
      <c r="B730">
        <v>64432</v>
      </c>
      <c r="C730">
        <v>5602720841243</v>
      </c>
      <c r="D730" s="1">
        <v>3999.9</v>
      </c>
      <c r="E730" s="1">
        <v>2136.29</v>
      </c>
      <c r="F730">
        <v>30.63</v>
      </c>
      <c r="G730" s="1">
        <v>1404.6111000000001</v>
      </c>
      <c r="H730">
        <v>0</v>
      </c>
      <c r="K730">
        <v>64432</v>
      </c>
      <c r="L730" t="s">
        <v>7675</v>
      </c>
      <c r="M730">
        <v>0</v>
      </c>
    </row>
    <row r="731" spans="1:13" x14ac:dyDescent="0.25">
      <c r="A731" t="s">
        <v>7676</v>
      </c>
      <c r="B731">
        <v>64429</v>
      </c>
      <c r="C731">
        <v>5602720041452</v>
      </c>
      <c r="D731">
        <v>599.9</v>
      </c>
      <c r="E731">
        <v>349.04</v>
      </c>
      <c r="F731">
        <v>27.49</v>
      </c>
      <c r="G731">
        <v>229.49639999999999</v>
      </c>
      <c r="H731">
        <v>0</v>
      </c>
      <c r="K731">
        <v>64429</v>
      </c>
      <c r="L731" t="s">
        <v>7676</v>
      </c>
      <c r="M731">
        <v>0</v>
      </c>
    </row>
    <row r="732" spans="1:13" x14ac:dyDescent="0.25">
      <c r="A732" t="s">
        <v>7677</v>
      </c>
      <c r="B732">
        <v>66739</v>
      </c>
      <c r="C732">
        <v>5602720244211</v>
      </c>
      <c r="D732">
        <v>199.9</v>
      </c>
      <c r="E732">
        <v>121.51</v>
      </c>
      <c r="F732">
        <v>25.78</v>
      </c>
      <c r="G732">
        <v>79.890699999999995</v>
      </c>
      <c r="H732">
        <v>0</v>
      </c>
      <c r="K732">
        <v>66739</v>
      </c>
      <c r="L732" t="s">
        <v>7677</v>
      </c>
      <c r="M732">
        <v>0</v>
      </c>
    </row>
    <row r="733" spans="1:13" x14ac:dyDescent="0.25">
      <c r="A733" t="s">
        <v>7678</v>
      </c>
      <c r="B733">
        <v>44466</v>
      </c>
      <c r="C733">
        <v>5601007478509</v>
      </c>
      <c r="D733">
        <v>399.9</v>
      </c>
      <c r="E733">
        <v>256.33999999999997</v>
      </c>
      <c r="F733">
        <v>20.8</v>
      </c>
      <c r="G733">
        <v>179.76310000000001</v>
      </c>
      <c r="H733">
        <v>0</v>
      </c>
      <c r="K733">
        <v>44466</v>
      </c>
      <c r="L733" t="s">
        <v>7678</v>
      </c>
      <c r="M733">
        <v>0</v>
      </c>
    </row>
    <row r="734" spans="1:13" x14ac:dyDescent="0.25">
      <c r="A734" t="s">
        <v>7679</v>
      </c>
      <c r="B734">
        <v>44527</v>
      </c>
      <c r="C734">
        <v>5601007001332</v>
      </c>
      <c r="D734">
        <v>129.9</v>
      </c>
      <c r="E734">
        <v>66.64</v>
      </c>
      <c r="F734">
        <v>32.15</v>
      </c>
      <c r="G734">
        <v>43.646000000000001</v>
      </c>
      <c r="H734">
        <v>0</v>
      </c>
      <c r="K734">
        <v>44527</v>
      </c>
      <c r="L734" t="s">
        <v>7679</v>
      </c>
      <c r="M734">
        <v>0</v>
      </c>
    </row>
    <row r="735" spans="1:13" x14ac:dyDescent="0.25">
      <c r="A735" t="s">
        <v>7680</v>
      </c>
      <c r="B735">
        <v>44473</v>
      </c>
      <c r="C735">
        <v>5601012002706</v>
      </c>
      <c r="D735">
        <v>189.9</v>
      </c>
      <c r="E735">
        <v>91.57</v>
      </c>
      <c r="F735">
        <v>34.04</v>
      </c>
      <c r="G735">
        <v>60.21</v>
      </c>
      <c r="H735">
        <v>6.7000000000000004E-2</v>
      </c>
      <c r="K735">
        <v>44473</v>
      </c>
      <c r="L735" t="s">
        <v>7680</v>
      </c>
      <c r="M735">
        <v>6.7000000000000004E-2</v>
      </c>
    </row>
    <row r="736" spans="1:13" x14ac:dyDescent="0.25">
      <c r="A736" t="s">
        <v>7681</v>
      </c>
      <c r="B736">
        <v>61184</v>
      </c>
      <c r="C736">
        <v>5601012011920</v>
      </c>
      <c r="D736">
        <v>169.9</v>
      </c>
      <c r="E736">
        <v>114.77</v>
      </c>
      <c r="F736">
        <v>21.34</v>
      </c>
      <c r="G736">
        <v>75.460300000000004</v>
      </c>
      <c r="H736">
        <v>3.3000000000000002E-2</v>
      </c>
      <c r="K736">
        <v>61184</v>
      </c>
      <c r="L736" t="s">
        <v>7681</v>
      </c>
      <c r="M736">
        <v>3.3000000000000002E-2</v>
      </c>
    </row>
    <row r="737" spans="1:13" x14ac:dyDescent="0.25">
      <c r="A737" t="s">
        <v>7682</v>
      </c>
      <c r="B737">
        <v>53782</v>
      </c>
      <c r="C737">
        <v>5601007001721</v>
      </c>
      <c r="D737" s="1">
        <v>2999.9</v>
      </c>
      <c r="E737" s="1">
        <v>1748.34</v>
      </c>
      <c r="F737">
        <v>27.43</v>
      </c>
      <c r="G737" s="1">
        <v>1149.5333000000001</v>
      </c>
      <c r="H737">
        <v>0</v>
      </c>
      <c r="K737">
        <v>53782</v>
      </c>
      <c r="L737" t="s">
        <v>7682</v>
      </c>
      <c r="M737">
        <v>0</v>
      </c>
    </row>
    <row r="738" spans="1:13" x14ac:dyDescent="0.25">
      <c r="A738" t="s">
        <v>7683</v>
      </c>
      <c r="B738">
        <v>62659</v>
      </c>
      <c r="C738">
        <v>5601012007695</v>
      </c>
      <c r="D738">
        <v>999.9</v>
      </c>
      <c r="E738">
        <v>581.85</v>
      </c>
      <c r="F738">
        <v>27.53</v>
      </c>
      <c r="G738">
        <v>382.20650000000001</v>
      </c>
      <c r="H738">
        <v>0</v>
      </c>
      <c r="K738">
        <v>62659</v>
      </c>
      <c r="L738" t="s">
        <v>7683</v>
      </c>
      <c r="M738">
        <v>0</v>
      </c>
    </row>
    <row r="739" spans="1:13" x14ac:dyDescent="0.25">
      <c r="A739" t="s">
        <v>7684</v>
      </c>
      <c r="B739">
        <v>67472</v>
      </c>
      <c r="C739">
        <v>7896452100886</v>
      </c>
      <c r="D739">
        <v>32.9</v>
      </c>
      <c r="E739">
        <v>25.56</v>
      </c>
      <c r="F739">
        <v>13.75</v>
      </c>
      <c r="G739">
        <v>17.1082</v>
      </c>
      <c r="H739">
        <v>0.76700000000000002</v>
      </c>
      <c r="K739">
        <v>67472</v>
      </c>
      <c r="L739" t="s">
        <v>7684</v>
      </c>
      <c r="M739">
        <v>0.13300000000000001</v>
      </c>
    </row>
    <row r="740" spans="1:13" x14ac:dyDescent="0.25">
      <c r="A740" t="s">
        <v>7685</v>
      </c>
      <c r="B740">
        <v>67470</v>
      </c>
      <c r="C740">
        <v>7896452104167</v>
      </c>
      <c r="D740">
        <v>32.9</v>
      </c>
      <c r="E740">
        <v>25.48</v>
      </c>
      <c r="F740">
        <v>14.13</v>
      </c>
      <c r="G740">
        <v>16.9833</v>
      </c>
      <c r="H740">
        <v>0.7</v>
      </c>
      <c r="K740">
        <v>67470</v>
      </c>
      <c r="L740" t="s">
        <v>7685</v>
      </c>
      <c r="M740">
        <v>0.26700000000000002</v>
      </c>
    </row>
    <row r="741" spans="1:13" x14ac:dyDescent="0.25">
      <c r="A741" t="s">
        <v>7686</v>
      </c>
      <c r="B741">
        <v>67467</v>
      </c>
      <c r="C741">
        <v>7896452106000</v>
      </c>
      <c r="D741">
        <v>32.9</v>
      </c>
      <c r="E741">
        <v>25.6</v>
      </c>
      <c r="F741">
        <v>13.54</v>
      </c>
      <c r="G741">
        <v>17.1783</v>
      </c>
      <c r="H741">
        <v>1.0329999999999999</v>
      </c>
      <c r="K741">
        <v>67467</v>
      </c>
      <c r="L741" t="s">
        <v>7686</v>
      </c>
      <c r="M741">
        <v>0.6</v>
      </c>
    </row>
    <row r="742" spans="1:13" x14ac:dyDescent="0.25">
      <c r="A742" t="s">
        <v>7687</v>
      </c>
      <c r="B742">
        <v>67468</v>
      </c>
      <c r="C742">
        <v>7896452106208</v>
      </c>
      <c r="D742">
        <v>32.9</v>
      </c>
      <c r="E742">
        <v>25.78</v>
      </c>
      <c r="F742">
        <v>13.99</v>
      </c>
      <c r="G742">
        <v>17.028099999999998</v>
      </c>
      <c r="H742">
        <v>1.2669999999999999</v>
      </c>
      <c r="K742">
        <v>67468</v>
      </c>
      <c r="L742" t="s">
        <v>7687</v>
      </c>
      <c r="M742">
        <v>0.5</v>
      </c>
    </row>
    <row r="743" spans="1:13" x14ac:dyDescent="0.25">
      <c r="A743" t="s">
        <v>7688</v>
      </c>
      <c r="B743">
        <v>67471</v>
      </c>
      <c r="C743">
        <v>7896452100350</v>
      </c>
      <c r="D743">
        <v>32.9</v>
      </c>
      <c r="E743">
        <v>25.39</v>
      </c>
      <c r="F743">
        <v>13.99</v>
      </c>
      <c r="G743">
        <v>17.027799999999999</v>
      </c>
      <c r="H743">
        <v>0.8</v>
      </c>
      <c r="K743">
        <v>67471</v>
      </c>
      <c r="L743" t="s">
        <v>7688</v>
      </c>
      <c r="M743">
        <v>0.13300000000000001</v>
      </c>
    </row>
    <row r="744" spans="1:13" x14ac:dyDescent="0.25">
      <c r="A744" t="s">
        <v>7689</v>
      </c>
      <c r="B744">
        <v>56910</v>
      </c>
      <c r="C744">
        <v>7896452104433</v>
      </c>
      <c r="D744">
        <v>249.9</v>
      </c>
      <c r="E744">
        <v>158.19</v>
      </c>
      <c r="F744">
        <v>24.13</v>
      </c>
      <c r="G744">
        <v>104.00830000000001</v>
      </c>
      <c r="H744">
        <v>0</v>
      </c>
      <c r="K744">
        <v>56910</v>
      </c>
      <c r="L744" t="s">
        <v>7689</v>
      </c>
      <c r="M744">
        <v>0</v>
      </c>
    </row>
    <row r="745" spans="1:13" x14ac:dyDescent="0.25">
      <c r="A745" t="s">
        <v>7690</v>
      </c>
      <c r="B745">
        <v>55979</v>
      </c>
      <c r="C745">
        <v>7896452101524</v>
      </c>
      <c r="D745">
        <v>69.900000000000006</v>
      </c>
      <c r="E745">
        <v>40.11</v>
      </c>
      <c r="F745">
        <v>26.97</v>
      </c>
      <c r="G745">
        <v>27.105899999999998</v>
      </c>
      <c r="H745">
        <v>0</v>
      </c>
      <c r="K745">
        <v>55979</v>
      </c>
      <c r="L745" t="s">
        <v>7690</v>
      </c>
      <c r="M745">
        <v>0</v>
      </c>
    </row>
    <row r="746" spans="1:13" x14ac:dyDescent="0.25">
      <c r="A746" t="s">
        <v>7691</v>
      </c>
      <c r="B746">
        <v>55978</v>
      </c>
      <c r="C746">
        <v>7896452104471</v>
      </c>
      <c r="D746">
        <v>69.900000000000006</v>
      </c>
      <c r="E746">
        <v>42.6</v>
      </c>
      <c r="F746">
        <v>25.74</v>
      </c>
      <c r="G746">
        <v>27.963899999999999</v>
      </c>
      <c r="H746">
        <v>0.13300000000000001</v>
      </c>
      <c r="K746">
        <v>55978</v>
      </c>
      <c r="L746" t="s">
        <v>7691</v>
      </c>
      <c r="M746">
        <v>0.13300000000000001</v>
      </c>
    </row>
    <row r="747" spans="1:13" x14ac:dyDescent="0.25">
      <c r="A747" t="s">
        <v>7692</v>
      </c>
      <c r="B747">
        <v>63617</v>
      </c>
      <c r="C747">
        <v>7896452104594</v>
      </c>
      <c r="D747">
        <v>69.900000000000006</v>
      </c>
      <c r="E747">
        <v>41.67</v>
      </c>
      <c r="F747">
        <v>26.62</v>
      </c>
      <c r="G747">
        <v>27.3553</v>
      </c>
      <c r="H747">
        <v>0.2</v>
      </c>
      <c r="K747">
        <v>63617</v>
      </c>
      <c r="L747" t="s">
        <v>7692</v>
      </c>
      <c r="M747">
        <v>0.16700000000000001</v>
      </c>
    </row>
    <row r="748" spans="1:13" x14ac:dyDescent="0.25">
      <c r="A748" t="s">
        <v>7693</v>
      </c>
      <c r="B748">
        <v>58873</v>
      </c>
      <c r="C748">
        <v>7804454001278</v>
      </c>
      <c r="D748">
        <v>19.899999999999999</v>
      </c>
      <c r="E748">
        <v>39.130000000000003</v>
      </c>
      <c r="F748">
        <v>-63.54</v>
      </c>
      <c r="G748">
        <v>25.728999999999999</v>
      </c>
      <c r="H748">
        <v>0</v>
      </c>
      <c r="K748">
        <v>58873</v>
      </c>
      <c r="L748" t="s">
        <v>7693</v>
      </c>
      <c r="M748">
        <v>0</v>
      </c>
    </row>
    <row r="749" spans="1:13" x14ac:dyDescent="0.25">
      <c r="A749" t="s">
        <v>7694</v>
      </c>
      <c r="B749">
        <v>63011</v>
      </c>
      <c r="C749">
        <v>7898276972816</v>
      </c>
      <c r="D749">
        <v>49.9</v>
      </c>
      <c r="E749">
        <v>32.78</v>
      </c>
      <c r="F749">
        <v>22.57</v>
      </c>
      <c r="G749">
        <v>21.548999999999999</v>
      </c>
      <c r="H749">
        <v>0</v>
      </c>
      <c r="K749">
        <v>63011</v>
      </c>
      <c r="L749" t="s">
        <v>7694</v>
      </c>
      <c r="M749">
        <v>0</v>
      </c>
    </row>
    <row r="750" spans="1:13" x14ac:dyDescent="0.25">
      <c r="A750" t="s">
        <v>7695</v>
      </c>
      <c r="B750">
        <v>63009</v>
      </c>
      <c r="C750">
        <v>7898276972793</v>
      </c>
      <c r="D750">
        <v>49.9</v>
      </c>
      <c r="E750">
        <v>31.65</v>
      </c>
      <c r="F750">
        <v>24.39</v>
      </c>
      <c r="G750">
        <v>20.638000000000002</v>
      </c>
      <c r="H750">
        <v>0.3</v>
      </c>
      <c r="K750">
        <v>63009</v>
      </c>
      <c r="L750" t="s">
        <v>7695</v>
      </c>
      <c r="M750">
        <v>0.3</v>
      </c>
    </row>
    <row r="751" spans="1:13" x14ac:dyDescent="0.25">
      <c r="A751" t="s">
        <v>7696</v>
      </c>
      <c r="B751">
        <v>63010</v>
      </c>
      <c r="C751">
        <v>7898276972809</v>
      </c>
      <c r="D751">
        <v>49.9</v>
      </c>
      <c r="E751">
        <v>33.28</v>
      </c>
      <c r="F751">
        <v>23.95</v>
      </c>
      <c r="G751">
        <v>20.858899999999998</v>
      </c>
      <c r="H751">
        <v>0.26700000000000002</v>
      </c>
      <c r="K751">
        <v>63010</v>
      </c>
      <c r="L751" t="s">
        <v>7696</v>
      </c>
      <c r="M751">
        <v>0.26700000000000002</v>
      </c>
    </row>
    <row r="752" spans="1:13" x14ac:dyDescent="0.25">
      <c r="A752" t="s">
        <v>7697</v>
      </c>
      <c r="B752">
        <v>63012</v>
      </c>
      <c r="C752">
        <v>7898276972823</v>
      </c>
      <c r="D752">
        <v>49.9</v>
      </c>
      <c r="E752">
        <v>32.76</v>
      </c>
      <c r="F752">
        <v>22.58</v>
      </c>
      <c r="G752">
        <v>21.542200000000001</v>
      </c>
      <c r="H752">
        <v>0.23300000000000001</v>
      </c>
      <c r="K752">
        <v>63012</v>
      </c>
      <c r="L752" t="s">
        <v>7697</v>
      </c>
      <c r="M752">
        <v>0.23300000000000001</v>
      </c>
    </row>
    <row r="753" spans="1:13" x14ac:dyDescent="0.25">
      <c r="A753" t="s">
        <v>7698</v>
      </c>
      <c r="B753">
        <v>53681</v>
      </c>
      <c r="C753">
        <v>7898276970553</v>
      </c>
      <c r="D753">
        <v>199.9</v>
      </c>
      <c r="E753">
        <v>130.59</v>
      </c>
      <c r="F753">
        <v>22.83</v>
      </c>
      <c r="G753">
        <v>85.802700000000002</v>
      </c>
      <c r="H753">
        <v>3.3000000000000002E-2</v>
      </c>
      <c r="K753">
        <v>53681</v>
      </c>
      <c r="L753" t="s">
        <v>7698</v>
      </c>
      <c r="M753">
        <v>3.3000000000000002E-2</v>
      </c>
    </row>
    <row r="754" spans="1:13" x14ac:dyDescent="0.25">
      <c r="A754" t="s">
        <v>7699</v>
      </c>
      <c r="B754">
        <v>54437</v>
      </c>
      <c r="C754">
        <v>7898276971789</v>
      </c>
      <c r="D754">
        <v>599.9</v>
      </c>
      <c r="E754">
        <v>465.1</v>
      </c>
      <c r="F754">
        <v>14.77</v>
      </c>
      <c r="G754">
        <v>305.8</v>
      </c>
      <c r="H754">
        <v>0</v>
      </c>
      <c r="K754">
        <v>54437</v>
      </c>
      <c r="L754" t="s">
        <v>7699</v>
      </c>
      <c r="M754">
        <v>0</v>
      </c>
    </row>
    <row r="755" spans="1:13" x14ac:dyDescent="0.25">
      <c r="A755" t="s">
        <v>7700</v>
      </c>
      <c r="B755">
        <v>9475</v>
      </c>
      <c r="C755">
        <v>5601096328303</v>
      </c>
      <c r="D755">
        <v>54.9</v>
      </c>
      <c r="E755">
        <v>38.85</v>
      </c>
      <c r="F755">
        <v>19.05</v>
      </c>
      <c r="G755">
        <v>25.639800000000001</v>
      </c>
      <c r="H755">
        <v>1.5669999999999999</v>
      </c>
      <c r="K755">
        <v>9475</v>
      </c>
      <c r="L755" t="s">
        <v>7700</v>
      </c>
      <c r="M755">
        <v>1.2</v>
      </c>
    </row>
    <row r="756" spans="1:13" x14ac:dyDescent="0.25">
      <c r="A756" t="s">
        <v>7701</v>
      </c>
      <c r="B756">
        <v>46697</v>
      </c>
      <c r="C756">
        <v>5601096200319</v>
      </c>
      <c r="D756">
        <v>54.9</v>
      </c>
      <c r="E756">
        <v>39.29</v>
      </c>
      <c r="F756">
        <v>18.68</v>
      </c>
      <c r="G756">
        <v>25.838699999999999</v>
      </c>
      <c r="H756">
        <v>4</v>
      </c>
      <c r="K756">
        <v>46697</v>
      </c>
      <c r="L756" t="s">
        <v>7701</v>
      </c>
      <c r="M756">
        <v>3.1</v>
      </c>
    </row>
    <row r="757" spans="1:13" x14ac:dyDescent="0.25">
      <c r="A757" t="s">
        <v>7702</v>
      </c>
      <c r="B757">
        <v>3216</v>
      </c>
      <c r="C757">
        <v>7898235981378</v>
      </c>
      <c r="D757">
        <v>54.9</v>
      </c>
      <c r="E757">
        <v>37.68</v>
      </c>
      <c r="F757">
        <v>20.07</v>
      </c>
      <c r="G757">
        <v>25.077100000000002</v>
      </c>
      <c r="H757">
        <v>3.1669999999999998</v>
      </c>
      <c r="K757">
        <v>3216</v>
      </c>
      <c r="L757" t="s">
        <v>7702</v>
      </c>
      <c r="M757">
        <v>2.633</v>
      </c>
    </row>
    <row r="758" spans="1:13" x14ac:dyDescent="0.25">
      <c r="A758" t="s">
        <v>7703</v>
      </c>
      <c r="B758">
        <v>65939</v>
      </c>
      <c r="C758">
        <v>560109611915</v>
      </c>
      <c r="D758">
        <v>54.9</v>
      </c>
      <c r="E758">
        <v>33.67</v>
      </c>
      <c r="F758">
        <v>25.68</v>
      </c>
      <c r="G758">
        <v>21.999500000000001</v>
      </c>
      <c r="H758">
        <v>0.83299999999999996</v>
      </c>
      <c r="K758">
        <v>65939</v>
      </c>
      <c r="L758" t="s">
        <v>7703</v>
      </c>
      <c r="M758">
        <v>0.433</v>
      </c>
    </row>
    <row r="759" spans="1:13" x14ac:dyDescent="0.25">
      <c r="A759" t="s">
        <v>7704</v>
      </c>
      <c r="B759">
        <v>65940</v>
      </c>
      <c r="C759">
        <v>5601096013902</v>
      </c>
      <c r="D759">
        <v>54.9</v>
      </c>
      <c r="E759">
        <v>37.47</v>
      </c>
      <c r="F759">
        <v>20.05</v>
      </c>
      <c r="G759">
        <v>25.0915</v>
      </c>
      <c r="H759">
        <v>1.667</v>
      </c>
      <c r="K759">
        <v>65940</v>
      </c>
      <c r="L759" t="s">
        <v>7704</v>
      </c>
      <c r="M759">
        <v>1.0669999999999999</v>
      </c>
    </row>
    <row r="760" spans="1:13" x14ac:dyDescent="0.25">
      <c r="A760" t="s">
        <v>7705</v>
      </c>
      <c r="B760">
        <v>2985</v>
      </c>
      <c r="C760">
        <v>5601096351301</v>
      </c>
      <c r="D760">
        <v>54.9</v>
      </c>
      <c r="E760">
        <v>39.26</v>
      </c>
      <c r="F760">
        <v>18.73</v>
      </c>
      <c r="G760">
        <v>25.812100000000001</v>
      </c>
      <c r="H760">
        <v>6.7000000000000004E-2</v>
      </c>
      <c r="K760">
        <v>2985</v>
      </c>
      <c r="L760" t="s">
        <v>7705</v>
      </c>
      <c r="M760">
        <v>3.3000000000000002E-2</v>
      </c>
    </row>
    <row r="761" spans="1:13" x14ac:dyDescent="0.25">
      <c r="A761" t="s">
        <v>7706</v>
      </c>
      <c r="B761">
        <v>52916</v>
      </c>
      <c r="C761">
        <v>5601213184867</v>
      </c>
      <c r="D761">
        <v>49.9</v>
      </c>
      <c r="E761">
        <v>25.88</v>
      </c>
      <c r="F761">
        <v>31.64</v>
      </c>
      <c r="G761">
        <v>17.020800000000001</v>
      </c>
      <c r="H761">
        <v>0.8</v>
      </c>
      <c r="K761">
        <v>52916</v>
      </c>
      <c r="L761" t="s">
        <v>7706</v>
      </c>
      <c r="M761">
        <v>0.63300000000000001</v>
      </c>
    </row>
    <row r="762" spans="1:13" x14ac:dyDescent="0.25">
      <c r="A762" t="s">
        <v>7707</v>
      </c>
      <c r="B762">
        <v>51299</v>
      </c>
      <c r="C762">
        <v>5601213188216</v>
      </c>
      <c r="D762">
        <v>49.9</v>
      </c>
      <c r="E762">
        <v>25.64</v>
      </c>
      <c r="F762">
        <v>31.97</v>
      </c>
      <c r="G762">
        <v>16.854099999999999</v>
      </c>
      <c r="H762">
        <v>0.83299999999999996</v>
      </c>
      <c r="K762">
        <v>51299</v>
      </c>
      <c r="L762" t="s">
        <v>7707</v>
      </c>
      <c r="M762">
        <v>0.8</v>
      </c>
    </row>
    <row r="763" spans="1:13" x14ac:dyDescent="0.25">
      <c r="A763" t="s">
        <v>7708</v>
      </c>
      <c r="B763">
        <v>59901</v>
      </c>
      <c r="C763">
        <v>7809531600832</v>
      </c>
      <c r="D763">
        <v>69.900000000000006</v>
      </c>
      <c r="E763">
        <v>63.81</v>
      </c>
      <c r="F763">
        <v>5.73</v>
      </c>
      <c r="G763">
        <v>41.954000000000001</v>
      </c>
      <c r="H763">
        <v>0.13300000000000001</v>
      </c>
      <c r="K763">
        <v>59901</v>
      </c>
      <c r="L763" t="s">
        <v>7708</v>
      </c>
      <c r="M763">
        <v>3.3000000000000002E-2</v>
      </c>
    </row>
    <row r="764" spans="1:13" x14ac:dyDescent="0.25">
      <c r="A764" t="s">
        <v>7709</v>
      </c>
      <c r="B764">
        <v>59895</v>
      </c>
      <c r="C764">
        <v>7809531600160</v>
      </c>
      <c r="D764">
        <v>149.9</v>
      </c>
      <c r="E764">
        <v>93.17</v>
      </c>
      <c r="F764">
        <v>24.37</v>
      </c>
      <c r="G764">
        <v>62.03</v>
      </c>
      <c r="H764">
        <v>0.2</v>
      </c>
      <c r="K764">
        <v>59895</v>
      </c>
      <c r="L764" t="s">
        <v>7709</v>
      </c>
      <c r="M764">
        <v>0.1</v>
      </c>
    </row>
    <row r="765" spans="1:13" x14ac:dyDescent="0.25">
      <c r="A765" t="s">
        <v>7710</v>
      </c>
      <c r="B765">
        <v>59896</v>
      </c>
      <c r="C765">
        <v>7809531600771</v>
      </c>
      <c r="D765">
        <v>149.9</v>
      </c>
      <c r="E765">
        <v>96</v>
      </c>
      <c r="F765">
        <v>23.09</v>
      </c>
      <c r="G765">
        <v>63.942700000000002</v>
      </c>
      <c r="H765">
        <v>0</v>
      </c>
      <c r="K765">
        <v>59896</v>
      </c>
      <c r="L765" t="s">
        <v>7710</v>
      </c>
      <c r="M765">
        <v>0</v>
      </c>
    </row>
    <row r="766" spans="1:13" x14ac:dyDescent="0.25">
      <c r="A766" t="s">
        <v>7711</v>
      </c>
      <c r="B766">
        <v>63232</v>
      </c>
      <c r="C766">
        <v>7809531601518</v>
      </c>
      <c r="D766">
        <v>149.9</v>
      </c>
      <c r="E766">
        <v>95</v>
      </c>
      <c r="F766">
        <v>24.08</v>
      </c>
      <c r="G766">
        <v>62.461300000000001</v>
      </c>
      <c r="H766">
        <v>0</v>
      </c>
      <c r="K766">
        <v>63232</v>
      </c>
      <c r="L766" t="s">
        <v>7711</v>
      </c>
      <c r="M766">
        <v>0</v>
      </c>
    </row>
    <row r="767" spans="1:13" x14ac:dyDescent="0.25">
      <c r="A767" t="s">
        <v>7712</v>
      </c>
      <c r="B767">
        <v>59897</v>
      </c>
      <c r="C767">
        <v>7809531600542</v>
      </c>
      <c r="D767">
        <v>149.9</v>
      </c>
      <c r="E767">
        <v>79.83</v>
      </c>
      <c r="F767">
        <v>30.74</v>
      </c>
      <c r="G767">
        <v>52.484999999999999</v>
      </c>
      <c r="H767">
        <v>0</v>
      </c>
      <c r="K767">
        <v>59897</v>
      </c>
      <c r="L767" t="s">
        <v>7712</v>
      </c>
      <c r="M767">
        <v>0</v>
      </c>
    </row>
    <row r="768" spans="1:13" x14ac:dyDescent="0.25">
      <c r="A768" t="s">
        <v>7713</v>
      </c>
      <c r="B768">
        <v>59899</v>
      </c>
      <c r="C768">
        <v>7809531600788</v>
      </c>
      <c r="D768">
        <v>85.53</v>
      </c>
      <c r="E768">
        <v>53.51</v>
      </c>
      <c r="F768">
        <v>24.62</v>
      </c>
      <c r="G768">
        <v>35.178199999999997</v>
      </c>
      <c r="H768">
        <v>6.7000000000000004E-2</v>
      </c>
      <c r="K768">
        <v>59899</v>
      </c>
      <c r="L768" t="s">
        <v>7713</v>
      </c>
      <c r="M768">
        <v>0</v>
      </c>
    </row>
    <row r="769" spans="1:13" x14ac:dyDescent="0.25">
      <c r="A769" t="s">
        <v>7714</v>
      </c>
      <c r="B769">
        <v>3137</v>
      </c>
      <c r="C769">
        <v>7804320256900</v>
      </c>
      <c r="D769">
        <v>59.9</v>
      </c>
      <c r="E769">
        <v>44.86</v>
      </c>
      <c r="F769">
        <v>16.510000000000002</v>
      </c>
      <c r="G769">
        <v>29.497499999999999</v>
      </c>
      <c r="H769">
        <v>0</v>
      </c>
      <c r="K769">
        <v>3137</v>
      </c>
      <c r="L769" t="s">
        <v>7714</v>
      </c>
      <c r="M769">
        <v>0</v>
      </c>
    </row>
    <row r="770" spans="1:13" x14ac:dyDescent="0.25">
      <c r="A770" t="s">
        <v>7715</v>
      </c>
      <c r="B770">
        <v>21616</v>
      </c>
      <c r="C770">
        <v>7899413360251</v>
      </c>
      <c r="D770">
        <v>199.9</v>
      </c>
      <c r="E770">
        <v>128.29</v>
      </c>
      <c r="F770">
        <v>22.88</v>
      </c>
      <c r="G770">
        <v>85.699600000000004</v>
      </c>
      <c r="H770">
        <v>0.1</v>
      </c>
      <c r="K770">
        <v>21616</v>
      </c>
      <c r="L770" t="s">
        <v>7715</v>
      </c>
      <c r="M770">
        <v>0.1</v>
      </c>
    </row>
    <row r="771" spans="1:13" x14ac:dyDescent="0.25">
      <c r="A771" t="s">
        <v>7716</v>
      </c>
      <c r="B771">
        <v>3195</v>
      </c>
      <c r="C771">
        <v>7899413352249</v>
      </c>
      <c r="D771">
        <v>199.9</v>
      </c>
      <c r="E771">
        <v>129.63</v>
      </c>
      <c r="F771">
        <v>23.37</v>
      </c>
      <c r="G771">
        <v>84.716700000000003</v>
      </c>
      <c r="H771">
        <v>3.3000000000000002E-2</v>
      </c>
      <c r="K771">
        <v>3195</v>
      </c>
      <c r="L771" t="s">
        <v>7716</v>
      </c>
      <c r="M771">
        <v>3.3000000000000002E-2</v>
      </c>
    </row>
    <row r="772" spans="1:13" x14ac:dyDescent="0.25">
      <c r="A772" t="s">
        <v>7717</v>
      </c>
      <c r="B772">
        <v>21615</v>
      </c>
      <c r="C772">
        <v>7899413377600</v>
      </c>
      <c r="D772">
        <v>199.9</v>
      </c>
      <c r="E772">
        <v>140.27000000000001</v>
      </c>
      <c r="F772">
        <v>19.53</v>
      </c>
      <c r="G772">
        <v>92.393000000000001</v>
      </c>
      <c r="H772">
        <v>0.13300000000000001</v>
      </c>
      <c r="K772">
        <v>21615</v>
      </c>
      <c r="L772" t="s">
        <v>7717</v>
      </c>
      <c r="M772">
        <v>3.3000000000000002E-2</v>
      </c>
    </row>
    <row r="773" spans="1:13" x14ac:dyDescent="0.25">
      <c r="A773" t="s">
        <v>7718</v>
      </c>
      <c r="B773">
        <v>59318</v>
      </c>
      <c r="C773">
        <v>7794450946171</v>
      </c>
      <c r="D773">
        <v>199.9</v>
      </c>
      <c r="E773">
        <v>136.56</v>
      </c>
      <c r="F773">
        <v>20.92</v>
      </c>
      <c r="G773">
        <v>89.620699999999999</v>
      </c>
      <c r="H773">
        <v>0</v>
      </c>
      <c r="K773">
        <v>59318</v>
      </c>
      <c r="L773" t="s">
        <v>7718</v>
      </c>
      <c r="M773">
        <v>0</v>
      </c>
    </row>
    <row r="774" spans="1:13" x14ac:dyDescent="0.25">
      <c r="A774" t="s">
        <v>7719</v>
      </c>
      <c r="B774">
        <v>59602</v>
      </c>
      <c r="C774">
        <v>7804330006823</v>
      </c>
      <c r="D774">
        <v>39.9</v>
      </c>
      <c r="E774">
        <v>16.07</v>
      </c>
      <c r="F774">
        <v>39.369999999999997</v>
      </c>
      <c r="G774">
        <v>10.526899999999999</v>
      </c>
      <c r="H774">
        <v>1.6</v>
      </c>
      <c r="K774">
        <v>59602</v>
      </c>
      <c r="L774" t="s">
        <v>7719</v>
      </c>
      <c r="M774">
        <v>1</v>
      </c>
    </row>
    <row r="775" spans="1:13" x14ac:dyDescent="0.25">
      <c r="A775" t="s">
        <v>7720</v>
      </c>
      <c r="B775">
        <v>59603</v>
      </c>
      <c r="C775">
        <v>7804330006830</v>
      </c>
      <c r="D775">
        <v>39.9</v>
      </c>
      <c r="E775">
        <v>16.260000000000002</v>
      </c>
      <c r="F775">
        <v>39.04</v>
      </c>
      <c r="G775">
        <v>10.6555</v>
      </c>
      <c r="H775">
        <v>1.2669999999999999</v>
      </c>
      <c r="K775">
        <v>59603</v>
      </c>
      <c r="L775" t="s">
        <v>7720</v>
      </c>
      <c r="M775">
        <v>1.2669999999999999</v>
      </c>
    </row>
    <row r="776" spans="1:13" x14ac:dyDescent="0.25">
      <c r="A776" t="s">
        <v>7721</v>
      </c>
      <c r="B776">
        <v>59604</v>
      </c>
      <c r="C776">
        <v>7804330006816</v>
      </c>
      <c r="D776">
        <v>39.9</v>
      </c>
      <c r="E776">
        <v>15.2</v>
      </c>
      <c r="F776">
        <v>40.729999999999997</v>
      </c>
      <c r="G776">
        <v>9.9829000000000008</v>
      </c>
      <c r="H776">
        <v>1</v>
      </c>
      <c r="K776">
        <v>59604</v>
      </c>
      <c r="L776" t="s">
        <v>7721</v>
      </c>
      <c r="M776">
        <v>1.333</v>
      </c>
    </row>
    <row r="777" spans="1:13" x14ac:dyDescent="0.25">
      <c r="A777" t="s">
        <v>7722</v>
      </c>
      <c r="B777">
        <v>67583</v>
      </c>
      <c r="C777">
        <v>8006030002412</v>
      </c>
      <c r="D777">
        <v>139.9</v>
      </c>
      <c r="E777">
        <v>78.28</v>
      </c>
      <c r="F777">
        <v>25.86</v>
      </c>
      <c r="G777">
        <v>55.811</v>
      </c>
      <c r="H777">
        <v>0</v>
      </c>
      <c r="K777">
        <v>67583</v>
      </c>
      <c r="L777" t="s">
        <v>7722</v>
      </c>
      <c r="M777">
        <v>0</v>
      </c>
    </row>
    <row r="778" spans="1:13" x14ac:dyDescent="0.25">
      <c r="A778" t="s">
        <v>7723</v>
      </c>
      <c r="B778">
        <v>67584</v>
      </c>
      <c r="C778">
        <v>8006030020010</v>
      </c>
      <c r="D778">
        <v>119.9</v>
      </c>
      <c r="E778">
        <v>69.66</v>
      </c>
      <c r="F778">
        <v>25.59</v>
      </c>
      <c r="G778">
        <v>48.1556</v>
      </c>
      <c r="H778">
        <v>0</v>
      </c>
      <c r="K778">
        <v>67584</v>
      </c>
      <c r="L778" t="s">
        <v>7723</v>
      </c>
      <c r="M778">
        <v>0</v>
      </c>
    </row>
    <row r="779" spans="1:13" x14ac:dyDescent="0.25">
      <c r="A779" t="s">
        <v>7724</v>
      </c>
      <c r="B779">
        <v>65020</v>
      </c>
      <c r="C779">
        <v>5601064005489</v>
      </c>
      <c r="D779">
        <v>169.9</v>
      </c>
      <c r="E779">
        <v>105.54</v>
      </c>
      <c r="F779">
        <v>25.13</v>
      </c>
      <c r="G779">
        <v>69.020300000000006</v>
      </c>
      <c r="H779">
        <v>0</v>
      </c>
      <c r="K779">
        <v>65020</v>
      </c>
      <c r="L779" t="s">
        <v>7724</v>
      </c>
      <c r="M779">
        <v>0</v>
      </c>
    </row>
    <row r="780" spans="1:13" x14ac:dyDescent="0.25">
      <c r="A780" t="s">
        <v>7725</v>
      </c>
      <c r="B780">
        <v>31599</v>
      </c>
      <c r="C780">
        <v>8005374127843</v>
      </c>
      <c r="D780">
        <v>379.9</v>
      </c>
      <c r="E780">
        <v>255.54</v>
      </c>
      <c r="F780">
        <v>21.29</v>
      </c>
      <c r="G780">
        <v>168.88669999999999</v>
      </c>
      <c r="H780">
        <v>0</v>
      </c>
      <c r="K780">
        <v>31599</v>
      </c>
      <c r="L780" t="s">
        <v>7725</v>
      </c>
      <c r="M780">
        <v>0</v>
      </c>
    </row>
    <row r="781" spans="1:13" x14ac:dyDescent="0.25">
      <c r="A781" t="s">
        <v>7726</v>
      </c>
      <c r="B781">
        <v>62300</v>
      </c>
      <c r="C781">
        <v>5600366893114</v>
      </c>
      <c r="D781">
        <v>549.9</v>
      </c>
      <c r="E781">
        <v>157.13</v>
      </c>
      <c r="F781">
        <v>46.96</v>
      </c>
      <c r="G781">
        <v>103.3124</v>
      </c>
      <c r="H781">
        <v>6.7000000000000004E-2</v>
      </c>
      <c r="K781">
        <v>62300</v>
      </c>
      <c r="L781" t="s">
        <v>7726</v>
      </c>
      <c r="M781">
        <v>6.7000000000000004E-2</v>
      </c>
    </row>
    <row r="782" spans="1:13" x14ac:dyDescent="0.25">
      <c r="A782" t="s">
        <v>7727</v>
      </c>
      <c r="B782">
        <v>62301</v>
      </c>
      <c r="C782">
        <v>5600366892124</v>
      </c>
      <c r="D782">
        <v>549.9</v>
      </c>
      <c r="E782">
        <v>247.54</v>
      </c>
      <c r="F782">
        <v>36.200000000000003</v>
      </c>
      <c r="G782">
        <v>162.49860000000001</v>
      </c>
      <c r="H782">
        <v>3.3000000000000002E-2</v>
      </c>
      <c r="K782">
        <v>62301</v>
      </c>
      <c r="L782" t="s">
        <v>7727</v>
      </c>
      <c r="M782">
        <v>3.3000000000000002E-2</v>
      </c>
    </row>
    <row r="783" spans="1:13" x14ac:dyDescent="0.25">
      <c r="A783" t="s">
        <v>7728</v>
      </c>
      <c r="B783">
        <v>61125</v>
      </c>
      <c r="C783">
        <v>5602660004418</v>
      </c>
      <c r="D783">
        <v>299.89999999999998</v>
      </c>
      <c r="E783">
        <v>200.54</v>
      </c>
      <c r="F783">
        <v>21.78</v>
      </c>
      <c r="G783">
        <v>131.85329999999999</v>
      </c>
      <c r="H783">
        <v>0</v>
      </c>
      <c r="K783">
        <v>61125</v>
      </c>
      <c r="L783" t="s">
        <v>7728</v>
      </c>
      <c r="M783">
        <v>0</v>
      </c>
    </row>
    <row r="784" spans="1:13" x14ac:dyDescent="0.25">
      <c r="A784" t="s">
        <v>7729</v>
      </c>
      <c r="B784">
        <v>61127</v>
      </c>
      <c r="C784">
        <v>5602660004395</v>
      </c>
      <c r="D784">
        <v>79.900000000000006</v>
      </c>
      <c r="E784">
        <v>51.2</v>
      </c>
      <c r="F784">
        <v>23.76</v>
      </c>
      <c r="G784">
        <v>33.550899999999999</v>
      </c>
      <c r="H784">
        <v>0.6</v>
      </c>
      <c r="K784">
        <v>61127</v>
      </c>
      <c r="L784" t="s">
        <v>7729</v>
      </c>
      <c r="M784">
        <v>0.5</v>
      </c>
    </row>
    <row r="785" spans="1:13" x14ac:dyDescent="0.25">
      <c r="A785" t="s">
        <v>7730</v>
      </c>
      <c r="B785">
        <v>61126</v>
      </c>
      <c r="C785">
        <v>5602660004388</v>
      </c>
      <c r="D785">
        <v>79.900000000000006</v>
      </c>
      <c r="E785">
        <v>51.54</v>
      </c>
      <c r="F785">
        <v>22.63</v>
      </c>
      <c r="G785">
        <v>34.4529</v>
      </c>
      <c r="H785">
        <v>0</v>
      </c>
      <c r="K785">
        <v>61126</v>
      </c>
      <c r="L785" t="s">
        <v>7730</v>
      </c>
      <c r="M785">
        <v>0</v>
      </c>
    </row>
    <row r="786" spans="1:13" x14ac:dyDescent="0.25">
      <c r="A786" t="s">
        <v>7731</v>
      </c>
      <c r="B786">
        <v>63050</v>
      </c>
      <c r="C786">
        <v>3760027139936</v>
      </c>
      <c r="D786">
        <v>56.01</v>
      </c>
      <c r="E786">
        <v>35.53</v>
      </c>
      <c r="F786">
        <v>25.44</v>
      </c>
      <c r="G786">
        <v>22.575399999999998</v>
      </c>
      <c r="H786">
        <v>0.9</v>
      </c>
      <c r="K786">
        <v>63050</v>
      </c>
      <c r="L786" t="s">
        <v>7731</v>
      </c>
      <c r="M786">
        <v>0.4</v>
      </c>
    </row>
    <row r="787" spans="1:13" x14ac:dyDescent="0.25">
      <c r="A787" t="s">
        <v>7732</v>
      </c>
      <c r="B787">
        <v>69768</v>
      </c>
      <c r="C787">
        <v>5600704458340</v>
      </c>
      <c r="D787">
        <v>64.900000000000006</v>
      </c>
      <c r="E787">
        <v>48.44</v>
      </c>
      <c r="F787">
        <v>23.35</v>
      </c>
      <c r="G787">
        <v>27.517499999999998</v>
      </c>
      <c r="H787">
        <v>0</v>
      </c>
      <c r="K787">
        <v>69768</v>
      </c>
      <c r="L787" t="s">
        <v>7732</v>
      </c>
      <c r="M787">
        <v>0</v>
      </c>
    </row>
    <row r="788" spans="1:13" x14ac:dyDescent="0.25">
      <c r="A788" t="s">
        <v>7733</v>
      </c>
      <c r="B788">
        <v>69775</v>
      </c>
      <c r="C788">
        <v>5600704458357</v>
      </c>
      <c r="D788">
        <v>59.9</v>
      </c>
      <c r="E788">
        <v>39.83</v>
      </c>
      <c r="F788">
        <v>22.02</v>
      </c>
      <c r="G788">
        <v>26.191800000000001</v>
      </c>
      <c r="H788">
        <v>0</v>
      </c>
      <c r="K788">
        <v>69775</v>
      </c>
      <c r="L788" t="s">
        <v>7733</v>
      </c>
      <c r="M788">
        <v>0</v>
      </c>
    </row>
    <row r="789" spans="1:13" x14ac:dyDescent="0.25">
      <c r="A789" t="s">
        <v>7734</v>
      </c>
      <c r="B789">
        <v>69497</v>
      </c>
      <c r="C789">
        <v>3355820002411</v>
      </c>
      <c r="D789">
        <v>249.9</v>
      </c>
      <c r="E789">
        <v>167</v>
      </c>
      <c r="F789">
        <v>21.81</v>
      </c>
      <c r="G789">
        <v>109.801</v>
      </c>
      <c r="H789">
        <v>0.1</v>
      </c>
      <c r="K789">
        <v>69497</v>
      </c>
      <c r="L789" t="s">
        <v>7734</v>
      </c>
      <c r="M789">
        <v>0</v>
      </c>
    </row>
    <row r="790" spans="1:13" x14ac:dyDescent="0.25">
      <c r="A790" t="s">
        <v>7735</v>
      </c>
      <c r="B790">
        <v>67306</v>
      </c>
      <c r="C790">
        <v>3355820000110</v>
      </c>
      <c r="D790">
        <v>249.9</v>
      </c>
      <c r="E790">
        <v>119.19</v>
      </c>
      <c r="F790">
        <v>34.39</v>
      </c>
      <c r="G790">
        <v>78.367199999999997</v>
      </c>
      <c r="H790">
        <v>0</v>
      </c>
      <c r="K790">
        <v>67306</v>
      </c>
      <c r="L790" t="s">
        <v>7735</v>
      </c>
      <c r="M790">
        <v>0</v>
      </c>
    </row>
    <row r="791" spans="1:13" x14ac:dyDescent="0.25">
      <c r="A791" t="s">
        <v>7736</v>
      </c>
      <c r="B791">
        <v>60806</v>
      </c>
      <c r="C791">
        <v>7898967894021</v>
      </c>
      <c r="D791">
        <v>415.35</v>
      </c>
      <c r="E791">
        <v>304.58</v>
      </c>
      <c r="F791">
        <v>18.54</v>
      </c>
      <c r="G791">
        <v>196.0789</v>
      </c>
      <c r="H791">
        <v>0</v>
      </c>
      <c r="K791">
        <v>60806</v>
      </c>
      <c r="L791" t="s">
        <v>7736</v>
      </c>
      <c r="M791">
        <v>0</v>
      </c>
    </row>
    <row r="792" spans="1:13" x14ac:dyDescent="0.25">
      <c r="A792" t="s">
        <v>7737</v>
      </c>
      <c r="B792">
        <v>62341</v>
      </c>
      <c r="C792">
        <v>1000000000900</v>
      </c>
      <c r="D792">
        <v>799.9</v>
      </c>
      <c r="E792">
        <v>567.27</v>
      </c>
      <c r="F792">
        <v>19.12</v>
      </c>
      <c r="G792">
        <v>372.98039999999997</v>
      </c>
      <c r="H792">
        <v>0</v>
      </c>
      <c r="K792">
        <v>62341</v>
      </c>
      <c r="L792" t="s">
        <v>7737</v>
      </c>
      <c r="M792">
        <v>0</v>
      </c>
    </row>
    <row r="793" spans="1:13" x14ac:dyDescent="0.25">
      <c r="A793" t="s">
        <v>7738</v>
      </c>
      <c r="B793">
        <v>62342</v>
      </c>
      <c r="C793">
        <v>1000000000917</v>
      </c>
      <c r="D793">
        <v>349.9</v>
      </c>
      <c r="E793">
        <v>226.19</v>
      </c>
      <c r="F793">
        <v>23.25</v>
      </c>
      <c r="G793">
        <v>148.71789999999999</v>
      </c>
      <c r="H793">
        <v>0</v>
      </c>
      <c r="K793">
        <v>62342</v>
      </c>
      <c r="L793" t="s">
        <v>7738</v>
      </c>
      <c r="M793">
        <v>0</v>
      </c>
    </row>
    <row r="794" spans="1:13" x14ac:dyDescent="0.25">
      <c r="A794" t="s">
        <v>7739</v>
      </c>
      <c r="B794">
        <v>63583</v>
      </c>
      <c r="C794">
        <v>7798123974874</v>
      </c>
      <c r="D794">
        <v>79.900000000000006</v>
      </c>
      <c r="E794">
        <v>47.87</v>
      </c>
      <c r="F794">
        <v>26.36</v>
      </c>
      <c r="G794">
        <v>31.4755</v>
      </c>
      <c r="H794">
        <v>0</v>
      </c>
      <c r="K794">
        <v>63583</v>
      </c>
      <c r="L794" t="s">
        <v>7739</v>
      </c>
      <c r="M794">
        <v>0</v>
      </c>
    </row>
    <row r="795" spans="1:13" x14ac:dyDescent="0.25">
      <c r="A795" t="s">
        <v>7740</v>
      </c>
      <c r="B795">
        <v>63584</v>
      </c>
      <c r="C795">
        <v>7798123974850</v>
      </c>
      <c r="D795">
        <v>79.900000000000006</v>
      </c>
      <c r="E795">
        <v>53.05</v>
      </c>
      <c r="F795">
        <v>22.1</v>
      </c>
      <c r="G795">
        <v>34.877499999999998</v>
      </c>
      <c r="H795">
        <v>3.3000000000000002E-2</v>
      </c>
      <c r="K795">
        <v>63584</v>
      </c>
      <c r="L795" t="s">
        <v>7740</v>
      </c>
      <c r="M795">
        <v>3.3000000000000002E-2</v>
      </c>
    </row>
    <row r="796" spans="1:13" x14ac:dyDescent="0.25">
      <c r="A796" t="s">
        <v>7741</v>
      </c>
      <c r="B796">
        <v>63585</v>
      </c>
      <c r="C796">
        <v>7798123974867</v>
      </c>
      <c r="D796">
        <v>79.900000000000006</v>
      </c>
      <c r="E796">
        <v>53.04</v>
      </c>
      <c r="F796">
        <v>22.1</v>
      </c>
      <c r="G796">
        <v>34.876600000000003</v>
      </c>
      <c r="H796">
        <v>0</v>
      </c>
      <c r="K796">
        <v>63585</v>
      </c>
      <c r="L796" t="s">
        <v>7741</v>
      </c>
      <c r="M796">
        <v>0</v>
      </c>
    </row>
    <row r="797" spans="1:13" x14ac:dyDescent="0.25">
      <c r="A797" t="s">
        <v>7742</v>
      </c>
      <c r="B797">
        <v>3068</v>
      </c>
      <c r="C797">
        <v>7896023081545</v>
      </c>
      <c r="D797">
        <v>15.9</v>
      </c>
      <c r="E797">
        <v>9.4600000000000009</v>
      </c>
      <c r="F797">
        <v>26.63</v>
      </c>
      <c r="G797">
        <v>6.2203999999999997</v>
      </c>
      <c r="H797">
        <v>1.5329999999999999</v>
      </c>
      <c r="K797">
        <v>3068</v>
      </c>
      <c r="L797" t="s">
        <v>7742</v>
      </c>
      <c r="M797">
        <v>1.2669999999999999</v>
      </c>
    </row>
    <row r="798" spans="1:13" x14ac:dyDescent="0.25">
      <c r="A798" t="s">
        <v>7743</v>
      </c>
      <c r="B798">
        <v>3071</v>
      </c>
      <c r="C798">
        <v>7896023085710</v>
      </c>
      <c r="D798">
        <v>15.9</v>
      </c>
      <c r="E798">
        <v>9.4600000000000009</v>
      </c>
      <c r="F798">
        <v>26.65</v>
      </c>
      <c r="G798">
        <v>6.2175000000000002</v>
      </c>
      <c r="H798">
        <v>0.23300000000000001</v>
      </c>
      <c r="K798">
        <v>3071</v>
      </c>
      <c r="L798" t="s">
        <v>7743</v>
      </c>
      <c r="M798">
        <v>0.23300000000000001</v>
      </c>
    </row>
    <row r="799" spans="1:13" x14ac:dyDescent="0.25">
      <c r="A799" t="s">
        <v>7744</v>
      </c>
      <c r="B799">
        <v>60105</v>
      </c>
      <c r="C799">
        <v>5603790004774</v>
      </c>
      <c r="D799">
        <v>269.89999999999998</v>
      </c>
      <c r="E799">
        <v>155.6</v>
      </c>
      <c r="F799">
        <v>27.85</v>
      </c>
      <c r="G799">
        <v>102.30549999999999</v>
      </c>
      <c r="H799">
        <v>0</v>
      </c>
      <c r="K799">
        <v>60105</v>
      </c>
      <c r="L799" t="s">
        <v>7744</v>
      </c>
      <c r="M799">
        <v>0</v>
      </c>
    </row>
    <row r="800" spans="1:13" x14ac:dyDescent="0.25">
      <c r="A800" t="s">
        <v>7745</v>
      </c>
      <c r="B800">
        <v>54884</v>
      </c>
      <c r="C800">
        <v>5603790004705</v>
      </c>
      <c r="D800">
        <v>789.9</v>
      </c>
      <c r="E800">
        <v>474.52</v>
      </c>
      <c r="F800">
        <v>26.25</v>
      </c>
      <c r="G800">
        <v>312</v>
      </c>
      <c r="H800">
        <v>0</v>
      </c>
      <c r="K800">
        <v>54884</v>
      </c>
      <c r="L800" t="s">
        <v>7745</v>
      </c>
      <c r="M800">
        <v>0</v>
      </c>
    </row>
    <row r="801" spans="1:13" x14ac:dyDescent="0.25">
      <c r="A801" t="s">
        <v>7746</v>
      </c>
      <c r="B801">
        <v>64866</v>
      </c>
      <c r="C801">
        <v>3191742000407</v>
      </c>
      <c r="D801">
        <v>89.9</v>
      </c>
      <c r="E801">
        <v>53.12</v>
      </c>
      <c r="F801">
        <v>26.9</v>
      </c>
      <c r="G801">
        <v>34.929299999999998</v>
      </c>
      <c r="H801">
        <v>0.13300000000000001</v>
      </c>
      <c r="K801">
        <v>64866</v>
      </c>
      <c r="L801" t="s">
        <v>7746</v>
      </c>
      <c r="M801">
        <v>3.3000000000000002E-2</v>
      </c>
    </row>
    <row r="802" spans="1:13" x14ac:dyDescent="0.25">
      <c r="A802" t="s">
        <v>7747</v>
      </c>
      <c r="B802">
        <v>57851</v>
      </c>
      <c r="C802">
        <v>3760203980024</v>
      </c>
      <c r="D802">
        <v>789.9</v>
      </c>
      <c r="E802">
        <v>556.79999999999995</v>
      </c>
      <c r="F802">
        <v>19.079999999999998</v>
      </c>
      <c r="G802">
        <v>368.62900000000002</v>
      </c>
      <c r="H802">
        <v>0</v>
      </c>
      <c r="K802">
        <v>57851</v>
      </c>
      <c r="L802" t="s">
        <v>7747</v>
      </c>
      <c r="M802">
        <v>0</v>
      </c>
    </row>
    <row r="803" spans="1:13" x14ac:dyDescent="0.25">
      <c r="A803" t="s">
        <v>7748</v>
      </c>
      <c r="B803">
        <v>68743</v>
      </c>
      <c r="C803">
        <v>7891316350087</v>
      </c>
      <c r="D803">
        <v>99.9</v>
      </c>
      <c r="E803">
        <v>66.25</v>
      </c>
      <c r="F803">
        <v>22.15</v>
      </c>
      <c r="G803">
        <v>43.56</v>
      </c>
      <c r="H803">
        <v>0.73299999999999998</v>
      </c>
      <c r="K803">
        <v>68743</v>
      </c>
      <c r="L803" t="s">
        <v>7748</v>
      </c>
      <c r="M803">
        <v>0.7</v>
      </c>
    </row>
    <row r="804" spans="1:13" x14ac:dyDescent="0.25">
      <c r="A804" t="s">
        <v>7749</v>
      </c>
      <c r="B804">
        <v>63514</v>
      </c>
      <c r="C804">
        <v>1000000001365</v>
      </c>
      <c r="D804" s="1">
        <v>4999.8999999999996</v>
      </c>
      <c r="E804" s="1">
        <v>3500</v>
      </c>
      <c r="F804">
        <v>19.72</v>
      </c>
      <c r="G804" s="1">
        <v>2301.25</v>
      </c>
      <c r="H804">
        <v>0</v>
      </c>
      <c r="K804">
        <v>63514</v>
      </c>
      <c r="L804" t="s">
        <v>7749</v>
      </c>
      <c r="M804">
        <v>0</v>
      </c>
    </row>
    <row r="805" spans="1:13" x14ac:dyDescent="0.25">
      <c r="A805" t="s">
        <v>7750</v>
      </c>
      <c r="B805">
        <v>63515</v>
      </c>
      <c r="C805">
        <v>1000000001372</v>
      </c>
      <c r="D805" s="1">
        <v>4999.8999999999996</v>
      </c>
      <c r="E805" s="1">
        <v>3500</v>
      </c>
      <c r="F805">
        <v>19.72</v>
      </c>
      <c r="G805" s="1">
        <v>2301.25</v>
      </c>
      <c r="H805">
        <v>0</v>
      </c>
      <c r="K805">
        <v>63515</v>
      </c>
      <c r="L805" t="s">
        <v>7750</v>
      </c>
      <c r="M805">
        <v>0</v>
      </c>
    </row>
    <row r="806" spans="1:13" x14ac:dyDescent="0.25">
      <c r="A806" t="s">
        <v>7751</v>
      </c>
      <c r="B806">
        <v>63516</v>
      </c>
      <c r="C806">
        <v>1000000001389</v>
      </c>
      <c r="D806" s="1">
        <v>4999.8999999999996</v>
      </c>
      <c r="E806" s="1">
        <v>3500</v>
      </c>
      <c r="F806">
        <v>19.72</v>
      </c>
      <c r="G806" s="1">
        <v>2301.25</v>
      </c>
      <c r="H806">
        <v>0</v>
      </c>
      <c r="K806">
        <v>63516</v>
      </c>
      <c r="L806" t="s">
        <v>7751</v>
      </c>
      <c r="M806">
        <v>0</v>
      </c>
    </row>
    <row r="807" spans="1:13" x14ac:dyDescent="0.25">
      <c r="A807" t="s">
        <v>7752</v>
      </c>
      <c r="B807">
        <v>63517</v>
      </c>
      <c r="C807">
        <v>1000000001396</v>
      </c>
      <c r="D807" s="1">
        <v>4999.8999999999996</v>
      </c>
      <c r="E807" s="1">
        <v>3500</v>
      </c>
      <c r="F807">
        <v>19.72</v>
      </c>
      <c r="G807" s="1">
        <v>2301.25</v>
      </c>
      <c r="H807">
        <v>0</v>
      </c>
      <c r="K807">
        <v>63517</v>
      </c>
      <c r="L807" t="s">
        <v>7752</v>
      </c>
      <c r="M807">
        <v>0</v>
      </c>
    </row>
    <row r="808" spans="1:13" x14ac:dyDescent="0.25">
      <c r="A808" t="s">
        <v>7753</v>
      </c>
      <c r="B808">
        <v>63518</v>
      </c>
      <c r="C808">
        <v>1000000001402</v>
      </c>
      <c r="D808" s="1">
        <v>4999.8999999999996</v>
      </c>
      <c r="E808" s="1">
        <v>3500</v>
      </c>
      <c r="F808">
        <v>19.72</v>
      </c>
      <c r="G808" s="1">
        <v>2301.25</v>
      </c>
      <c r="H808">
        <v>0</v>
      </c>
      <c r="K808">
        <v>63518</v>
      </c>
      <c r="L808" t="s">
        <v>7753</v>
      </c>
      <c r="M808">
        <v>0</v>
      </c>
    </row>
    <row r="809" spans="1:13" x14ac:dyDescent="0.25">
      <c r="A809" t="s">
        <v>7754</v>
      </c>
      <c r="B809">
        <v>63519</v>
      </c>
      <c r="C809">
        <v>1000000001419</v>
      </c>
      <c r="D809" s="1">
        <v>4999.8999999999996</v>
      </c>
      <c r="E809" s="1">
        <v>3500</v>
      </c>
      <c r="F809">
        <v>19.72</v>
      </c>
      <c r="G809" s="1">
        <v>2301.25</v>
      </c>
      <c r="H809">
        <v>0</v>
      </c>
      <c r="K809">
        <v>63519</v>
      </c>
      <c r="L809" t="s">
        <v>7754</v>
      </c>
      <c r="M809">
        <v>0</v>
      </c>
    </row>
    <row r="810" spans="1:13" x14ac:dyDescent="0.25">
      <c r="A810" t="s">
        <v>7755</v>
      </c>
      <c r="B810">
        <v>63520</v>
      </c>
      <c r="C810">
        <v>1000000001426</v>
      </c>
      <c r="D810" s="1">
        <v>4999.8999999999996</v>
      </c>
      <c r="E810" s="1">
        <v>3500</v>
      </c>
      <c r="F810">
        <v>19.72</v>
      </c>
      <c r="G810" s="1">
        <v>2301.25</v>
      </c>
      <c r="H810">
        <v>0</v>
      </c>
      <c r="K810">
        <v>63520</v>
      </c>
      <c r="L810" t="s">
        <v>7755</v>
      </c>
      <c r="M810">
        <v>0</v>
      </c>
    </row>
    <row r="811" spans="1:13" x14ac:dyDescent="0.25">
      <c r="A811" t="s">
        <v>7756</v>
      </c>
      <c r="B811">
        <v>62397</v>
      </c>
      <c r="C811">
        <v>1000000000948</v>
      </c>
      <c r="D811">
        <v>299.89999999999998</v>
      </c>
      <c r="E811">
        <v>202.37</v>
      </c>
      <c r="F811">
        <v>21.38</v>
      </c>
      <c r="G811">
        <v>133.06</v>
      </c>
      <c r="H811">
        <v>0</v>
      </c>
      <c r="K811">
        <v>62397</v>
      </c>
      <c r="L811" t="s">
        <v>7756</v>
      </c>
      <c r="M811">
        <v>0</v>
      </c>
    </row>
    <row r="812" spans="1:13" x14ac:dyDescent="0.25">
      <c r="A812" t="s">
        <v>7757</v>
      </c>
      <c r="B812">
        <v>64867</v>
      </c>
      <c r="C812">
        <v>3191741800084</v>
      </c>
      <c r="D812">
        <v>149.9</v>
      </c>
      <c r="E812">
        <v>86.13</v>
      </c>
      <c r="F812">
        <v>27.97</v>
      </c>
      <c r="G812">
        <v>56.631900000000002</v>
      </c>
      <c r="H812">
        <v>0</v>
      </c>
      <c r="K812">
        <v>64867</v>
      </c>
      <c r="L812" t="s">
        <v>7757</v>
      </c>
      <c r="M812">
        <v>0</v>
      </c>
    </row>
    <row r="813" spans="1:13" x14ac:dyDescent="0.25">
      <c r="A813" t="s">
        <v>7758</v>
      </c>
      <c r="B813">
        <v>62395</v>
      </c>
      <c r="C813">
        <v>1000000000924</v>
      </c>
      <c r="D813">
        <v>359.9</v>
      </c>
      <c r="E813">
        <v>248.58</v>
      </c>
      <c r="F813">
        <v>20.34</v>
      </c>
      <c r="G813">
        <v>163.44</v>
      </c>
      <c r="H813">
        <v>0</v>
      </c>
      <c r="K813">
        <v>62395</v>
      </c>
      <c r="L813" t="s">
        <v>7758</v>
      </c>
      <c r="M813">
        <v>0</v>
      </c>
    </row>
    <row r="814" spans="1:13" x14ac:dyDescent="0.25">
      <c r="A814" t="s">
        <v>7759</v>
      </c>
      <c r="B814">
        <v>62400</v>
      </c>
      <c r="C814">
        <v>1000000000955</v>
      </c>
      <c r="D814">
        <v>269.89999999999998</v>
      </c>
      <c r="E814">
        <v>187.23</v>
      </c>
      <c r="F814">
        <v>20.14</v>
      </c>
      <c r="G814">
        <v>123.105</v>
      </c>
      <c r="H814">
        <v>0</v>
      </c>
      <c r="K814">
        <v>62400</v>
      </c>
      <c r="L814" t="s">
        <v>7759</v>
      </c>
      <c r="M814">
        <v>0</v>
      </c>
    </row>
    <row r="815" spans="1:13" x14ac:dyDescent="0.25">
      <c r="A815" t="s">
        <v>7760</v>
      </c>
      <c r="B815">
        <v>64554</v>
      </c>
      <c r="C815">
        <v>5281004211165</v>
      </c>
      <c r="D815">
        <v>359.9</v>
      </c>
      <c r="E815">
        <v>222.31</v>
      </c>
      <c r="F815">
        <v>25.14</v>
      </c>
      <c r="G815">
        <v>146.16980000000001</v>
      </c>
      <c r="H815">
        <v>0</v>
      </c>
      <c r="K815">
        <v>64554</v>
      </c>
      <c r="L815" t="s">
        <v>7760</v>
      </c>
      <c r="M815">
        <v>0</v>
      </c>
    </row>
    <row r="816" spans="1:13" x14ac:dyDescent="0.25">
      <c r="A816" t="s">
        <v>7761</v>
      </c>
      <c r="B816">
        <v>60787</v>
      </c>
      <c r="C816">
        <v>3500610057489</v>
      </c>
      <c r="D816">
        <v>219.9</v>
      </c>
      <c r="E816">
        <v>126.84</v>
      </c>
      <c r="F816">
        <v>27.83</v>
      </c>
      <c r="G816">
        <v>83.394999999999996</v>
      </c>
      <c r="H816">
        <v>0.16700000000000001</v>
      </c>
      <c r="K816">
        <v>60787</v>
      </c>
      <c r="L816" t="s">
        <v>7761</v>
      </c>
      <c r="M816">
        <v>0.13300000000000001</v>
      </c>
    </row>
    <row r="817" spans="1:13" x14ac:dyDescent="0.25">
      <c r="A817" t="s">
        <v>7762</v>
      </c>
      <c r="B817">
        <v>62396</v>
      </c>
      <c r="C817">
        <v>1000000000931</v>
      </c>
      <c r="D817">
        <v>599.9</v>
      </c>
      <c r="E817">
        <v>380.94</v>
      </c>
      <c r="F817">
        <v>24</v>
      </c>
      <c r="G817">
        <v>250.47</v>
      </c>
      <c r="H817">
        <v>0</v>
      </c>
      <c r="K817">
        <v>62396</v>
      </c>
      <c r="L817" t="s">
        <v>7762</v>
      </c>
      <c r="M817">
        <v>0</v>
      </c>
    </row>
    <row r="818" spans="1:13" x14ac:dyDescent="0.25">
      <c r="A818" t="s">
        <v>7763</v>
      </c>
      <c r="B818">
        <v>68727</v>
      </c>
      <c r="C818">
        <v>1000000003949</v>
      </c>
      <c r="D818">
        <v>999.9</v>
      </c>
      <c r="E818">
        <v>520.20000000000005</v>
      </c>
      <c r="F818">
        <v>31.54</v>
      </c>
      <c r="G818">
        <v>342.03</v>
      </c>
      <c r="H818">
        <v>0</v>
      </c>
      <c r="K818">
        <v>68727</v>
      </c>
      <c r="L818" t="s">
        <v>7763</v>
      </c>
      <c r="M818">
        <v>0</v>
      </c>
    </row>
    <row r="819" spans="1:13" x14ac:dyDescent="0.25">
      <c r="A819" t="s">
        <v>7764</v>
      </c>
      <c r="B819">
        <v>64481</v>
      </c>
      <c r="C819">
        <v>1000000003321</v>
      </c>
      <c r="D819">
        <v>119.9</v>
      </c>
      <c r="E819">
        <v>62.11</v>
      </c>
      <c r="F819">
        <v>31.69</v>
      </c>
      <c r="G819">
        <v>40.8371</v>
      </c>
      <c r="H819">
        <v>3.3000000000000002E-2</v>
      </c>
      <c r="K819">
        <v>64481</v>
      </c>
      <c r="L819" t="s">
        <v>7764</v>
      </c>
      <c r="M819">
        <v>3.3000000000000002E-2</v>
      </c>
    </row>
    <row r="820" spans="1:13" x14ac:dyDescent="0.25">
      <c r="A820" t="s">
        <v>7765</v>
      </c>
      <c r="B820">
        <v>62322</v>
      </c>
      <c r="C820">
        <v>1000000000863</v>
      </c>
      <c r="D820" s="1">
        <v>1299.9000000000001</v>
      </c>
      <c r="E820">
        <v>889.37</v>
      </c>
      <c r="F820">
        <v>20.76</v>
      </c>
      <c r="G820">
        <v>584.76250000000005</v>
      </c>
      <c r="H820">
        <v>0</v>
      </c>
      <c r="K820">
        <v>62322</v>
      </c>
      <c r="L820" t="s">
        <v>7765</v>
      </c>
      <c r="M820">
        <v>0</v>
      </c>
    </row>
    <row r="821" spans="1:13" x14ac:dyDescent="0.25">
      <c r="A821" t="s">
        <v>7766</v>
      </c>
      <c r="B821">
        <v>60809</v>
      </c>
      <c r="C821">
        <v>7898967894014</v>
      </c>
      <c r="D821">
        <v>189.9</v>
      </c>
      <c r="E821">
        <v>112.58</v>
      </c>
      <c r="F821">
        <v>26.77</v>
      </c>
      <c r="G821">
        <v>74.023300000000006</v>
      </c>
      <c r="H821">
        <v>0</v>
      </c>
      <c r="K821">
        <v>60809</v>
      </c>
      <c r="L821" t="s">
        <v>7766</v>
      </c>
      <c r="M821">
        <v>0</v>
      </c>
    </row>
    <row r="822" spans="1:13" x14ac:dyDescent="0.25">
      <c r="A822" t="s">
        <v>7767</v>
      </c>
      <c r="B822">
        <v>62319</v>
      </c>
      <c r="C822">
        <v>1000000000832</v>
      </c>
      <c r="D822">
        <v>599.9</v>
      </c>
      <c r="E822">
        <v>413.71</v>
      </c>
      <c r="F822">
        <v>20.73</v>
      </c>
      <c r="G822">
        <v>270.07240000000002</v>
      </c>
      <c r="H822">
        <v>0</v>
      </c>
      <c r="K822">
        <v>62319</v>
      </c>
      <c r="L822" t="s">
        <v>7767</v>
      </c>
      <c r="M822">
        <v>0</v>
      </c>
    </row>
    <row r="823" spans="1:13" x14ac:dyDescent="0.25">
      <c r="A823" t="s">
        <v>7768</v>
      </c>
      <c r="B823">
        <v>66736</v>
      </c>
      <c r="C823">
        <v>7891712540006</v>
      </c>
      <c r="D823">
        <v>244.48</v>
      </c>
      <c r="E823">
        <v>196.69</v>
      </c>
      <c r="F823">
        <v>12.86</v>
      </c>
      <c r="G823">
        <v>129.31890000000001</v>
      </c>
      <c r="H823">
        <v>0.1</v>
      </c>
      <c r="K823">
        <v>66736</v>
      </c>
      <c r="L823" t="s">
        <v>7768</v>
      </c>
      <c r="M823">
        <v>3.3000000000000002E-2</v>
      </c>
    </row>
    <row r="824" spans="1:13" x14ac:dyDescent="0.25">
      <c r="A824" t="s">
        <v>7769</v>
      </c>
      <c r="B824">
        <v>68726</v>
      </c>
      <c r="C824">
        <v>1000000003932</v>
      </c>
      <c r="D824" s="1">
        <v>1699.9</v>
      </c>
      <c r="E824" s="1">
        <v>1120.43</v>
      </c>
      <c r="F824">
        <v>22.41</v>
      </c>
      <c r="G824">
        <v>736.68</v>
      </c>
      <c r="H824">
        <v>3.3000000000000002E-2</v>
      </c>
      <c r="K824">
        <v>68726</v>
      </c>
      <c r="L824" t="s">
        <v>7769</v>
      </c>
      <c r="M824">
        <v>3.3000000000000002E-2</v>
      </c>
    </row>
    <row r="825" spans="1:13" x14ac:dyDescent="0.25">
      <c r="A825" t="s">
        <v>7770</v>
      </c>
      <c r="B825">
        <v>69496</v>
      </c>
      <c r="C825">
        <v>3219850061834</v>
      </c>
      <c r="D825">
        <v>599.9</v>
      </c>
      <c r="E825">
        <v>427.01</v>
      </c>
      <c r="F825">
        <v>18.95</v>
      </c>
      <c r="G825">
        <v>280.76080000000002</v>
      </c>
      <c r="H825">
        <v>0</v>
      </c>
      <c r="K825">
        <v>69496</v>
      </c>
      <c r="L825" t="s">
        <v>7770</v>
      </c>
      <c r="M825">
        <v>0</v>
      </c>
    </row>
    <row r="826" spans="1:13" x14ac:dyDescent="0.25">
      <c r="A826" t="s">
        <v>7771</v>
      </c>
      <c r="B826">
        <v>63525</v>
      </c>
      <c r="C826">
        <v>1000000001464</v>
      </c>
      <c r="D826" s="1">
        <v>2229.9</v>
      </c>
      <c r="E826" s="1">
        <v>1340</v>
      </c>
      <c r="F826">
        <v>29.03</v>
      </c>
      <c r="G826">
        <v>974.85</v>
      </c>
      <c r="H826">
        <v>0</v>
      </c>
      <c r="K826">
        <v>63525</v>
      </c>
      <c r="L826" t="s">
        <v>7771</v>
      </c>
      <c r="M826">
        <v>0</v>
      </c>
    </row>
    <row r="827" spans="1:13" x14ac:dyDescent="0.25">
      <c r="A827" t="s">
        <v>7772</v>
      </c>
      <c r="B827">
        <v>69492</v>
      </c>
      <c r="C827">
        <v>3355820012274</v>
      </c>
      <c r="D827">
        <v>79.900000000000006</v>
      </c>
      <c r="E827">
        <v>53.24</v>
      </c>
      <c r="F827">
        <v>21.94</v>
      </c>
      <c r="G827">
        <v>35.003300000000003</v>
      </c>
      <c r="H827">
        <v>0</v>
      </c>
      <c r="K827">
        <v>69492</v>
      </c>
      <c r="L827" t="s">
        <v>7772</v>
      </c>
      <c r="M827">
        <v>0</v>
      </c>
    </row>
    <row r="828" spans="1:13" x14ac:dyDescent="0.25">
      <c r="A828" t="s">
        <v>7773</v>
      </c>
      <c r="B828">
        <v>69493</v>
      </c>
      <c r="C828">
        <v>3355820012281</v>
      </c>
      <c r="D828">
        <v>79.900000000000006</v>
      </c>
      <c r="E828">
        <v>56.36</v>
      </c>
      <c r="F828">
        <v>19.37</v>
      </c>
      <c r="G828">
        <v>37.056100000000001</v>
      </c>
      <c r="H828">
        <v>0.4</v>
      </c>
      <c r="K828">
        <v>69493</v>
      </c>
      <c r="L828" t="s">
        <v>7773</v>
      </c>
      <c r="M828">
        <v>0.33300000000000002</v>
      </c>
    </row>
    <row r="829" spans="1:13" x14ac:dyDescent="0.25">
      <c r="A829" t="s">
        <v>7774</v>
      </c>
      <c r="B829">
        <v>67590</v>
      </c>
      <c r="C829">
        <v>8002153234426</v>
      </c>
      <c r="D829">
        <v>89.9</v>
      </c>
      <c r="E829">
        <v>59.41</v>
      </c>
      <c r="F829">
        <v>21.92</v>
      </c>
      <c r="G829">
        <v>39.403599999999997</v>
      </c>
      <c r="H829">
        <v>0.1</v>
      </c>
      <c r="K829">
        <v>67590</v>
      </c>
      <c r="L829" t="s">
        <v>7774</v>
      </c>
      <c r="M829">
        <v>6.7000000000000004E-2</v>
      </c>
    </row>
    <row r="830" spans="1:13" x14ac:dyDescent="0.25">
      <c r="A830" t="s">
        <v>7775</v>
      </c>
      <c r="B830">
        <v>67591</v>
      </c>
      <c r="C830">
        <v>8002153234440</v>
      </c>
      <c r="D830">
        <v>119.9</v>
      </c>
      <c r="E830">
        <v>73.680000000000007</v>
      </c>
      <c r="F830">
        <v>25.35</v>
      </c>
      <c r="G830">
        <v>48.441699999999997</v>
      </c>
      <c r="H830">
        <v>0</v>
      </c>
      <c r="K830">
        <v>67591</v>
      </c>
      <c r="L830" t="s">
        <v>7775</v>
      </c>
      <c r="M830">
        <v>0</v>
      </c>
    </row>
    <row r="831" spans="1:13" x14ac:dyDescent="0.25">
      <c r="A831" t="s">
        <v>7776</v>
      </c>
      <c r="B831">
        <v>35814</v>
      </c>
      <c r="C831">
        <v>7804641500010</v>
      </c>
      <c r="D831">
        <v>29.9</v>
      </c>
      <c r="E831">
        <v>20.37</v>
      </c>
      <c r="F831">
        <v>19.27</v>
      </c>
      <c r="G831">
        <v>13.896800000000001</v>
      </c>
      <c r="H831">
        <v>3.1669999999999998</v>
      </c>
      <c r="K831">
        <v>35814</v>
      </c>
      <c r="L831" t="s">
        <v>7776</v>
      </c>
      <c r="M831">
        <v>1.2669999999999999</v>
      </c>
    </row>
    <row r="832" spans="1:13" x14ac:dyDescent="0.25">
      <c r="A832" t="s">
        <v>7777</v>
      </c>
      <c r="B832">
        <v>35818</v>
      </c>
      <c r="C832">
        <v>7808725404706</v>
      </c>
      <c r="D832">
        <v>29.9</v>
      </c>
      <c r="E832">
        <v>19.82</v>
      </c>
      <c r="F832">
        <v>19.059999999999999</v>
      </c>
      <c r="G832">
        <v>13.961</v>
      </c>
      <c r="H832">
        <v>2.2669999999999999</v>
      </c>
      <c r="K832">
        <v>35818</v>
      </c>
      <c r="L832" t="s">
        <v>7777</v>
      </c>
      <c r="M832">
        <v>0.76700000000000002</v>
      </c>
    </row>
    <row r="833" spans="1:13" x14ac:dyDescent="0.25">
      <c r="A833" t="s">
        <v>7778</v>
      </c>
      <c r="B833">
        <v>57218</v>
      </c>
      <c r="C833">
        <v>7804641500027</v>
      </c>
      <c r="D833">
        <v>29.9</v>
      </c>
      <c r="E833">
        <v>19.46</v>
      </c>
      <c r="F833">
        <v>22.83</v>
      </c>
      <c r="G833">
        <v>12.834</v>
      </c>
      <c r="H833">
        <v>1.133</v>
      </c>
      <c r="K833">
        <v>57218</v>
      </c>
      <c r="L833" t="s">
        <v>7778</v>
      </c>
      <c r="M833">
        <v>0.8</v>
      </c>
    </row>
    <row r="834" spans="1:13" x14ac:dyDescent="0.25">
      <c r="A834" t="s">
        <v>7779</v>
      </c>
      <c r="B834">
        <v>57214</v>
      </c>
      <c r="C834">
        <v>7808725406724</v>
      </c>
      <c r="D834">
        <v>29.9</v>
      </c>
      <c r="E834">
        <v>19.739999999999998</v>
      </c>
      <c r="F834">
        <v>18.04</v>
      </c>
      <c r="G834">
        <v>14.264200000000001</v>
      </c>
      <c r="H834">
        <v>0.8</v>
      </c>
      <c r="K834">
        <v>57214</v>
      </c>
      <c r="L834" t="s">
        <v>7779</v>
      </c>
      <c r="M834">
        <v>1.2330000000000001</v>
      </c>
    </row>
    <row r="835" spans="1:13" x14ac:dyDescent="0.25">
      <c r="A835" t="s">
        <v>7780</v>
      </c>
      <c r="B835">
        <v>55129</v>
      </c>
      <c r="C835">
        <v>7808725405567</v>
      </c>
      <c r="D835">
        <v>29.9</v>
      </c>
      <c r="E835">
        <v>19.149999999999999</v>
      </c>
      <c r="F835">
        <v>21.14</v>
      </c>
      <c r="G835">
        <v>13.3376</v>
      </c>
      <c r="H835">
        <v>0.96699999999999997</v>
      </c>
      <c r="K835">
        <v>55129</v>
      </c>
      <c r="L835" t="s">
        <v>7780</v>
      </c>
      <c r="M835">
        <v>0.7</v>
      </c>
    </row>
    <row r="836" spans="1:13" x14ac:dyDescent="0.25">
      <c r="A836" t="s">
        <v>7781</v>
      </c>
      <c r="B836">
        <v>55130</v>
      </c>
      <c r="C836">
        <v>7808725406021</v>
      </c>
      <c r="D836">
        <v>29.9</v>
      </c>
      <c r="E836">
        <v>19.440000000000001</v>
      </c>
      <c r="F836">
        <v>19.95</v>
      </c>
      <c r="G836">
        <v>13.6936</v>
      </c>
      <c r="H836">
        <v>1.6</v>
      </c>
      <c r="K836">
        <v>55130</v>
      </c>
      <c r="L836" t="s">
        <v>7781</v>
      </c>
      <c r="M836">
        <v>0.96699999999999997</v>
      </c>
    </row>
    <row r="837" spans="1:13" x14ac:dyDescent="0.25">
      <c r="A837" t="s">
        <v>7782</v>
      </c>
      <c r="B837">
        <v>58699</v>
      </c>
      <c r="C837">
        <v>7808725408186</v>
      </c>
      <c r="D837">
        <v>29.9</v>
      </c>
      <c r="E837">
        <v>19.09</v>
      </c>
      <c r="F837">
        <v>23.81</v>
      </c>
      <c r="G837">
        <v>12.5396</v>
      </c>
      <c r="H837">
        <v>2.9670000000000001</v>
      </c>
      <c r="K837">
        <v>58699</v>
      </c>
      <c r="L837" t="s">
        <v>7782</v>
      </c>
      <c r="M837">
        <v>1.9330000000000001</v>
      </c>
    </row>
    <row r="838" spans="1:13" x14ac:dyDescent="0.25">
      <c r="A838" t="s">
        <v>7783</v>
      </c>
      <c r="B838">
        <v>44245</v>
      </c>
      <c r="C838">
        <v>7804641500034</v>
      </c>
      <c r="D838">
        <v>29.9</v>
      </c>
      <c r="E838">
        <v>20.64</v>
      </c>
      <c r="F838">
        <v>17.47</v>
      </c>
      <c r="G838">
        <v>14.436299999999999</v>
      </c>
      <c r="H838">
        <v>2.7669999999999999</v>
      </c>
      <c r="K838">
        <v>44245</v>
      </c>
      <c r="L838" t="s">
        <v>7783</v>
      </c>
      <c r="M838">
        <v>2.1669999999999998</v>
      </c>
    </row>
    <row r="839" spans="1:13" x14ac:dyDescent="0.25">
      <c r="A839" t="s">
        <v>7784</v>
      </c>
      <c r="B839">
        <v>44243</v>
      </c>
      <c r="C839">
        <v>7808725400340</v>
      </c>
      <c r="D839">
        <v>29.9</v>
      </c>
      <c r="E839">
        <v>20.010000000000002</v>
      </c>
      <c r="F839">
        <v>21.03</v>
      </c>
      <c r="G839">
        <v>13.372400000000001</v>
      </c>
      <c r="H839">
        <v>0.66700000000000004</v>
      </c>
      <c r="K839">
        <v>44243</v>
      </c>
      <c r="L839" t="s">
        <v>7784</v>
      </c>
      <c r="M839">
        <v>0.26700000000000002</v>
      </c>
    </row>
    <row r="840" spans="1:13" x14ac:dyDescent="0.25">
      <c r="A840" t="s">
        <v>7785</v>
      </c>
      <c r="B840">
        <v>60789</v>
      </c>
      <c r="C840">
        <v>5600391231202</v>
      </c>
      <c r="D840">
        <v>59.9</v>
      </c>
      <c r="E840">
        <v>33.64</v>
      </c>
      <c r="F840">
        <v>29</v>
      </c>
      <c r="G840">
        <v>22.014600000000002</v>
      </c>
      <c r="H840">
        <v>1.367</v>
      </c>
      <c r="K840">
        <v>60789</v>
      </c>
      <c r="L840" t="s">
        <v>7785</v>
      </c>
      <c r="M840">
        <v>0.23300000000000001</v>
      </c>
    </row>
    <row r="841" spans="1:13" x14ac:dyDescent="0.25">
      <c r="A841" t="s">
        <v>7786</v>
      </c>
      <c r="B841">
        <v>60296</v>
      </c>
      <c r="C841">
        <v>1000000000535</v>
      </c>
      <c r="D841">
        <v>259.89999999999998</v>
      </c>
      <c r="E841">
        <v>176.77</v>
      </c>
      <c r="F841">
        <v>21.03</v>
      </c>
      <c r="G841">
        <v>116.22709999999999</v>
      </c>
      <c r="H841">
        <v>0</v>
      </c>
      <c r="K841">
        <v>60296</v>
      </c>
      <c r="L841" t="s">
        <v>7786</v>
      </c>
      <c r="M841">
        <v>0</v>
      </c>
    </row>
    <row r="842" spans="1:13" x14ac:dyDescent="0.25">
      <c r="A842" t="s">
        <v>7787</v>
      </c>
      <c r="B842">
        <v>63978</v>
      </c>
      <c r="C842">
        <v>7798145140202</v>
      </c>
      <c r="D842">
        <v>108.97</v>
      </c>
      <c r="E842">
        <v>83.27</v>
      </c>
      <c r="F842">
        <v>18.05</v>
      </c>
      <c r="G842">
        <v>51.982599999999998</v>
      </c>
      <c r="H842">
        <v>0.63300000000000001</v>
      </c>
      <c r="K842">
        <v>63978</v>
      </c>
      <c r="L842" t="s">
        <v>7787</v>
      </c>
      <c r="M842">
        <v>0.23300000000000001</v>
      </c>
    </row>
    <row r="843" spans="1:13" x14ac:dyDescent="0.25">
      <c r="A843" t="s">
        <v>7788</v>
      </c>
      <c r="B843">
        <v>63980</v>
      </c>
      <c r="C843">
        <v>7798145140233</v>
      </c>
      <c r="D843">
        <v>118.4</v>
      </c>
      <c r="E843">
        <v>86.48</v>
      </c>
      <c r="F843">
        <v>19.96</v>
      </c>
      <c r="G843">
        <v>54.213999999999999</v>
      </c>
      <c r="H843">
        <v>3.3000000000000002E-2</v>
      </c>
      <c r="K843">
        <v>63980</v>
      </c>
      <c r="L843" t="s">
        <v>7788</v>
      </c>
      <c r="M843">
        <v>3.3000000000000002E-2</v>
      </c>
    </row>
    <row r="844" spans="1:13" x14ac:dyDescent="0.25">
      <c r="A844" t="s">
        <v>7789</v>
      </c>
      <c r="B844">
        <v>63974</v>
      </c>
      <c r="C844">
        <v>7798145140172</v>
      </c>
      <c r="D844">
        <v>107.55</v>
      </c>
      <c r="E844">
        <v>79.17</v>
      </c>
      <c r="F844">
        <v>18</v>
      </c>
      <c r="G844">
        <v>51.358199999999997</v>
      </c>
      <c r="H844">
        <v>1</v>
      </c>
      <c r="K844">
        <v>63974</v>
      </c>
      <c r="L844" t="s">
        <v>7789</v>
      </c>
      <c r="M844">
        <v>0.13300000000000001</v>
      </c>
    </row>
    <row r="845" spans="1:13" x14ac:dyDescent="0.25">
      <c r="A845" t="s">
        <v>7790</v>
      </c>
      <c r="B845">
        <v>67457</v>
      </c>
      <c r="C845">
        <v>8032610319700</v>
      </c>
      <c r="D845">
        <v>89.9</v>
      </c>
      <c r="E845">
        <v>59.73</v>
      </c>
      <c r="F845">
        <v>21.99</v>
      </c>
      <c r="G845">
        <v>39.340400000000002</v>
      </c>
      <c r="H845">
        <v>0.13300000000000001</v>
      </c>
      <c r="K845">
        <v>67457</v>
      </c>
      <c r="L845" t="s">
        <v>7790</v>
      </c>
      <c r="M845">
        <v>0.13300000000000001</v>
      </c>
    </row>
    <row r="846" spans="1:13" x14ac:dyDescent="0.25">
      <c r="A846" t="s">
        <v>7791</v>
      </c>
      <c r="B846">
        <v>67458</v>
      </c>
      <c r="C846">
        <v>8055684026503</v>
      </c>
      <c r="D846">
        <v>139.9</v>
      </c>
      <c r="E846">
        <v>93.67</v>
      </c>
      <c r="F846">
        <v>20.21</v>
      </c>
      <c r="G846">
        <v>63.707000000000001</v>
      </c>
      <c r="H846">
        <v>3.3000000000000002E-2</v>
      </c>
      <c r="K846">
        <v>67458</v>
      </c>
      <c r="L846" t="s">
        <v>7791</v>
      </c>
      <c r="M846">
        <v>3.3000000000000002E-2</v>
      </c>
    </row>
    <row r="847" spans="1:13" x14ac:dyDescent="0.25">
      <c r="A847" t="s">
        <v>7792</v>
      </c>
      <c r="B847">
        <v>67459</v>
      </c>
      <c r="C847">
        <v>8055684024813</v>
      </c>
      <c r="D847">
        <v>89.9</v>
      </c>
      <c r="E847">
        <v>58.95</v>
      </c>
      <c r="F847">
        <v>22.64</v>
      </c>
      <c r="G847">
        <v>38.759500000000003</v>
      </c>
      <c r="H847">
        <v>0.13300000000000001</v>
      </c>
      <c r="K847">
        <v>67459</v>
      </c>
      <c r="L847" t="s">
        <v>7792</v>
      </c>
      <c r="M847">
        <v>0.1</v>
      </c>
    </row>
    <row r="848" spans="1:13" x14ac:dyDescent="0.25">
      <c r="A848" t="s">
        <v>7793</v>
      </c>
      <c r="B848">
        <v>63421</v>
      </c>
      <c r="C848">
        <v>7804320755205</v>
      </c>
      <c r="D848">
        <v>39.9</v>
      </c>
      <c r="E848">
        <v>24.36</v>
      </c>
      <c r="F848">
        <v>25.61</v>
      </c>
      <c r="G848">
        <v>16.016300000000001</v>
      </c>
      <c r="H848">
        <v>0</v>
      </c>
      <c r="K848">
        <v>63421</v>
      </c>
      <c r="L848" t="s">
        <v>7793</v>
      </c>
      <c r="M848">
        <v>0</v>
      </c>
    </row>
    <row r="849" spans="1:13" x14ac:dyDescent="0.25">
      <c r="A849" t="s">
        <v>7794</v>
      </c>
      <c r="B849">
        <v>3196</v>
      </c>
      <c r="C849">
        <v>7804320116846</v>
      </c>
      <c r="D849">
        <v>39.9</v>
      </c>
      <c r="E849">
        <v>24.11</v>
      </c>
      <c r="F849">
        <v>26.01</v>
      </c>
      <c r="G849">
        <v>15.855399999999999</v>
      </c>
      <c r="H849">
        <v>3.3000000000000002E-2</v>
      </c>
      <c r="K849">
        <v>3196</v>
      </c>
      <c r="L849" t="s">
        <v>7794</v>
      </c>
      <c r="M849">
        <v>3.3000000000000002E-2</v>
      </c>
    </row>
    <row r="850" spans="1:13" x14ac:dyDescent="0.25">
      <c r="A850" t="s">
        <v>7795</v>
      </c>
      <c r="B850">
        <v>3197</v>
      </c>
      <c r="C850">
        <v>7804320116921</v>
      </c>
      <c r="D850">
        <v>39.9</v>
      </c>
      <c r="E850">
        <v>24.93</v>
      </c>
      <c r="F850">
        <v>24.51</v>
      </c>
      <c r="G850">
        <v>16.456299999999999</v>
      </c>
      <c r="H850">
        <v>0.26700000000000002</v>
      </c>
      <c r="K850">
        <v>3197</v>
      </c>
      <c r="L850" t="s">
        <v>7795</v>
      </c>
      <c r="M850">
        <v>0.23300000000000001</v>
      </c>
    </row>
    <row r="851" spans="1:13" x14ac:dyDescent="0.25">
      <c r="A851" t="s">
        <v>7796</v>
      </c>
      <c r="B851">
        <v>3200</v>
      </c>
      <c r="C851">
        <v>7804320116815</v>
      </c>
      <c r="D851">
        <v>39.9</v>
      </c>
      <c r="E851">
        <v>24.05</v>
      </c>
      <c r="F851">
        <v>26.13</v>
      </c>
      <c r="G851">
        <v>15.809699999999999</v>
      </c>
      <c r="H851">
        <v>0</v>
      </c>
      <c r="K851">
        <v>3200</v>
      </c>
      <c r="L851" t="s">
        <v>7796</v>
      </c>
      <c r="M851">
        <v>0</v>
      </c>
    </row>
    <row r="852" spans="1:13" x14ac:dyDescent="0.25">
      <c r="A852" t="s">
        <v>7797</v>
      </c>
      <c r="B852">
        <v>69777</v>
      </c>
      <c r="C852">
        <v>7804320405407</v>
      </c>
      <c r="D852">
        <v>59.9</v>
      </c>
      <c r="E852">
        <v>49.76</v>
      </c>
      <c r="F852">
        <v>11.13</v>
      </c>
      <c r="G852">
        <v>32.716200000000001</v>
      </c>
      <c r="H852">
        <v>0.14299999999999999</v>
      </c>
      <c r="K852">
        <v>69777</v>
      </c>
      <c r="L852" t="s">
        <v>7797</v>
      </c>
      <c r="M852">
        <v>0.14299999999999999</v>
      </c>
    </row>
    <row r="853" spans="1:13" x14ac:dyDescent="0.25">
      <c r="A853" t="s">
        <v>7798</v>
      </c>
      <c r="B853">
        <v>69776</v>
      </c>
      <c r="C853">
        <v>7804320156903</v>
      </c>
      <c r="D853">
        <v>59.9</v>
      </c>
      <c r="E853">
        <v>49.76</v>
      </c>
      <c r="F853">
        <v>11.13</v>
      </c>
      <c r="G853">
        <v>32.716200000000001</v>
      </c>
      <c r="H853">
        <v>0.14299999999999999</v>
      </c>
      <c r="K853">
        <v>69776</v>
      </c>
      <c r="L853" t="s">
        <v>7798</v>
      </c>
      <c r="M853">
        <v>0.14299999999999999</v>
      </c>
    </row>
    <row r="854" spans="1:13" x14ac:dyDescent="0.25">
      <c r="A854" t="s">
        <v>7799</v>
      </c>
      <c r="B854">
        <v>32478</v>
      </c>
      <c r="C854">
        <v>7804320753607</v>
      </c>
      <c r="D854">
        <v>59.9</v>
      </c>
      <c r="E854">
        <v>38.369999999999997</v>
      </c>
      <c r="F854">
        <v>25.9</v>
      </c>
      <c r="G854">
        <v>23.872699999999998</v>
      </c>
      <c r="H854">
        <v>0.5</v>
      </c>
      <c r="K854">
        <v>32478</v>
      </c>
      <c r="L854" t="s">
        <v>7799</v>
      </c>
      <c r="M854">
        <v>0.3</v>
      </c>
    </row>
    <row r="855" spans="1:13" x14ac:dyDescent="0.25">
      <c r="A855" t="s">
        <v>7800</v>
      </c>
      <c r="B855">
        <v>30376</v>
      </c>
      <c r="C855">
        <v>7804320119434</v>
      </c>
      <c r="D855">
        <v>59.9</v>
      </c>
      <c r="E855">
        <v>39.96</v>
      </c>
      <c r="F855">
        <v>24.72</v>
      </c>
      <c r="G855">
        <v>24.579899999999999</v>
      </c>
      <c r="H855">
        <v>0.1</v>
      </c>
      <c r="K855">
        <v>30376</v>
      </c>
      <c r="L855" t="s">
        <v>7800</v>
      </c>
      <c r="M855">
        <v>0.1</v>
      </c>
    </row>
    <row r="856" spans="1:13" x14ac:dyDescent="0.25">
      <c r="A856" t="s">
        <v>7801</v>
      </c>
      <c r="B856">
        <v>32475</v>
      </c>
      <c r="C856">
        <v>7804320753751</v>
      </c>
      <c r="D856">
        <v>59.9</v>
      </c>
      <c r="E856">
        <v>39.42</v>
      </c>
      <c r="F856">
        <v>22.35</v>
      </c>
      <c r="G856">
        <v>25.996400000000001</v>
      </c>
      <c r="H856">
        <v>0.4</v>
      </c>
      <c r="K856">
        <v>32475</v>
      </c>
      <c r="L856" t="s">
        <v>7801</v>
      </c>
      <c r="M856">
        <v>0.46700000000000003</v>
      </c>
    </row>
    <row r="857" spans="1:13" x14ac:dyDescent="0.25">
      <c r="A857" t="s">
        <v>7802</v>
      </c>
      <c r="B857">
        <v>30189</v>
      </c>
      <c r="C857">
        <v>7804320753454</v>
      </c>
      <c r="D857">
        <v>59.9</v>
      </c>
      <c r="E857">
        <v>37.869999999999997</v>
      </c>
      <c r="F857">
        <v>24.11</v>
      </c>
      <c r="G857">
        <v>24.940899999999999</v>
      </c>
      <c r="H857">
        <v>0.6</v>
      </c>
      <c r="K857">
        <v>30189</v>
      </c>
      <c r="L857" t="s">
        <v>7802</v>
      </c>
      <c r="M857">
        <v>0.46700000000000003</v>
      </c>
    </row>
    <row r="858" spans="1:13" x14ac:dyDescent="0.25">
      <c r="A858" t="s">
        <v>7803</v>
      </c>
      <c r="B858">
        <v>57361</v>
      </c>
      <c r="C858">
        <v>7804320555959</v>
      </c>
      <c r="D858">
        <v>59.9</v>
      </c>
      <c r="E858">
        <v>36.67</v>
      </c>
      <c r="F858">
        <v>25.33</v>
      </c>
      <c r="G858">
        <v>24.212700000000002</v>
      </c>
      <c r="H858">
        <v>0.26700000000000002</v>
      </c>
      <c r="K858">
        <v>57361</v>
      </c>
      <c r="L858" t="s">
        <v>7803</v>
      </c>
      <c r="M858">
        <v>0.2</v>
      </c>
    </row>
    <row r="859" spans="1:13" x14ac:dyDescent="0.25">
      <c r="A859" t="s">
        <v>7804</v>
      </c>
      <c r="B859">
        <v>32477</v>
      </c>
      <c r="C859">
        <v>7804320753003</v>
      </c>
      <c r="D859">
        <v>59.9</v>
      </c>
      <c r="E859">
        <v>38.17</v>
      </c>
      <c r="F859">
        <v>22.37</v>
      </c>
      <c r="G859">
        <v>25.985099999999999</v>
      </c>
      <c r="H859">
        <v>0.46700000000000003</v>
      </c>
      <c r="K859">
        <v>32477</v>
      </c>
      <c r="L859" t="s">
        <v>7804</v>
      </c>
      <c r="M859">
        <v>0.6</v>
      </c>
    </row>
    <row r="860" spans="1:13" x14ac:dyDescent="0.25">
      <c r="A860" t="s">
        <v>7805</v>
      </c>
      <c r="B860">
        <v>67585</v>
      </c>
      <c r="C860">
        <v>7804320233970</v>
      </c>
      <c r="D860">
        <v>124.9</v>
      </c>
      <c r="E860">
        <v>76.650000000000006</v>
      </c>
      <c r="F860">
        <v>25.4</v>
      </c>
      <c r="G860">
        <v>50.398200000000003</v>
      </c>
      <c r="H860">
        <v>0</v>
      </c>
      <c r="K860">
        <v>67585</v>
      </c>
      <c r="L860" t="s">
        <v>7805</v>
      </c>
      <c r="M860">
        <v>0</v>
      </c>
    </row>
    <row r="861" spans="1:13" x14ac:dyDescent="0.25">
      <c r="A861" t="s">
        <v>7806</v>
      </c>
      <c r="B861">
        <v>67586</v>
      </c>
      <c r="C861">
        <v>7804320407050</v>
      </c>
      <c r="D861">
        <v>124.9</v>
      </c>
      <c r="E861">
        <v>76.650000000000006</v>
      </c>
      <c r="F861">
        <v>25.4</v>
      </c>
      <c r="G861">
        <v>50.3977</v>
      </c>
      <c r="H861">
        <v>0</v>
      </c>
      <c r="K861">
        <v>67586</v>
      </c>
      <c r="L861" t="s">
        <v>7806</v>
      </c>
      <c r="M861">
        <v>0</v>
      </c>
    </row>
    <row r="862" spans="1:13" x14ac:dyDescent="0.25">
      <c r="A862" t="s">
        <v>7807</v>
      </c>
      <c r="B862">
        <v>67587</v>
      </c>
      <c r="C862">
        <v>7804320753300</v>
      </c>
      <c r="D862">
        <v>124.9</v>
      </c>
      <c r="E862">
        <v>76.650000000000006</v>
      </c>
      <c r="F862">
        <v>25.4</v>
      </c>
      <c r="G862">
        <v>50.397599999999997</v>
      </c>
      <c r="H862">
        <v>0</v>
      </c>
      <c r="K862">
        <v>67587</v>
      </c>
      <c r="L862" t="s">
        <v>7807</v>
      </c>
      <c r="M862">
        <v>0</v>
      </c>
    </row>
    <row r="863" spans="1:13" x14ac:dyDescent="0.25">
      <c r="A863" t="s">
        <v>7808</v>
      </c>
      <c r="B863">
        <v>27695</v>
      </c>
      <c r="C863">
        <v>5602012111238</v>
      </c>
      <c r="D863">
        <v>45.9</v>
      </c>
      <c r="E863">
        <v>28.91</v>
      </c>
      <c r="F863">
        <v>24.34</v>
      </c>
      <c r="G863">
        <v>19.008400000000002</v>
      </c>
      <c r="H863">
        <v>3.3000000000000002E-2</v>
      </c>
      <c r="K863">
        <v>27695</v>
      </c>
      <c r="L863" t="s">
        <v>7808</v>
      </c>
      <c r="M863">
        <v>3.3000000000000002E-2</v>
      </c>
    </row>
    <row r="864" spans="1:13" x14ac:dyDescent="0.25">
      <c r="A864" t="s">
        <v>7809</v>
      </c>
      <c r="B864">
        <v>57028</v>
      </c>
      <c r="C864">
        <v>8002153229064</v>
      </c>
      <c r="D864">
        <v>69.900000000000006</v>
      </c>
      <c r="E864">
        <v>49.56</v>
      </c>
      <c r="F864">
        <v>19.05</v>
      </c>
      <c r="G864">
        <v>32.6432</v>
      </c>
      <c r="H864">
        <v>0.36699999999999999</v>
      </c>
      <c r="K864">
        <v>57028</v>
      </c>
      <c r="L864" t="s">
        <v>7809</v>
      </c>
      <c r="M864">
        <v>0.26700000000000002</v>
      </c>
    </row>
    <row r="865" spans="1:13" x14ac:dyDescent="0.25">
      <c r="A865" t="s">
        <v>7810</v>
      </c>
      <c r="B865">
        <v>67199</v>
      </c>
      <c r="C865">
        <v>8002153227107</v>
      </c>
      <c r="D865">
        <v>69.900000000000006</v>
      </c>
      <c r="E865">
        <v>45.89</v>
      </c>
      <c r="F865">
        <v>22.58</v>
      </c>
      <c r="G865">
        <v>30.1738</v>
      </c>
      <c r="H865">
        <v>0.96699999999999997</v>
      </c>
      <c r="K865">
        <v>67199</v>
      </c>
      <c r="L865" t="s">
        <v>7810</v>
      </c>
      <c r="M865">
        <v>0.1</v>
      </c>
    </row>
    <row r="866" spans="1:13" x14ac:dyDescent="0.25">
      <c r="A866" t="s">
        <v>7811</v>
      </c>
      <c r="B866">
        <v>56721</v>
      </c>
      <c r="C866">
        <v>8002153227121</v>
      </c>
      <c r="D866">
        <v>69.900000000000006</v>
      </c>
      <c r="E866">
        <v>41.34</v>
      </c>
      <c r="F866">
        <v>26.86</v>
      </c>
      <c r="G866">
        <v>27.184799999999999</v>
      </c>
      <c r="H866">
        <v>1.0329999999999999</v>
      </c>
      <c r="K866">
        <v>56721</v>
      </c>
      <c r="L866" t="s">
        <v>7811</v>
      </c>
      <c r="M866">
        <v>0.433</v>
      </c>
    </row>
    <row r="867" spans="1:13" x14ac:dyDescent="0.25">
      <c r="A867" t="s">
        <v>7812</v>
      </c>
      <c r="B867">
        <v>57027</v>
      </c>
      <c r="C867">
        <v>8002153227091</v>
      </c>
      <c r="D867">
        <v>69.900000000000006</v>
      </c>
      <c r="E867">
        <v>40.799999999999997</v>
      </c>
      <c r="F867">
        <v>27.32</v>
      </c>
      <c r="G867">
        <v>26.859200000000001</v>
      </c>
      <c r="H867">
        <v>1.7</v>
      </c>
      <c r="K867">
        <v>57027</v>
      </c>
      <c r="L867" t="s">
        <v>7812</v>
      </c>
      <c r="M867">
        <v>0.2</v>
      </c>
    </row>
    <row r="868" spans="1:13" x14ac:dyDescent="0.25">
      <c r="A868" t="s">
        <v>7813</v>
      </c>
      <c r="B868">
        <v>58839</v>
      </c>
      <c r="C868">
        <v>7808765747030</v>
      </c>
      <c r="D868">
        <v>49.9</v>
      </c>
      <c r="E868">
        <v>40.549999999999997</v>
      </c>
      <c r="F868">
        <v>12.33</v>
      </c>
      <c r="G868">
        <v>26.657699999999998</v>
      </c>
      <c r="H868">
        <v>0.3</v>
      </c>
      <c r="K868">
        <v>58839</v>
      </c>
      <c r="L868" t="s">
        <v>7813</v>
      </c>
      <c r="M868">
        <v>0</v>
      </c>
    </row>
    <row r="869" spans="1:13" x14ac:dyDescent="0.25">
      <c r="A869" t="s">
        <v>7814</v>
      </c>
      <c r="B869">
        <v>27696</v>
      </c>
      <c r="C869">
        <v>5603790003753</v>
      </c>
      <c r="D869">
        <v>199.9</v>
      </c>
      <c r="E869">
        <v>120.81</v>
      </c>
      <c r="F869">
        <v>26.02</v>
      </c>
      <c r="G869">
        <v>79.430000000000007</v>
      </c>
      <c r="H869">
        <v>0</v>
      </c>
      <c r="K869">
        <v>27696</v>
      </c>
      <c r="L869" t="s">
        <v>7814</v>
      </c>
      <c r="M869">
        <v>0</v>
      </c>
    </row>
    <row r="870" spans="1:13" x14ac:dyDescent="0.25">
      <c r="A870" t="s">
        <v>7815</v>
      </c>
      <c r="B870">
        <v>57771</v>
      </c>
      <c r="C870">
        <v>7899550314582</v>
      </c>
      <c r="D870" s="1">
        <v>1599.9</v>
      </c>
      <c r="E870">
        <v>933.04</v>
      </c>
      <c r="F870">
        <v>27.41</v>
      </c>
      <c r="G870">
        <v>613.47469999999998</v>
      </c>
      <c r="H870">
        <v>0</v>
      </c>
      <c r="K870">
        <v>57771</v>
      </c>
      <c r="L870" t="s">
        <v>7815</v>
      </c>
      <c r="M870">
        <v>0</v>
      </c>
    </row>
    <row r="871" spans="1:13" x14ac:dyDescent="0.25">
      <c r="A871" t="s">
        <v>7816</v>
      </c>
      <c r="B871">
        <v>64555</v>
      </c>
      <c r="C871">
        <v>5281004161187</v>
      </c>
      <c r="D871">
        <v>289.89999999999998</v>
      </c>
      <c r="E871">
        <v>194.05</v>
      </c>
      <c r="F871">
        <v>21.74</v>
      </c>
      <c r="G871">
        <v>127.5903</v>
      </c>
      <c r="H871">
        <v>0</v>
      </c>
      <c r="K871">
        <v>64555</v>
      </c>
      <c r="L871" t="s">
        <v>7816</v>
      </c>
      <c r="M871">
        <v>0</v>
      </c>
    </row>
    <row r="872" spans="1:13" x14ac:dyDescent="0.25">
      <c r="A872" t="s">
        <v>7817</v>
      </c>
      <c r="B872">
        <v>69494</v>
      </c>
      <c r="C872">
        <v>3355820002077</v>
      </c>
      <c r="D872">
        <v>79.900000000000006</v>
      </c>
      <c r="E872">
        <v>55.31</v>
      </c>
      <c r="F872">
        <v>20.23</v>
      </c>
      <c r="G872">
        <v>36.367899999999999</v>
      </c>
      <c r="H872">
        <v>0.4</v>
      </c>
      <c r="K872">
        <v>69494</v>
      </c>
      <c r="L872" t="s">
        <v>7817</v>
      </c>
      <c r="M872">
        <v>0.4</v>
      </c>
    </row>
    <row r="873" spans="1:13" x14ac:dyDescent="0.25">
      <c r="A873" t="s">
        <v>7818</v>
      </c>
      <c r="B873">
        <v>65082</v>
      </c>
      <c r="C873">
        <v>7891141032097</v>
      </c>
      <c r="D873">
        <v>19.899999999999999</v>
      </c>
      <c r="E873">
        <v>12.2</v>
      </c>
      <c r="F873">
        <v>25.35</v>
      </c>
      <c r="G873">
        <v>8.0393000000000008</v>
      </c>
      <c r="H873">
        <v>5.633</v>
      </c>
      <c r="K873">
        <v>65082</v>
      </c>
      <c r="L873" t="s">
        <v>7818</v>
      </c>
      <c r="M873">
        <v>4.7670000000000003</v>
      </c>
    </row>
    <row r="874" spans="1:13" x14ac:dyDescent="0.25">
      <c r="A874" t="s">
        <v>7819</v>
      </c>
      <c r="B874">
        <v>15901</v>
      </c>
      <c r="C874">
        <v>7891141016882</v>
      </c>
      <c r="D874">
        <v>16.899999999999999</v>
      </c>
      <c r="E874">
        <v>11.19</v>
      </c>
      <c r="F874">
        <v>22.17</v>
      </c>
      <c r="G874">
        <v>7.3657000000000004</v>
      </c>
      <c r="H874">
        <v>1.867</v>
      </c>
      <c r="K874">
        <v>15901</v>
      </c>
      <c r="L874" t="s">
        <v>7819</v>
      </c>
      <c r="M874">
        <v>1.7330000000000001</v>
      </c>
    </row>
    <row r="875" spans="1:13" x14ac:dyDescent="0.25">
      <c r="A875" t="s">
        <v>7820</v>
      </c>
      <c r="B875">
        <v>9573</v>
      </c>
      <c r="C875">
        <v>7891141011986</v>
      </c>
      <c r="D875">
        <v>16.899999999999999</v>
      </c>
      <c r="E875">
        <v>11.18</v>
      </c>
      <c r="F875">
        <v>22.25</v>
      </c>
      <c r="G875">
        <v>7.3518999999999997</v>
      </c>
      <c r="H875">
        <v>3.3330000000000002</v>
      </c>
      <c r="K875">
        <v>9573</v>
      </c>
      <c r="L875" t="s">
        <v>7820</v>
      </c>
      <c r="M875">
        <v>2.867</v>
      </c>
    </row>
    <row r="876" spans="1:13" x14ac:dyDescent="0.25">
      <c r="A876" t="s">
        <v>7821</v>
      </c>
      <c r="B876">
        <v>3153</v>
      </c>
      <c r="C876">
        <v>5604123002207</v>
      </c>
      <c r="D876">
        <v>239.9</v>
      </c>
      <c r="E876">
        <v>133.37</v>
      </c>
      <c r="F876">
        <v>29.61</v>
      </c>
      <c r="G876">
        <v>86.704899999999995</v>
      </c>
      <c r="H876">
        <v>0</v>
      </c>
      <c r="K876">
        <v>3153</v>
      </c>
      <c r="L876" t="s">
        <v>7821</v>
      </c>
      <c r="M876">
        <v>0</v>
      </c>
    </row>
    <row r="877" spans="1:13" x14ac:dyDescent="0.25">
      <c r="A877" t="s">
        <v>7822</v>
      </c>
      <c r="B877">
        <v>62144</v>
      </c>
      <c r="C877">
        <v>5604123004270</v>
      </c>
      <c r="D877" s="1">
        <v>1645.4</v>
      </c>
      <c r="E877" s="1">
        <v>1055.5999999999999</v>
      </c>
      <c r="F877">
        <v>23.5</v>
      </c>
      <c r="G877">
        <v>695.1576</v>
      </c>
      <c r="H877">
        <v>0</v>
      </c>
      <c r="K877">
        <v>62144</v>
      </c>
      <c r="L877" t="s">
        <v>7822</v>
      </c>
      <c r="M877">
        <v>0</v>
      </c>
    </row>
    <row r="878" spans="1:13" x14ac:dyDescent="0.25">
      <c r="A878" t="s">
        <v>7823</v>
      </c>
      <c r="B878">
        <v>3154</v>
      </c>
      <c r="C878">
        <v>5604123000463</v>
      </c>
      <c r="D878">
        <v>149.9</v>
      </c>
      <c r="E878">
        <v>90.76</v>
      </c>
      <c r="F878">
        <v>25.64</v>
      </c>
      <c r="G878">
        <v>60.119599999999998</v>
      </c>
      <c r="H878">
        <v>0.33300000000000002</v>
      </c>
      <c r="K878">
        <v>3154</v>
      </c>
      <c r="L878" t="s">
        <v>7823</v>
      </c>
      <c r="M878">
        <v>6.7000000000000004E-2</v>
      </c>
    </row>
    <row r="879" spans="1:13" x14ac:dyDescent="0.25">
      <c r="A879" t="s">
        <v>7824</v>
      </c>
      <c r="B879">
        <v>67148</v>
      </c>
      <c r="C879">
        <v>7804426009950</v>
      </c>
      <c r="D879">
        <v>119.9</v>
      </c>
      <c r="E879">
        <v>49.27</v>
      </c>
      <c r="F879">
        <v>38.74</v>
      </c>
      <c r="G879">
        <v>32.390599999999999</v>
      </c>
      <c r="H879">
        <v>0.16700000000000001</v>
      </c>
      <c r="K879">
        <v>67148</v>
      </c>
      <c r="L879" t="s">
        <v>7824</v>
      </c>
      <c r="M879">
        <v>0.16700000000000001</v>
      </c>
    </row>
    <row r="880" spans="1:13" x14ac:dyDescent="0.25">
      <c r="A880" t="s">
        <v>7825</v>
      </c>
      <c r="B880">
        <v>35791</v>
      </c>
      <c r="C880">
        <v>7798068480393</v>
      </c>
      <c r="D880">
        <v>79.900000000000006</v>
      </c>
      <c r="E880">
        <v>53.71</v>
      </c>
      <c r="F880">
        <v>20.9</v>
      </c>
      <c r="G880">
        <v>35.838299999999997</v>
      </c>
      <c r="H880">
        <v>0.6</v>
      </c>
      <c r="K880">
        <v>35791</v>
      </c>
      <c r="L880" t="s">
        <v>7825</v>
      </c>
      <c r="M880">
        <v>3.3000000000000002E-2</v>
      </c>
    </row>
    <row r="881" spans="1:13" x14ac:dyDescent="0.25">
      <c r="A881" t="s">
        <v>7826</v>
      </c>
      <c r="B881">
        <v>35866</v>
      </c>
      <c r="C881">
        <v>7798068480249</v>
      </c>
      <c r="D881">
        <v>79.900000000000006</v>
      </c>
      <c r="E881">
        <v>50.43</v>
      </c>
      <c r="F881">
        <v>23.6</v>
      </c>
      <c r="G881">
        <v>33.678899999999999</v>
      </c>
      <c r="H881">
        <v>0.16700000000000001</v>
      </c>
      <c r="K881">
        <v>35866</v>
      </c>
      <c r="L881" t="s">
        <v>7826</v>
      </c>
      <c r="M881">
        <v>3.3000000000000002E-2</v>
      </c>
    </row>
    <row r="882" spans="1:13" x14ac:dyDescent="0.25">
      <c r="A882" t="s">
        <v>7827</v>
      </c>
      <c r="B882">
        <v>35868</v>
      </c>
      <c r="C882">
        <v>7798068480300</v>
      </c>
      <c r="D882">
        <v>79.900000000000006</v>
      </c>
      <c r="E882">
        <v>61.57</v>
      </c>
      <c r="F882">
        <v>12.37</v>
      </c>
      <c r="G882">
        <v>42.650599999999997</v>
      </c>
      <c r="H882">
        <v>0.26700000000000002</v>
      </c>
      <c r="K882">
        <v>35868</v>
      </c>
      <c r="L882" t="s">
        <v>7827</v>
      </c>
      <c r="M882">
        <v>3.3000000000000002E-2</v>
      </c>
    </row>
    <row r="883" spans="1:13" x14ac:dyDescent="0.25">
      <c r="A883" t="s">
        <v>7828</v>
      </c>
      <c r="B883">
        <v>62318</v>
      </c>
      <c r="C883">
        <v>1000000000825</v>
      </c>
      <c r="D883">
        <v>339.9</v>
      </c>
      <c r="E883">
        <v>225.05</v>
      </c>
      <c r="F883">
        <v>22.22</v>
      </c>
      <c r="G883">
        <v>147.9709</v>
      </c>
      <c r="H883">
        <v>0</v>
      </c>
      <c r="K883">
        <v>62318</v>
      </c>
      <c r="L883" t="s">
        <v>7828</v>
      </c>
      <c r="M883">
        <v>0</v>
      </c>
    </row>
    <row r="884" spans="1:13" x14ac:dyDescent="0.25">
      <c r="A884" t="s">
        <v>7829</v>
      </c>
      <c r="B884">
        <v>59833</v>
      </c>
      <c r="C884">
        <v>7798098891121</v>
      </c>
      <c r="D884">
        <v>139.9</v>
      </c>
      <c r="E884">
        <v>86.84</v>
      </c>
      <c r="F884">
        <v>24.94</v>
      </c>
      <c r="G884">
        <v>57.0959</v>
      </c>
      <c r="H884">
        <v>0</v>
      </c>
      <c r="K884">
        <v>59833</v>
      </c>
      <c r="L884" t="s">
        <v>7829</v>
      </c>
      <c r="M884">
        <v>0</v>
      </c>
    </row>
    <row r="885" spans="1:13" x14ac:dyDescent="0.25">
      <c r="A885" t="s">
        <v>7830</v>
      </c>
      <c r="B885">
        <v>57711</v>
      </c>
      <c r="C885">
        <v>8033182901379</v>
      </c>
      <c r="D885">
        <v>335.23</v>
      </c>
      <c r="E885">
        <v>186.67</v>
      </c>
      <c r="F885">
        <v>31.16</v>
      </c>
      <c r="G885">
        <v>115.96899999999999</v>
      </c>
      <c r="H885">
        <v>0.4</v>
      </c>
      <c r="K885">
        <v>57711</v>
      </c>
      <c r="L885" t="s">
        <v>7830</v>
      </c>
      <c r="M885">
        <v>3.3000000000000002E-2</v>
      </c>
    </row>
    <row r="886" spans="1:13" x14ac:dyDescent="0.25">
      <c r="A886" t="s">
        <v>7831</v>
      </c>
      <c r="B886">
        <v>65312</v>
      </c>
      <c r="C886">
        <v>7791203002290</v>
      </c>
      <c r="D886">
        <v>229.9</v>
      </c>
      <c r="E886">
        <v>142.25</v>
      </c>
      <c r="F886">
        <v>25.07</v>
      </c>
      <c r="G886">
        <v>93.527500000000003</v>
      </c>
      <c r="H886">
        <v>0</v>
      </c>
      <c r="K886">
        <v>65312</v>
      </c>
      <c r="L886" t="s">
        <v>7831</v>
      </c>
      <c r="M886">
        <v>0</v>
      </c>
    </row>
    <row r="887" spans="1:13" x14ac:dyDescent="0.25">
      <c r="A887" t="s">
        <v>7832</v>
      </c>
      <c r="B887">
        <v>69706</v>
      </c>
      <c r="C887">
        <v>5601531101102</v>
      </c>
      <c r="D887">
        <v>189.9</v>
      </c>
      <c r="E887">
        <v>126.34</v>
      </c>
      <c r="F887">
        <v>22.01</v>
      </c>
      <c r="G887">
        <v>83.069599999999994</v>
      </c>
      <c r="H887">
        <v>0</v>
      </c>
      <c r="K887">
        <v>69706</v>
      </c>
      <c r="L887" t="s">
        <v>7832</v>
      </c>
      <c r="M887">
        <v>0</v>
      </c>
    </row>
    <row r="888" spans="1:13" x14ac:dyDescent="0.25">
      <c r="A888" t="s">
        <v>7833</v>
      </c>
      <c r="B888">
        <v>62296</v>
      </c>
      <c r="C888">
        <v>5600366897129</v>
      </c>
      <c r="D888">
        <v>249.9</v>
      </c>
      <c r="E888">
        <v>108.79</v>
      </c>
      <c r="F888">
        <v>37.17</v>
      </c>
      <c r="G888">
        <v>71.4315</v>
      </c>
      <c r="H888">
        <v>0</v>
      </c>
      <c r="K888">
        <v>62296</v>
      </c>
      <c r="L888" t="s">
        <v>7833</v>
      </c>
      <c r="M888">
        <v>0</v>
      </c>
    </row>
    <row r="889" spans="1:13" x14ac:dyDescent="0.25">
      <c r="A889" t="s">
        <v>7834</v>
      </c>
      <c r="B889">
        <v>63017</v>
      </c>
      <c r="C889">
        <v>7804335005777</v>
      </c>
      <c r="D889">
        <v>49.9</v>
      </c>
      <c r="E889">
        <v>24.65</v>
      </c>
      <c r="F889">
        <v>34.28</v>
      </c>
      <c r="G889">
        <v>15.704599999999999</v>
      </c>
      <c r="H889">
        <v>0.23300000000000001</v>
      </c>
      <c r="K889">
        <v>63017</v>
      </c>
      <c r="L889" t="s">
        <v>7834</v>
      </c>
      <c r="M889">
        <v>0</v>
      </c>
    </row>
    <row r="890" spans="1:13" x14ac:dyDescent="0.25">
      <c r="A890" t="s">
        <v>7835</v>
      </c>
      <c r="B890">
        <v>63023</v>
      </c>
      <c r="C890">
        <v>7804335005784</v>
      </c>
      <c r="D890">
        <v>49.9</v>
      </c>
      <c r="E890">
        <v>24.38</v>
      </c>
      <c r="F890">
        <v>34.32</v>
      </c>
      <c r="G890">
        <v>15.6822</v>
      </c>
      <c r="H890">
        <v>0.433</v>
      </c>
      <c r="K890">
        <v>63023</v>
      </c>
      <c r="L890" t="s">
        <v>7835</v>
      </c>
      <c r="M890">
        <v>6.7000000000000004E-2</v>
      </c>
    </row>
    <row r="891" spans="1:13" x14ac:dyDescent="0.25">
      <c r="A891" t="s">
        <v>7836</v>
      </c>
      <c r="B891">
        <v>63024</v>
      </c>
      <c r="C891">
        <v>7804335005791</v>
      </c>
      <c r="D891">
        <v>49.9</v>
      </c>
      <c r="E891">
        <v>23.7</v>
      </c>
      <c r="F891">
        <v>37.659999999999997</v>
      </c>
      <c r="G891">
        <v>14.0177</v>
      </c>
      <c r="H891">
        <v>0.56699999999999995</v>
      </c>
      <c r="K891">
        <v>63024</v>
      </c>
      <c r="L891" t="s">
        <v>7836</v>
      </c>
      <c r="M891">
        <v>6.7000000000000004E-2</v>
      </c>
    </row>
    <row r="892" spans="1:13" x14ac:dyDescent="0.25">
      <c r="A892" t="s">
        <v>7837</v>
      </c>
      <c r="B892">
        <v>63019</v>
      </c>
      <c r="C892">
        <v>7804335005807</v>
      </c>
      <c r="D892">
        <v>49.9</v>
      </c>
      <c r="E892">
        <v>22.51</v>
      </c>
      <c r="F892">
        <v>37.090000000000003</v>
      </c>
      <c r="G892">
        <v>14.3028</v>
      </c>
      <c r="H892">
        <v>0.6</v>
      </c>
      <c r="K892">
        <v>63019</v>
      </c>
      <c r="L892" t="s">
        <v>7837</v>
      </c>
      <c r="M892">
        <v>0.16700000000000001</v>
      </c>
    </row>
    <row r="893" spans="1:13" x14ac:dyDescent="0.25">
      <c r="A893" t="s">
        <v>7838</v>
      </c>
      <c r="B893">
        <v>63030</v>
      </c>
      <c r="C893">
        <v>7804335005852</v>
      </c>
      <c r="D893">
        <v>129.9</v>
      </c>
      <c r="E893">
        <v>49.8</v>
      </c>
      <c r="F893">
        <v>40.909999999999997</v>
      </c>
      <c r="G893">
        <v>32.270499999999998</v>
      </c>
      <c r="H893">
        <v>0.36699999999999999</v>
      </c>
      <c r="K893">
        <v>63030</v>
      </c>
      <c r="L893" t="s">
        <v>7838</v>
      </c>
      <c r="M893">
        <v>0</v>
      </c>
    </row>
    <row r="894" spans="1:13" x14ac:dyDescent="0.25">
      <c r="A894" t="s">
        <v>7839</v>
      </c>
      <c r="B894">
        <v>63021</v>
      </c>
      <c r="C894">
        <v>7804335005869</v>
      </c>
      <c r="D894">
        <v>129.9</v>
      </c>
      <c r="E894">
        <v>52.31</v>
      </c>
      <c r="F894">
        <v>38.83</v>
      </c>
      <c r="G894">
        <v>34.974699999999999</v>
      </c>
      <c r="H894">
        <v>0.36699999999999999</v>
      </c>
      <c r="K894">
        <v>63021</v>
      </c>
      <c r="L894" t="s">
        <v>7839</v>
      </c>
      <c r="M894">
        <v>0</v>
      </c>
    </row>
    <row r="895" spans="1:13" x14ac:dyDescent="0.25">
      <c r="A895" t="s">
        <v>7840</v>
      </c>
      <c r="B895">
        <v>67218</v>
      </c>
      <c r="C895">
        <v>7804335005883</v>
      </c>
      <c r="D895">
        <v>129.9</v>
      </c>
      <c r="E895">
        <v>48.15</v>
      </c>
      <c r="F895">
        <v>41.38</v>
      </c>
      <c r="G895">
        <v>31.660900000000002</v>
      </c>
      <c r="H895">
        <v>0.3</v>
      </c>
      <c r="K895">
        <v>67218</v>
      </c>
      <c r="L895" t="s">
        <v>7840</v>
      </c>
      <c r="M895">
        <v>0</v>
      </c>
    </row>
    <row r="896" spans="1:13" x14ac:dyDescent="0.25">
      <c r="A896" t="s">
        <v>7841</v>
      </c>
      <c r="B896">
        <v>67216</v>
      </c>
      <c r="C896">
        <v>7804335005876</v>
      </c>
      <c r="D896">
        <v>129.9</v>
      </c>
      <c r="E896">
        <v>48.15</v>
      </c>
      <c r="F896">
        <v>41.38</v>
      </c>
      <c r="G896">
        <v>31.661100000000001</v>
      </c>
      <c r="H896">
        <v>0.36699999999999999</v>
      </c>
      <c r="K896">
        <v>67216</v>
      </c>
      <c r="L896" t="s">
        <v>7841</v>
      </c>
      <c r="M896">
        <v>0</v>
      </c>
    </row>
    <row r="897" spans="1:13" x14ac:dyDescent="0.25">
      <c r="A897" t="s">
        <v>7842</v>
      </c>
      <c r="B897">
        <v>67664</v>
      </c>
      <c r="C897">
        <v>5601085010622</v>
      </c>
      <c r="D897">
        <v>89.9</v>
      </c>
      <c r="E897">
        <v>60.12</v>
      </c>
      <c r="F897">
        <v>21.47</v>
      </c>
      <c r="G897">
        <v>39.809800000000003</v>
      </c>
      <c r="H897">
        <v>0.5</v>
      </c>
      <c r="K897">
        <v>67664</v>
      </c>
      <c r="L897" t="s">
        <v>7842</v>
      </c>
      <c r="M897">
        <v>0.23300000000000001</v>
      </c>
    </row>
    <row r="898" spans="1:13" x14ac:dyDescent="0.25">
      <c r="A898" t="s">
        <v>7843</v>
      </c>
      <c r="B898">
        <v>67665</v>
      </c>
      <c r="C898">
        <v>5601085010608</v>
      </c>
      <c r="D898">
        <v>89.9</v>
      </c>
      <c r="E898">
        <v>59.84</v>
      </c>
      <c r="F898">
        <v>21.46</v>
      </c>
      <c r="G898">
        <v>39.816600000000001</v>
      </c>
      <c r="H898">
        <v>0.13300000000000001</v>
      </c>
      <c r="K898">
        <v>67665</v>
      </c>
      <c r="L898" t="s">
        <v>7843</v>
      </c>
      <c r="M898">
        <v>0.1</v>
      </c>
    </row>
    <row r="899" spans="1:13" x14ac:dyDescent="0.25">
      <c r="A899" t="s">
        <v>7844</v>
      </c>
      <c r="B899">
        <v>65508</v>
      </c>
      <c r="C899">
        <v>7804321099728</v>
      </c>
      <c r="D899">
        <v>99.9</v>
      </c>
      <c r="E899">
        <v>38.840000000000003</v>
      </c>
      <c r="F899">
        <v>38.1</v>
      </c>
      <c r="G899">
        <v>27.623000000000001</v>
      </c>
      <c r="H899">
        <v>0.36699999999999999</v>
      </c>
      <c r="K899">
        <v>65508</v>
      </c>
      <c r="L899" t="s">
        <v>7844</v>
      </c>
      <c r="M899">
        <v>0.2</v>
      </c>
    </row>
    <row r="900" spans="1:13" x14ac:dyDescent="0.25">
      <c r="A900" t="s">
        <v>7845</v>
      </c>
      <c r="B900">
        <v>65507</v>
      </c>
      <c r="C900">
        <v>7804321092224</v>
      </c>
      <c r="D900">
        <v>99.9</v>
      </c>
      <c r="E900">
        <v>38.61</v>
      </c>
      <c r="F900">
        <v>38.369999999999997</v>
      </c>
      <c r="G900">
        <v>27.348099999999999</v>
      </c>
      <c r="H900">
        <v>0.433</v>
      </c>
      <c r="K900">
        <v>65507</v>
      </c>
      <c r="L900" t="s">
        <v>7845</v>
      </c>
      <c r="M900">
        <v>0.16700000000000001</v>
      </c>
    </row>
    <row r="901" spans="1:13" x14ac:dyDescent="0.25">
      <c r="A901" t="s">
        <v>7846</v>
      </c>
      <c r="B901">
        <v>52956</v>
      </c>
      <c r="C901">
        <v>5601237000952</v>
      </c>
      <c r="D901">
        <v>111.9</v>
      </c>
      <c r="E901">
        <v>62.07</v>
      </c>
      <c r="F901">
        <v>29.28</v>
      </c>
      <c r="G901">
        <v>40.808300000000003</v>
      </c>
      <c r="H901">
        <v>0.36699999999999999</v>
      </c>
      <c r="K901">
        <v>52956</v>
      </c>
      <c r="L901" t="s">
        <v>7846</v>
      </c>
      <c r="M901">
        <v>0</v>
      </c>
    </row>
    <row r="902" spans="1:13" x14ac:dyDescent="0.25">
      <c r="A902" t="s">
        <v>7847</v>
      </c>
      <c r="B902">
        <v>66996</v>
      </c>
      <c r="C902">
        <v>5601237001386</v>
      </c>
      <c r="D902">
        <v>119.9</v>
      </c>
      <c r="E902">
        <v>62.07</v>
      </c>
      <c r="F902">
        <v>31.71</v>
      </c>
      <c r="G902">
        <v>40.808199999999999</v>
      </c>
      <c r="H902">
        <v>3.3000000000000002E-2</v>
      </c>
      <c r="K902">
        <v>66996</v>
      </c>
      <c r="L902" t="s">
        <v>7847</v>
      </c>
      <c r="M902">
        <v>3.3000000000000002E-2</v>
      </c>
    </row>
    <row r="903" spans="1:13" x14ac:dyDescent="0.25">
      <c r="A903" t="s">
        <v>7848</v>
      </c>
      <c r="B903">
        <v>57684</v>
      </c>
      <c r="C903">
        <v>3760037013615</v>
      </c>
      <c r="D903">
        <v>269.89999999999998</v>
      </c>
      <c r="E903">
        <v>165.64</v>
      </c>
      <c r="F903">
        <v>25.81</v>
      </c>
      <c r="G903">
        <v>107.81059999999999</v>
      </c>
      <c r="H903">
        <v>0</v>
      </c>
      <c r="K903">
        <v>57684</v>
      </c>
      <c r="L903" t="s">
        <v>7848</v>
      </c>
      <c r="M903">
        <v>0</v>
      </c>
    </row>
    <row r="904" spans="1:13" x14ac:dyDescent="0.25">
      <c r="A904" t="s">
        <v>7849</v>
      </c>
      <c r="B904">
        <v>61332</v>
      </c>
      <c r="C904">
        <v>7898956540076</v>
      </c>
      <c r="D904">
        <v>99.9</v>
      </c>
      <c r="E904">
        <v>66.36</v>
      </c>
      <c r="F904">
        <v>22.08</v>
      </c>
      <c r="G904">
        <v>43.631</v>
      </c>
      <c r="H904">
        <v>0</v>
      </c>
      <c r="K904">
        <v>61332</v>
      </c>
      <c r="L904" t="s">
        <v>7849</v>
      </c>
      <c r="M904">
        <v>0</v>
      </c>
    </row>
    <row r="905" spans="1:13" x14ac:dyDescent="0.25">
      <c r="A905" t="s">
        <v>7850</v>
      </c>
      <c r="B905">
        <v>62460</v>
      </c>
      <c r="C905">
        <v>7898692110137</v>
      </c>
      <c r="D905">
        <v>169.9</v>
      </c>
      <c r="E905">
        <v>113.84</v>
      </c>
      <c r="F905">
        <v>21.69</v>
      </c>
      <c r="G905">
        <v>74.850099999999998</v>
      </c>
      <c r="H905">
        <v>6.7000000000000004E-2</v>
      </c>
      <c r="K905">
        <v>62460</v>
      </c>
      <c r="L905" t="s">
        <v>7850</v>
      </c>
      <c r="M905">
        <v>3.3000000000000002E-2</v>
      </c>
    </row>
    <row r="906" spans="1:13" x14ac:dyDescent="0.25">
      <c r="A906" t="s">
        <v>7851</v>
      </c>
      <c r="B906">
        <v>61351</v>
      </c>
      <c r="C906">
        <v>7898956540861</v>
      </c>
      <c r="D906">
        <v>99.9</v>
      </c>
      <c r="E906">
        <v>69.53</v>
      </c>
      <c r="F906">
        <v>16.71</v>
      </c>
      <c r="G906">
        <v>48.9908</v>
      </c>
      <c r="H906">
        <v>0.13300000000000001</v>
      </c>
      <c r="K906">
        <v>61351</v>
      </c>
      <c r="L906" t="s">
        <v>7851</v>
      </c>
      <c r="M906">
        <v>0.1</v>
      </c>
    </row>
    <row r="907" spans="1:13" x14ac:dyDescent="0.25">
      <c r="A907" t="s">
        <v>7852</v>
      </c>
      <c r="B907">
        <v>62853</v>
      </c>
      <c r="C907">
        <v>7897298877994</v>
      </c>
      <c r="D907">
        <v>274.89999999999998</v>
      </c>
      <c r="E907">
        <v>187.24</v>
      </c>
      <c r="F907">
        <v>20.97</v>
      </c>
      <c r="G907">
        <v>123.11190000000001</v>
      </c>
      <c r="H907">
        <v>0</v>
      </c>
      <c r="K907">
        <v>62853</v>
      </c>
      <c r="L907" t="s">
        <v>7852</v>
      </c>
      <c r="M907">
        <v>0</v>
      </c>
    </row>
    <row r="908" spans="1:13" x14ac:dyDescent="0.25">
      <c r="A908" t="s">
        <v>7853</v>
      </c>
      <c r="B908">
        <v>62461</v>
      </c>
      <c r="C908">
        <v>7898692110076</v>
      </c>
      <c r="D908">
        <v>199.9</v>
      </c>
      <c r="E908">
        <v>138.78</v>
      </c>
      <c r="F908">
        <v>19.97</v>
      </c>
      <c r="G908">
        <v>91.522999999999996</v>
      </c>
      <c r="H908">
        <v>0</v>
      </c>
      <c r="K908">
        <v>62461</v>
      </c>
      <c r="L908" t="s">
        <v>7853</v>
      </c>
      <c r="M908">
        <v>0</v>
      </c>
    </row>
    <row r="909" spans="1:13" x14ac:dyDescent="0.25">
      <c r="A909" t="s">
        <v>7854</v>
      </c>
      <c r="B909">
        <v>68529</v>
      </c>
      <c r="C909">
        <v>7898692110311</v>
      </c>
      <c r="D909">
        <v>199.9</v>
      </c>
      <c r="E909">
        <v>0</v>
      </c>
      <c r="F909">
        <v>65.75</v>
      </c>
      <c r="G909">
        <v>0</v>
      </c>
      <c r="H909">
        <v>0</v>
      </c>
      <c r="K909">
        <v>68529</v>
      </c>
      <c r="L909" t="s">
        <v>7854</v>
      </c>
      <c r="M909">
        <v>0</v>
      </c>
    </row>
    <row r="910" spans="1:13" x14ac:dyDescent="0.25">
      <c r="A910" t="s">
        <v>7855</v>
      </c>
      <c r="B910">
        <v>61349</v>
      </c>
      <c r="C910">
        <v>7898956540403</v>
      </c>
      <c r="D910">
        <v>99.9</v>
      </c>
      <c r="E910">
        <v>67.069999999999993</v>
      </c>
      <c r="F910">
        <v>19.899999999999999</v>
      </c>
      <c r="G910">
        <v>45.801299999999998</v>
      </c>
      <c r="H910">
        <v>0.3</v>
      </c>
      <c r="K910">
        <v>61349</v>
      </c>
      <c r="L910" t="s">
        <v>7855</v>
      </c>
      <c r="M910">
        <v>0.2</v>
      </c>
    </row>
    <row r="911" spans="1:13" x14ac:dyDescent="0.25">
      <c r="A911" t="s">
        <v>7856</v>
      </c>
      <c r="B911">
        <v>62939</v>
      </c>
      <c r="C911">
        <v>7898956540083</v>
      </c>
      <c r="D911">
        <v>99.9</v>
      </c>
      <c r="E911">
        <v>61.58</v>
      </c>
      <c r="F911">
        <v>25.22</v>
      </c>
      <c r="G911">
        <v>40.49</v>
      </c>
      <c r="H911">
        <v>0</v>
      </c>
      <c r="K911">
        <v>62939</v>
      </c>
      <c r="L911" t="s">
        <v>7856</v>
      </c>
      <c r="M911">
        <v>0</v>
      </c>
    </row>
    <row r="912" spans="1:13" x14ac:dyDescent="0.25">
      <c r="A912" t="s">
        <v>7857</v>
      </c>
      <c r="B912">
        <v>62940</v>
      </c>
      <c r="C912">
        <v>7898956540618</v>
      </c>
      <c r="D912">
        <v>99.9</v>
      </c>
      <c r="E912">
        <v>65.5</v>
      </c>
      <c r="F912">
        <v>22.54</v>
      </c>
      <c r="G912">
        <v>43.164700000000003</v>
      </c>
      <c r="H912">
        <v>3.3000000000000002E-2</v>
      </c>
      <c r="K912">
        <v>62940</v>
      </c>
      <c r="L912" t="s">
        <v>7857</v>
      </c>
      <c r="M912">
        <v>3.3000000000000002E-2</v>
      </c>
    </row>
    <row r="913" spans="1:13" x14ac:dyDescent="0.25">
      <c r="A913" t="s">
        <v>7858</v>
      </c>
      <c r="B913">
        <v>61438</v>
      </c>
      <c r="C913">
        <v>7898956540069</v>
      </c>
      <c r="D913">
        <v>99.9</v>
      </c>
      <c r="E913">
        <v>63.02</v>
      </c>
      <c r="F913">
        <v>23.66</v>
      </c>
      <c r="G913">
        <v>42.049100000000003</v>
      </c>
      <c r="H913">
        <v>3.3000000000000002E-2</v>
      </c>
      <c r="K913">
        <v>61438</v>
      </c>
      <c r="L913" t="s">
        <v>7858</v>
      </c>
      <c r="M913">
        <v>3.3000000000000002E-2</v>
      </c>
    </row>
    <row r="914" spans="1:13" x14ac:dyDescent="0.25">
      <c r="A914" t="s">
        <v>7859</v>
      </c>
      <c r="B914">
        <v>61331</v>
      </c>
      <c r="C914">
        <v>7898956540052</v>
      </c>
      <c r="D914">
        <v>99.9</v>
      </c>
      <c r="E914">
        <v>61.27</v>
      </c>
      <c r="F914">
        <v>23.42</v>
      </c>
      <c r="G914">
        <v>42.290799999999997</v>
      </c>
      <c r="H914">
        <v>3.3000000000000002E-2</v>
      </c>
      <c r="K914">
        <v>61331</v>
      </c>
      <c r="L914" t="s">
        <v>7859</v>
      </c>
      <c r="M914">
        <v>3.3000000000000002E-2</v>
      </c>
    </row>
    <row r="915" spans="1:13" x14ac:dyDescent="0.25">
      <c r="A915" t="s">
        <v>7860</v>
      </c>
      <c r="B915">
        <v>61348</v>
      </c>
      <c r="C915">
        <v>7898956540090</v>
      </c>
      <c r="D915">
        <v>119.9</v>
      </c>
      <c r="E915">
        <v>80.150000000000006</v>
      </c>
      <c r="F915">
        <v>21.44</v>
      </c>
      <c r="G915">
        <v>53.126899999999999</v>
      </c>
      <c r="H915">
        <v>3.3000000000000002E-2</v>
      </c>
      <c r="K915">
        <v>61348</v>
      </c>
      <c r="L915" t="s">
        <v>7860</v>
      </c>
      <c r="M915">
        <v>3.3000000000000002E-2</v>
      </c>
    </row>
    <row r="916" spans="1:13" x14ac:dyDescent="0.25">
      <c r="A916" t="s">
        <v>7861</v>
      </c>
      <c r="B916">
        <v>61162</v>
      </c>
      <c r="C916">
        <v>7898956540045</v>
      </c>
      <c r="D916">
        <v>49.9</v>
      </c>
      <c r="E916">
        <v>42.71</v>
      </c>
      <c r="F916">
        <v>8.9600000000000009</v>
      </c>
      <c r="G916">
        <v>28.339400000000001</v>
      </c>
      <c r="H916">
        <v>0.16700000000000001</v>
      </c>
      <c r="K916">
        <v>61162</v>
      </c>
      <c r="L916" t="s">
        <v>7861</v>
      </c>
      <c r="M916">
        <v>0.23300000000000001</v>
      </c>
    </row>
    <row r="917" spans="1:13" x14ac:dyDescent="0.25">
      <c r="A917" t="s">
        <v>7862</v>
      </c>
      <c r="B917">
        <v>61350</v>
      </c>
      <c r="C917">
        <v>7898956540717</v>
      </c>
      <c r="D917">
        <v>79.900000000000006</v>
      </c>
      <c r="E917">
        <v>50.28</v>
      </c>
      <c r="F917">
        <v>22.02</v>
      </c>
      <c r="G917">
        <v>34.9373</v>
      </c>
      <c r="H917">
        <v>0.1</v>
      </c>
      <c r="K917">
        <v>61350</v>
      </c>
      <c r="L917" t="s">
        <v>7862</v>
      </c>
      <c r="M917">
        <v>0.1</v>
      </c>
    </row>
    <row r="918" spans="1:13" x14ac:dyDescent="0.25">
      <c r="A918" t="s">
        <v>7863</v>
      </c>
      <c r="B918">
        <v>58335</v>
      </c>
      <c r="C918">
        <v>8410261400099</v>
      </c>
      <c r="D918">
        <v>39.9</v>
      </c>
      <c r="E918">
        <v>19.79</v>
      </c>
      <c r="F918">
        <v>33.14</v>
      </c>
      <c r="G918">
        <v>13.0099</v>
      </c>
      <c r="H918">
        <v>0</v>
      </c>
      <c r="K918">
        <v>58335</v>
      </c>
      <c r="L918" t="s">
        <v>7863</v>
      </c>
      <c r="M918">
        <v>0</v>
      </c>
    </row>
    <row r="919" spans="1:13" x14ac:dyDescent="0.25">
      <c r="A919" t="s">
        <v>7864</v>
      </c>
      <c r="B919">
        <v>58336</v>
      </c>
      <c r="C919">
        <v>8410261400006</v>
      </c>
      <c r="D919">
        <v>29.9</v>
      </c>
      <c r="E919">
        <v>19.420000000000002</v>
      </c>
      <c r="F919">
        <v>23.04</v>
      </c>
      <c r="G919">
        <v>12.77</v>
      </c>
      <c r="H919">
        <v>0.36699999999999999</v>
      </c>
      <c r="K919">
        <v>58336</v>
      </c>
      <c r="L919" t="s">
        <v>7864</v>
      </c>
      <c r="M919">
        <v>0.16700000000000001</v>
      </c>
    </row>
    <row r="920" spans="1:13" x14ac:dyDescent="0.25">
      <c r="A920" t="s">
        <v>7865</v>
      </c>
      <c r="B920">
        <v>68039</v>
      </c>
      <c r="C920">
        <v>7804304104692</v>
      </c>
      <c r="D920">
        <v>599.9</v>
      </c>
      <c r="E920">
        <v>400.66</v>
      </c>
      <c r="F920">
        <v>21.84</v>
      </c>
      <c r="G920">
        <v>263.43639999999999</v>
      </c>
      <c r="H920">
        <v>3.3000000000000002E-2</v>
      </c>
      <c r="K920">
        <v>68039</v>
      </c>
      <c r="L920" t="s">
        <v>7865</v>
      </c>
      <c r="M920">
        <v>3.3000000000000002E-2</v>
      </c>
    </row>
    <row r="921" spans="1:13" x14ac:dyDescent="0.25">
      <c r="A921" t="s">
        <v>7866</v>
      </c>
      <c r="B921">
        <v>46439</v>
      </c>
      <c r="C921">
        <v>7804320753119</v>
      </c>
      <c r="D921" s="1">
        <v>1119.9000000000001</v>
      </c>
      <c r="E921">
        <v>699.2</v>
      </c>
      <c r="F921">
        <v>24.7</v>
      </c>
      <c r="G921">
        <v>459.72410000000002</v>
      </c>
      <c r="H921">
        <v>0</v>
      </c>
      <c r="K921">
        <v>46439</v>
      </c>
      <c r="L921" t="s">
        <v>7866</v>
      </c>
      <c r="M921">
        <v>0</v>
      </c>
    </row>
    <row r="922" spans="1:13" x14ac:dyDescent="0.25">
      <c r="A922" t="s">
        <v>7867</v>
      </c>
      <c r="B922">
        <v>21610</v>
      </c>
      <c r="C922">
        <v>7899413336195</v>
      </c>
      <c r="D922">
        <v>339.9</v>
      </c>
      <c r="E922">
        <v>228.75</v>
      </c>
      <c r="F922">
        <v>20.96</v>
      </c>
      <c r="G922">
        <v>152.2482</v>
      </c>
      <c r="H922">
        <v>0</v>
      </c>
      <c r="K922">
        <v>21610</v>
      </c>
      <c r="L922" t="s">
        <v>7867</v>
      </c>
      <c r="M922">
        <v>0</v>
      </c>
    </row>
    <row r="923" spans="1:13" x14ac:dyDescent="0.25">
      <c r="A923" t="s">
        <v>7868</v>
      </c>
      <c r="B923">
        <v>65032</v>
      </c>
      <c r="C923">
        <v>7794450005199</v>
      </c>
      <c r="D923">
        <v>279.89999999999998</v>
      </c>
      <c r="E923">
        <v>180.42</v>
      </c>
      <c r="F923">
        <v>22.65</v>
      </c>
      <c r="G923">
        <v>120.6317</v>
      </c>
      <c r="H923">
        <v>0</v>
      </c>
      <c r="K923">
        <v>65032</v>
      </c>
      <c r="L923" t="s">
        <v>7868</v>
      </c>
      <c r="M923">
        <v>0.13300000000000001</v>
      </c>
    </row>
    <row r="924" spans="1:13" x14ac:dyDescent="0.25">
      <c r="A924" t="s">
        <v>7869</v>
      </c>
      <c r="B924">
        <v>21612</v>
      </c>
      <c r="C924">
        <v>7899413360237</v>
      </c>
      <c r="D924">
        <v>349.9</v>
      </c>
      <c r="E924">
        <v>223.19</v>
      </c>
      <c r="F924">
        <v>23.38</v>
      </c>
      <c r="G924">
        <v>148.2422</v>
      </c>
      <c r="H924">
        <v>0.4</v>
      </c>
      <c r="K924">
        <v>21612</v>
      </c>
      <c r="L924" t="s">
        <v>7869</v>
      </c>
      <c r="M924">
        <v>0.4</v>
      </c>
    </row>
    <row r="925" spans="1:13" x14ac:dyDescent="0.25">
      <c r="A925" t="s">
        <v>7870</v>
      </c>
      <c r="B925">
        <v>60106</v>
      </c>
      <c r="C925">
        <v>5602720814087</v>
      </c>
      <c r="D925">
        <v>504.9</v>
      </c>
      <c r="E925">
        <v>334.84</v>
      </c>
      <c r="F925">
        <v>22.17</v>
      </c>
      <c r="G925">
        <v>220.041</v>
      </c>
      <c r="H925">
        <v>0</v>
      </c>
      <c r="K925">
        <v>60106</v>
      </c>
      <c r="L925" t="s">
        <v>7870</v>
      </c>
      <c r="M925">
        <v>0</v>
      </c>
    </row>
    <row r="926" spans="1:13" x14ac:dyDescent="0.25">
      <c r="A926" t="s">
        <v>7871</v>
      </c>
      <c r="B926">
        <v>68755</v>
      </c>
      <c r="C926">
        <v>3760033599755</v>
      </c>
      <c r="D926">
        <v>179.9</v>
      </c>
      <c r="E926">
        <v>123.18</v>
      </c>
      <c r="F926">
        <v>20.73</v>
      </c>
      <c r="G926">
        <v>80.993700000000004</v>
      </c>
      <c r="H926">
        <v>3.3000000000000002E-2</v>
      </c>
      <c r="K926">
        <v>68755</v>
      </c>
      <c r="L926" t="s">
        <v>7871</v>
      </c>
      <c r="M926">
        <v>3.3000000000000002E-2</v>
      </c>
    </row>
    <row r="927" spans="1:13" x14ac:dyDescent="0.25">
      <c r="A927" t="s">
        <v>7872</v>
      </c>
      <c r="B927">
        <v>67004</v>
      </c>
      <c r="C927">
        <v>7794450002822</v>
      </c>
      <c r="D927">
        <v>279.89999999999998</v>
      </c>
      <c r="E927">
        <v>199.98</v>
      </c>
      <c r="F927">
        <v>18.760000000000002</v>
      </c>
      <c r="G927">
        <v>131.53399999999999</v>
      </c>
      <c r="H927">
        <v>3.3000000000000002E-2</v>
      </c>
      <c r="K927">
        <v>67004</v>
      </c>
      <c r="L927" t="s">
        <v>7872</v>
      </c>
      <c r="M927">
        <v>3.3000000000000002E-2</v>
      </c>
    </row>
    <row r="928" spans="1:13" x14ac:dyDescent="0.25">
      <c r="A928" t="s">
        <v>7873</v>
      </c>
      <c r="B928">
        <v>67003</v>
      </c>
      <c r="C928">
        <v>7794450003096</v>
      </c>
      <c r="D928">
        <v>239.9</v>
      </c>
      <c r="E928">
        <v>150.15</v>
      </c>
      <c r="F928">
        <v>24.57</v>
      </c>
      <c r="G928">
        <v>98.801500000000004</v>
      </c>
      <c r="H928">
        <v>0</v>
      </c>
      <c r="K928">
        <v>67003</v>
      </c>
      <c r="L928" t="s">
        <v>7873</v>
      </c>
      <c r="M928">
        <v>0</v>
      </c>
    </row>
    <row r="929" spans="1:13" x14ac:dyDescent="0.25">
      <c r="A929" t="s">
        <v>7874</v>
      </c>
      <c r="B929">
        <v>67002</v>
      </c>
      <c r="C929">
        <v>7794450000972</v>
      </c>
      <c r="D929">
        <v>279.89999999999998</v>
      </c>
      <c r="E929">
        <v>189.6</v>
      </c>
      <c r="F929">
        <v>20.39</v>
      </c>
      <c r="G929">
        <v>126.9756</v>
      </c>
      <c r="H929">
        <v>0.36699999999999999</v>
      </c>
      <c r="K929">
        <v>67002</v>
      </c>
      <c r="L929" t="s">
        <v>7874</v>
      </c>
      <c r="M929">
        <v>0.36699999999999999</v>
      </c>
    </row>
    <row r="930" spans="1:13" x14ac:dyDescent="0.25">
      <c r="A930" t="s">
        <v>7875</v>
      </c>
      <c r="B930">
        <v>10551</v>
      </c>
      <c r="C930">
        <v>7804320150611</v>
      </c>
      <c r="D930">
        <v>59.9</v>
      </c>
      <c r="E930">
        <v>39.119999999999997</v>
      </c>
      <c r="F930">
        <v>22.35</v>
      </c>
      <c r="G930">
        <v>25.997900000000001</v>
      </c>
      <c r="H930">
        <v>0.46700000000000003</v>
      </c>
      <c r="K930">
        <v>10551</v>
      </c>
      <c r="L930" t="s">
        <v>7875</v>
      </c>
      <c r="M930">
        <v>0.3</v>
      </c>
    </row>
    <row r="931" spans="1:13" x14ac:dyDescent="0.25">
      <c r="A931" t="s">
        <v>7876</v>
      </c>
      <c r="B931">
        <v>2943</v>
      </c>
      <c r="C931">
        <v>7804320150604</v>
      </c>
      <c r="D931">
        <v>59.9</v>
      </c>
      <c r="E931">
        <v>38.15</v>
      </c>
      <c r="F931">
        <v>24.14</v>
      </c>
      <c r="G931">
        <v>24.921500000000002</v>
      </c>
      <c r="H931">
        <v>0.433</v>
      </c>
      <c r="K931">
        <v>2943</v>
      </c>
      <c r="L931" t="s">
        <v>7876</v>
      </c>
      <c r="M931">
        <v>0.13300000000000001</v>
      </c>
    </row>
    <row r="932" spans="1:13" x14ac:dyDescent="0.25">
      <c r="A932" t="s">
        <v>7877</v>
      </c>
      <c r="B932">
        <v>48405</v>
      </c>
      <c r="C932">
        <v>7804320150628</v>
      </c>
      <c r="D932">
        <v>59.9</v>
      </c>
      <c r="E932">
        <v>43.32</v>
      </c>
      <c r="F932">
        <v>14.73</v>
      </c>
      <c r="G932">
        <v>30.561299999999999</v>
      </c>
      <c r="H932">
        <v>0.76700000000000002</v>
      </c>
      <c r="K932">
        <v>48405</v>
      </c>
      <c r="L932" t="s">
        <v>7877</v>
      </c>
      <c r="M932">
        <v>0.46700000000000003</v>
      </c>
    </row>
    <row r="933" spans="1:13" x14ac:dyDescent="0.25">
      <c r="A933" t="s">
        <v>7878</v>
      </c>
      <c r="B933">
        <v>3192</v>
      </c>
      <c r="C933">
        <v>7804320306216</v>
      </c>
      <c r="D933">
        <v>59.9</v>
      </c>
      <c r="E933">
        <v>45.73</v>
      </c>
      <c r="F933">
        <v>15.55</v>
      </c>
      <c r="G933">
        <v>30.0686</v>
      </c>
      <c r="H933">
        <v>0.7</v>
      </c>
      <c r="K933">
        <v>3192</v>
      </c>
      <c r="L933" t="s">
        <v>7878</v>
      </c>
      <c r="M933">
        <v>0.46700000000000003</v>
      </c>
    </row>
    <row r="934" spans="1:13" x14ac:dyDescent="0.25">
      <c r="A934" t="s">
        <v>7879</v>
      </c>
      <c r="B934">
        <v>9001</v>
      </c>
      <c r="C934">
        <v>7804320198552</v>
      </c>
      <c r="D934">
        <v>59.9</v>
      </c>
      <c r="E934">
        <v>39.409999999999997</v>
      </c>
      <c r="F934">
        <v>22.86</v>
      </c>
      <c r="G934">
        <v>25.693200000000001</v>
      </c>
      <c r="H934">
        <v>0.33300000000000002</v>
      </c>
      <c r="K934">
        <v>9001</v>
      </c>
      <c r="L934" t="s">
        <v>7879</v>
      </c>
      <c r="M934">
        <v>0.16700000000000001</v>
      </c>
    </row>
    <row r="935" spans="1:13" x14ac:dyDescent="0.25">
      <c r="A935" t="s">
        <v>7880</v>
      </c>
      <c r="B935">
        <v>2945</v>
      </c>
      <c r="C935">
        <v>7804320457963</v>
      </c>
      <c r="D935">
        <v>59.9</v>
      </c>
      <c r="E935">
        <v>42.64</v>
      </c>
      <c r="F935">
        <v>18.55</v>
      </c>
      <c r="G935">
        <v>28.270900000000001</v>
      </c>
      <c r="H935">
        <v>0.16700000000000001</v>
      </c>
      <c r="K935">
        <v>2945</v>
      </c>
      <c r="L935" t="s">
        <v>7880</v>
      </c>
      <c r="M935">
        <v>0.16700000000000001</v>
      </c>
    </row>
    <row r="936" spans="1:13" x14ac:dyDescent="0.25">
      <c r="A936" t="s">
        <v>7881</v>
      </c>
      <c r="B936">
        <v>54656</v>
      </c>
      <c r="C936">
        <v>7804320268170</v>
      </c>
      <c r="D936">
        <v>59.9</v>
      </c>
      <c r="E936">
        <v>44.24</v>
      </c>
      <c r="F936">
        <v>17.63</v>
      </c>
      <c r="G936">
        <v>28.824999999999999</v>
      </c>
      <c r="H936">
        <v>0.56699999999999995</v>
      </c>
      <c r="K936">
        <v>54656</v>
      </c>
      <c r="L936" t="s">
        <v>7881</v>
      </c>
      <c r="M936">
        <v>0.5</v>
      </c>
    </row>
    <row r="937" spans="1:13" x14ac:dyDescent="0.25">
      <c r="A937" t="s">
        <v>7882</v>
      </c>
      <c r="B937">
        <v>9002</v>
      </c>
      <c r="C937">
        <v>7804320198521</v>
      </c>
      <c r="D937">
        <v>59.9</v>
      </c>
      <c r="E937">
        <v>40.93</v>
      </c>
      <c r="F937">
        <v>20.38</v>
      </c>
      <c r="G937">
        <v>27.178100000000001</v>
      </c>
      <c r="H937">
        <v>0.23300000000000001</v>
      </c>
      <c r="K937">
        <v>9002</v>
      </c>
      <c r="L937" t="s">
        <v>7882</v>
      </c>
      <c r="M937">
        <v>3.3000000000000002E-2</v>
      </c>
    </row>
    <row r="938" spans="1:13" x14ac:dyDescent="0.25">
      <c r="A938" t="s">
        <v>7883</v>
      </c>
      <c r="B938">
        <v>60566</v>
      </c>
      <c r="C938">
        <v>7804320755151</v>
      </c>
      <c r="D938">
        <v>59.9</v>
      </c>
      <c r="E938">
        <v>47.53</v>
      </c>
      <c r="F938">
        <v>13.58</v>
      </c>
      <c r="G938">
        <v>31.25</v>
      </c>
      <c r="H938">
        <v>0.3</v>
      </c>
      <c r="K938">
        <v>60566</v>
      </c>
      <c r="L938" t="s">
        <v>7883</v>
      </c>
      <c r="M938">
        <v>0.16700000000000001</v>
      </c>
    </row>
    <row r="939" spans="1:13" x14ac:dyDescent="0.25">
      <c r="A939" t="s">
        <v>7884</v>
      </c>
      <c r="B939">
        <v>66087</v>
      </c>
      <c r="C939">
        <v>7804320672663</v>
      </c>
      <c r="D939">
        <v>59.9</v>
      </c>
      <c r="E939">
        <v>44.29</v>
      </c>
      <c r="F939">
        <v>17.739999999999998</v>
      </c>
      <c r="G939">
        <v>28.759</v>
      </c>
      <c r="H939">
        <v>0.2</v>
      </c>
      <c r="K939">
        <v>66087</v>
      </c>
      <c r="L939" t="s">
        <v>7884</v>
      </c>
      <c r="M939">
        <v>0.1</v>
      </c>
    </row>
    <row r="940" spans="1:13" x14ac:dyDescent="0.25">
      <c r="A940" t="s">
        <v>7885</v>
      </c>
      <c r="B940">
        <v>67582</v>
      </c>
      <c r="C940">
        <v>7804320306322</v>
      </c>
      <c r="D940">
        <v>59.9</v>
      </c>
      <c r="E940">
        <v>43.76</v>
      </c>
      <c r="F940">
        <v>17.88</v>
      </c>
      <c r="G940">
        <v>28.674199999999999</v>
      </c>
      <c r="H940">
        <v>0.5</v>
      </c>
      <c r="K940">
        <v>67582</v>
      </c>
      <c r="L940" t="s">
        <v>7885</v>
      </c>
      <c r="M940">
        <v>0.33300000000000002</v>
      </c>
    </row>
    <row r="941" spans="1:13" x14ac:dyDescent="0.25">
      <c r="A941" t="s">
        <v>7886</v>
      </c>
      <c r="B941">
        <v>61971</v>
      </c>
      <c r="C941">
        <v>7804320745510</v>
      </c>
      <c r="D941">
        <v>279.89999999999998</v>
      </c>
      <c r="E941">
        <v>183.99</v>
      </c>
      <c r="F941">
        <v>22.6</v>
      </c>
      <c r="G941">
        <v>120.782</v>
      </c>
      <c r="H941">
        <v>0</v>
      </c>
      <c r="K941">
        <v>61971</v>
      </c>
      <c r="L941" t="s">
        <v>7886</v>
      </c>
      <c r="M941">
        <v>0</v>
      </c>
    </row>
    <row r="942" spans="1:13" x14ac:dyDescent="0.25">
      <c r="A942" t="s">
        <v>7887</v>
      </c>
      <c r="B942">
        <v>48406</v>
      </c>
      <c r="C942">
        <v>7804320081496</v>
      </c>
      <c r="D942">
        <v>269.89999999999998</v>
      </c>
      <c r="E942">
        <v>179.85</v>
      </c>
      <c r="F942">
        <v>20.68</v>
      </c>
      <c r="G942">
        <v>121.64100000000001</v>
      </c>
      <c r="H942">
        <v>3.3000000000000002E-2</v>
      </c>
      <c r="K942">
        <v>48406</v>
      </c>
      <c r="L942" t="s">
        <v>7887</v>
      </c>
      <c r="M942">
        <v>3.3000000000000002E-2</v>
      </c>
    </row>
    <row r="943" spans="1:13" x14ac:dyDescent="0.25">
      <c r="A943" t="s">
        <v>7888</v>
      </c>
      <c r="B943">
        <v>9003</v>
      </c>
      <c r="C943">
        <v>7804320120904</v>
      </c>
      <c r="D943">
        <v>69.900000000000006</v>
      </c>
      <c r="E943">
        <v>67.38</v>
      </c>
      <c r="F943">
        <v>2.37</v>
      </c>
      <c r="G943">
        <v>44.302</v>
      </c>
      <c r="H943">
        <v>0.6</v>
      </c>
      <c r="K943">
        <v>9003</v>
      </c>
      <c r="L943" t="s">
        <v>7888</v>
      </c>
      <c r="M943">
        <v>0</v>
      </c>
    </row>
    <row r="944" spans="1:13" x14ac:dyDescent="0.25">
      <c r="A944" t="s">
        <v>7889</v>
      </c>
      <c r="B944">
        <v>9004</v>
      </c>
      <c r="C944">
        <v>7804320081335</v>
      </c>
      <c r="D944">
        <v>69.900000000000006</v>
      </c>
      <c r="E944">
        <v>67.38</v>
      </c>
      <c r="F944">
        <v>2.37</v>
      </c>
      <c r="G944">
        <v>44.302</v>
      </c>
      <c r="H944">
        <v>0.36699999999999999</v>
      </c>
      <c r="K944">
        <v>9004</v>
      </c>
      <c r="L944" t="s">
        <v>7889</v>
      </c>
      <c r="M944">
        <v>0</v>
      </c>
    </row>
    <row r="945" spans="1:13" x14ac:dyDescent="0.25">
      <c r="A945" t="s">
        <v>7890</v>
      </c>
      <c r="B945">
        <v>67597</v>
      </c>
      <c r="C945">
        <v>7804320211480</v>
      </c>
      <c r="D945">
        <v>69.900000000000006</v>
      </c>
      <c r="E945">
        <v>66</v>
      </c>
      <c r="F945">
        <v>3.01</v>
      </c>
      <c r="G945">
        <v>43.857599999999998</v>
      </c>
      <c r="H945">
        <v>0.33300000000000002</v>
      </c>
      <c r="K945">
        <v>67597</v>
      </c>
      <c r="L945" t="s">
        <v>7890</v>
      </c>
      <c r="M945">
        <v>0</v>
      </c>
    </row>
    <row r="946" spans="1:13" x14ac:dyDescent="0.25">
      <c r="A946" t="s">
        <v>7891</v>
      </c>
      <c r="B946">
        <v>67589</v>
      </c>
      <c r="C946">
        <v>7804320478296</v>
      </c>
      <c r="D946">
        <v>69.900000000000006</v>
      </c>
      <c r="E946">
        <v>66.2</v>
      </c>
      <c r="F946">
        <v>2.31</v>
      </c>
      <c r="G946">
        <v>44.345599999999997</v>
      </c>
      <c r="H946">
        <v>0.16700000000000001</v>
      </c>
      <c r="K946">
        <v>67589</v>
      </c>
      <c r="L946" t="s">
        <v>7891</v>
      </c>
      <c r="M946">
        <v>0</v>
      </c>
    </row>
    <row r="947" spans="1:13" x14ac:dyDescent="0.25">
      <c r="A947" t="s">
        <v>7892</v>
      </c>
      <c r="B947">
        <v>67596</v>
      </c>
      <c r="C947">
        <v>7804320754284</v>
      </c>
      <c r="D947">
        <v>69.900000000000006</v>
      </c>
      <c r="E947">
        <v>66.2</v>
      </c>
      <c r="F947">
        <v>2.88</v>
      </c>
      <c r="G947">
        <v>43.948399999999999</v>
      </c>
      <c r="H947">
        <v>0.23300000000000001</v>
      </c>
      <c r="K947">
        <v>67596</v>
      </c>
      <c r="L947" t="s">
        <v>7892</v>
      </c>
      <c r="M947">
        <v>0</v>
      </c>
    </row>
    <row r="948" spans="1:13" x14ac:dyDescent="0.25">
      <c r="A948" t="s">
        <v>7893</v>
      </c>
      <c r="B948">
        <v>61972</v>
      </c>
      <c r="C948">
        <v>7804320753676</v>
      </c>
      <c r="D948">
        <v>99.9</v>
      </c>
      <c r="E948">
        <v>66.069999999999993</v>
      </c>
      <c r="F948">
        <v>22.27</v>
      </c>
      <c r="G948">
        <v>43.44</v>
      </c>
      <c r="H948">
        <v>0.1</v>
      </c>
      <c r="K948">
        <v>61972</v>
      </c>
      <c r="L948" t="s">
        <v>7893</v>
      </c>
      <c r="M948">
        <v>0.1</v>
      </c>
    </row>
    <row r="949" spans="1:13" x14ac:dyDescent="0.25">
      <c r="A949" t="s">
        <v>7894</v>
      </c>
      <c r="B949">
        <v>35925</v>
      </c>
      <c r="C949">
        <v>7804607441104</v>
      </c>
      <c r="D949">
        <v>549.9</v>
      </c>
      <c r="E949">
        <v>370.98</v>
      </c>
      <c r="F949">
        <v>21.39</v>
      </c>
      <c r="G949">
        <v>243.91800000000001</v>
      </c>
      <c r="H949">
        <v>0</v>
      </c>
      <c r="K949">
        <v>35925</v>
      </c>
      <c r="L949" t="s">
        <v>7894</v>
      </c>
      <c r="M949">
        <v>0</v>
      </c>
    </row>
    <row r="950" spans="1:13" x14ac:dyDescent="0.25">
      <c r="A950" t="s">
        <v>7895</v>
      </c>
      <c r="B950">
        <v>63981</v>
      </c>
      <c r="C950">
        <v>7804304100007</v>
      </c>
      <c r="D950">
        <v>79.900000000000006</v>
      </c>
      <c r="E950">
        <v>47.87</v>
      </c>
      <c r="F950">
        <v>26.35</v>
      </c>
      <c r="G950">
        <v>31.477499999999999</v>
      </c>
      <c r="H950">
        <v>0</v>
      </c>
      <c r="K950">
        <v>63981</v>
      </c>
      <c r="L950" t="s">
        <v>7895</v>
      </c>
      <c r="M950">
        <v>0</v>
      </c>
    </row>
    <row r="951" spans="1:13" x14ac:dyDescent="0.25">
      <c r="A951" t="s">
        <v>7896</v>
      </c>
      <c r="B951">
        <v>68038</v>
      </c>
      <c r="C951">
        <v>7804304000857</v>
      </c>
      <c r="D951">
        <v>649.9</v>
      </c>
      <c r="E951">
        <v>384.86</v>
      </c>
      <c r="F951">
        <v>26.81</v>
      </c>
      <c r="G951">
        <v>253.04650000000001</v>
      </c>
      <c r="H951">
        <v>0</v>
      </c>
      <c r="K951">
        <v>68038</v>
      </c>
      <c r="L951" t="s">
        <v>7896</v>
      </c>
      <c r="M951">
        <v>0</v>
      </c>
    </row>
    <row r="952" spans="1:13" x14ac:dyDescent="0.25">
      <c r="A952" t="s">
        <v>7897</v>
      </c>
      <c r="B952">
        <v>62286</v>
      </c>
      <c r="C952">
        <v>5601989974457</v>
      </c>
      <c r="D952">
        <v>129.9</v>
      </c>
      <c r="E952">
        <v>73.010000000000005</v>
      </c>
      <c r="F952">
        <v>28.78</v>
      </c>
      <c r="G952">
        <v>48.025500000000001</v>
      </c>
      <c r="H952">
        <v>6.7000000000000004E-2</v>
      </c>
      <c r="K952">
        <v>62286</v>
      </c>
      <c r="L952" t="s">
        <v>7897</v>
      </c>
      <c r="M952">
        <v>6.7000000000000004E-2</v>
      </c>
    </row>
    <row r="953" spans="1:13" x14ac:dyDescent="0.25">
      <c r="A953" t="s">
        <v>7898</v>
      </c>
      <c r="B953">
        <v>62285</v>
      </c>
      <c r="C953">
        <v>5601989976758</v>
      </c>
      <c r="D953">
        <v>129.9</v>
      </c>
      <c r="E953">
        <v>65.209999999999994</v>
      </c>
      <c r="F953">
        <v>32.72</v>
      </c>
      <c r="G953">
        <v>42.912199999999999</v>
      </c>
      <c r="H953">
        <v>6.7000000000000004E-2</v>
      </c>
      <c r="K953">
        <v>62285</v>
      </c>
      <c r="L953" t="s">
        <v>7898</v>
      </c>
      <c r="M953">
        <v>6.7000000000000004E-2</v>
      </c>
    </row>
    <row r="954" spans="1:13" x14ac:dyDescent="0.25">
      <c r="A954" t="s">
        <v>7899</v>
      </c>
      <c r="B954">
        <v>67879</v>
      </c>
      <c r="C954">
        <v>5601989993199</v>
      </c>
      <c r="D954">
        <v>49.9</v>
      </c>
      <c r="E954">
        <v>28.47</v>
      </c>
      <c r="F954">
        <v>27.83</v>
      </c>
      <c r="G954">
        <v>18.923999999999999</v>
      </c>
      <c r="H954">
        <v>2.7669999999999999</v>
      </c>
      <c r="K954">
        <v>67879</v>
      </c>
      <c r="L954" t="s">
        <v>7899</v>
      </c>
      <c r="M954">
        <v>0.83299999999999996</v>
      </c>
    </row>
    <row r="955" spans="1:13" x14ac:dyDescent="0.25">
      <c r="A955" t="s">
        <v>7900</v>
      </c>
      <c r="B955">
        <v>29025</v>
      </c>
      <c r="C955">
        <v>5601989991546</v>
      </c>
      <c r="D955">
        <v>499.9</v>
      </c>
      <c r="E955">
        <v>284.41000000000003</v>
      </c>
      <c r="F955">
        <v>28.31</v>
      </c>
      <c r="G955">
        <v>187.18010000000001</v>
      </c>
      <c r="H955">
        <v>0</v>
      </c>
      <c r="K955">
        <v>29025</v>
      </c>
      <c r="L955" t="s">
        <v>7900</v>
      </c>
      <c r="M955">
        <v>0</v>
      </c>
    </row>
    <row r="956" spans="1:13" x14ac:dyDescent="0.25">
      <c r="A956" t="s">
        <v>7901</v>
      </c>
      <c r="B956">
        <v>29024</v>
      </c>
      <c r="C956">
        <v>5601989996176</v>
      </c>
      <c r="D956">
        <v>999.9</v>
      </c>
      <c r="E956">
        <v>618.29</v>
      </c>
      <c r="F956">
        <v>25.03</v>
      </c>
      <c r="G956">
        <v>407.16669999999999</v>
      </c>
      <c r="H956">
        <v>0</v>
      </c>
      <c r="K956">
        <v>29024</v>
      </c>
      <c r="L956" t="s">
        <v>7901</v>
      </c>
      <c r="M956">
        <v>0</v>
      </c>
    </row>
    <row r="957" spans="1:13" x14ac:dyDescent="0.25">
      <c r="A957" t="s">
        <v>7902</v>
      </c>
      <c r="B957">
        <v>2956</v>
      </c>
      <c r="C957">
        <v>5601989993649</v>
      </c>
      <c r="D957">
        <v>239.9</v>
      </c>
      <c r="E957">
        <v>111.97</v>
      </c>
      <c r="F957">
        <v>34.99</v>
      </c>
      <c r="G957">
        <v>73.799899999999994</v>
      </c>
      <c r="H957">
        <v>0</v>
      </c>
      <c r="K957">
        <v>2956</v>
      </c>
      <c r="L957" t="s">
        <v>7902</v>
      </c>
      <c r="M957">
        <v>0</v>
      </c>
    </row>
    <row r="958" spans="1:13" x14ac:dyDescent="0.25">
      <c r="A958" t="s">
        <v>7903</v>
      </c>
      <c r="B958">
        <v>2958</v>
      </c>
      <c r="C958">
        <v>5601989991461</v>
      </c>
      <c r="D958">
        <v>649.9</v>
      </c>
      <c r="E958">
        <v>445.98</v>
      </c>
      <c r="F958">
        <v>20.63</v>
      </c>
      <c r="G958">
        <v>293.23349999999999</v>
      </c>
      <c r="H958">
        <v>0</v>
      </c>
      <c r="K958">
        <v>2958</v>
      </c>
      <c r="L958" t="s">
        <v>7903</v>
      </c>
      <c r="M958">
        <v>0</v>
      </c>
    </row>
    <row r="959" spans="1:13" x14ac:dyDescent="0.25">
      <c r="A959" t="s">
        <v>7904</v>
      </c>
      <c r="B959">
        <v>62145</v>
      </c>
      <c r="C959">
        <v>5601989980762</v>
      </c>
      <c r="D959" s="1">
        <v>1799.9</v>
      </c>
      <c r="E959" s="1">
        <v>1161.1199999999999</v>
      </c>
      <c r="F959">
        <v>23.3</v>
      </c>
      <c r="G959">
        <v>764.04039999999998</v>
      </c>
      <c r="H959">
        <v>0</v>
      </c>
      <c r="K959">
        <v>62145</v>
      </c>
      <c r="L959" t="s">
        <v>7904</v>
      </c>
      <c r="M959">
        <v>0</v>
      </c>
    </row>
    <row r="960" spans="1:13" x14ac:dyDescent="0.25">
      <c r="A960" t="s">
        <v>7905</v>
      </c>
      <c r="B960">
        <v>2957</v>
      </c>
      <c r="C960">
        <v>5601989996206</v>
      </c>
      <c r="D960">
        <v>262.52999999999997</v>
      </c>
      <c r="E960">
        <v>117.85</v>
      </c>
      <c r="F960">
        <v>35.799999999999997</v>
      </c>
      <c r="G960">
        <v>78.613900000000001</v>
      </c>
      <c r="H960">
        <v>0.63300000000000001</v>
      </c>
      <c r="K960">
        <v>2957</v>
      </c>
      <c r="L960" t="s">
        <v>7905</v>
      </c>
      <c r="M960">
        <v>3.3000000000000002E-2</v>
      </c>
    </row>
    <row r="961" spans="1:13" x14ac:dyDescent="0.25">
      <c r="A961" t="s">
        <v>7906</v>
      </c>
      <c r="B961">
        <v>69699</v>
      </c>
      <c r="C961">
        <v>7790314056598</v>
      </c>
      <c r="D961">
        <v>49.9</v>
      </c>
      <c r="E961">
        <v>33.76</v>
      </c>
      <c r="F961">
        <v>21.26</v>
      </c>
      <c r="G961">
        <v>22.1982</v>
      </c>
      <c r="H961">
        <v>0</v>
      </c>
      <c r="K961">
        <v>69699</v>
      </c>
      <c r="L961" t="s">
        <v>7906</v>
      </c>
      <c r="M961">
        <v>0</v>
      </c>
    </row>
    <row r="962" spans="1:13" x14ac:dyDescent="0.25">
      <c r="A962" t="s">
        <v>7907</v>
      </c>
      <c r="B962">
        <v>69700</v>
      </c>
      <c r="C962">
        <v>7790314055393</v>
      </c>
      <c r="D962">
        <v>49.9</v>
      </c>
      <c r="E962">
        <v>33.76</v>
      </c>
      <c r="F962">
        <v>21.26</v>
      </c>
      <c r="G962">
        <v>22.1982</v>
      </c>
      <c r="H962">
        <v>0</v>
      </c>
      <c r="K962">
        <v>69700</v>
      </c>
      <c r="L962" t="s">
        <v>7907</v>
      </c>
      <c r="M962">
        <v>0</v>
      </c>
    </row>
    <row r="963" spans="1:13" x14ac:dyDescent="0.25">
      <c r="A963" t="s">
        <v>7908</v>
      </c>
      <c r="B963">
        <v>62672</v>
      </c>
      <c r="C963">
        <v>7790314062896</v>
      </c>
      <c r="D963">
        <v>119.9</v>
      </c>
      <c r="E963">
        <v>80.62</v>
      </c>
      <c r="F963">
        <v>21.54</v>
      </c>
      <c r="G963">
        <v>53.008000000000003</v>
      </c>
      <c r="H963">
        <v>0.26700000000000002</v>
      </c>
      <c r="K963">
        <v>62672</v>
      </c>
      <c r="L963" t="s">
        <v>7908</v>
      </c>
      <c r="M963">
        <v>0</v>
      </c>
    </row>
    <row r="964" spans="1:13" x14ac:dyDescent="0.25">
      <c r="A964" t="s">
        <v>7909</v>
      </c>
      <c r="B964">
        <v>69701</v>
      </c>
      <c r="C964">
        <v>7790314055386</v>
      </c>
      <c r="D964">
        <v>49.9</v>
      </c>
      <c r="E964">
        <v>33.76</v>
      </c>
      <c r="F964">
        <v>21.26</v>
      </c>
      <c r="G964">
        <v>22.1982</v>
      </c>
      <c r="H964">
        <v>0</v>
      </c>
      <c r="K964">
        <v>69701</v>
      </c>
      <c r="L964" t="s">
        <v>7909</v>
      </c>
      <c r="M964">
        <v>0</v>
      </c>
    </row>
    <row r="965" spans="1:13" x14ac:dyDescent="0.25">
      <c r="A965" t="s">
        <v>7910</v>
      </c>
      <c r="B965">
        <v>63979</v>
      </c>
      <c r="C965">
        <v>3269210256257</v>
      </c>
      <c r="D965">
        <v>139.9</v>
      </c>
      <c r="E965">
        <v>76.510000000000005</v>
      </c>
      <c r="F965">
        <v>29.79</v>
      </c>
      <c r="G965">
        <v>50.308599999999998</v>
      </c>
      <c r="H965">
        <v>0</v>
      </c>
      <c r="K965">
        <v>63979</v>
      </c>
      <c r="L965" t="s">
        <v>7910</v>
      </c>
      <c r="M965">
        <v>0</v>
      </c>
    </row>
    <row r="966" spans="1:13" x14ac:dyDescent="0.25">
      <c r="A966" t="s">
        <v>7911</v>
      </c>
      <c r="B966">
        <v>57686</v>
      </c>
      <c r="C966">
        <v>3300370100032</v>
      </c>
      <c r="D966">
        <v>249.9</v>
      </c>
      <c r="E966">
        <v>150.32</v>
      </c>
      <c r="F966">
        <v>26.97</v>
      </c>
      <c r="G966">
        <v>96.918199999999999</v>
      </c>
      <c r="H966">
        <v>0</v>
      </c>
      <c r="K966">
        <v>57686</v>
      </c>
      <c r="L966" t="s">
        <v>7911</v>
      </c>
      <c r="M966">
        <v>0</v>
      </c>
    </row>
    <row r="967" spans="1:13" x14ac:dyDescent="0.25">
      <c r="A967" t="s">
        <v>7912</v>
      </c>
      <c r="B967">
        <v>68045</v>
      </c>
      <c r="C967">
        <v>7804304001977</v>
      </c>
      <c r="D967">
        <v>69.900000000000006</v>
      </c>
      <c r="E967">
        <v>29.26</v>
      </c>
      <c r="F967">
        <v>38.229999999999997</v>
      </c>
      <c r="G967">
        <v>19.238900000000001</v>
      </c>
      <c r="H967">
        <v>0.16700000000000001</v>
      </c>
      <c r="K967">
        <v>68045</v>
      </c>
      <c r="L967" t="s">
        <v>7912</v>
      </c>
      <c r="M967">
        <v>0.16700000000000001</v>
      </c>
    </row>
    <row r="968" spans="1:13" x14ac:dyDescent="0.25">
      <c r="A968" t="s">
        <v>7913</v>
      </c>
      <c r="B968">
        <v>68040</v>
      </c>
      <c r="C968">
        <v>7804304001984</v>
      </c>
      <c r="D968">
        <v>69.900000000000006</v>
      </c>
      <c r="E968">
        <v>29.26</v>
      </c>
      <c r="F968">
        <v>38.229999999999997</v>
      </c>
      <c r="G968">
        <v>19.239100000000001</v>
      </c>
      <c r="H968">
        <v>0.23300000000000001</v>
      </c>
      <c r="K968">
        <v>68040</v>
      </c>
      <c r="L968" t="s">
        <v>7913</v>
      </c>
      <c r="M968">
        <v>0.2</v>
      </c>
    </row>
    <row r="969" spans="1:13" x14ac:dyDescent="0.25">
      <c r="A969" t="s">
        <v>7914</v>
      </c>
      <c r="B969">
        <v>68043</v>
      </c>
      <c r="C969">
        <v>7804304002110</v>
      </c>
      <c r="D969">
        <v>69.900000000000006</v>
      </c>
      <c r="E969">
        <v>29.26</v>
      </c>
      <c r="F969">
        <v>38.229999999999997</v>
      </c>
      <c r="G969">
        <v>19.237400000000001</v>
      </c>
      <c r="H969">
        <v>0.36699999999999999</v>
      </c>
      <c r="K969">
        <v>68043</v>
      </c>
      <c r="L969" t="s">
        <v>7914</v>
      </c>
      <c r="M969">
        <v>0.33300000000000002</v>
      </c>
    </row>
    <row r="970" spans="1:13" x14ac:dyDescent="0.25">
      <c r="A970" t="s">
        <v>7915</v>
      </c>
      <c r="B970">
        <v>68041</v>
      </c>
      <c r="C970">
        <v>7804304002103</v>
      </c>
      <c r="D970">
        <v>69.900000000000006</v>
      </c>
      <c r="E970">
        <v>29.26</v>
      </c>
      <c r="F970">
        <v>38.229999999999997</v>
      </c>
      <c r="G970">
        <v>19.238499999999998</v>
      </c>
      <c r="H970">
        <v>0.1</v>
      </c>
      <c r="K970">
        <v>68041</v>
      </c>
      <c r="L970" t="s">
        <v>7915</v>
      </c>
      <c r="M970">
        <v>0.1</v>
      </c>
    </row>
    <row r="971" spans="1:13" x14ac:dyDescent="0.25">
      <c r="A971" t="s">
        <v>7916</v>
      </c>
      <c r="B971">
        <v>68044</v>
      </c>
      <c r="C971">
        <v>7804304003544</v>
      </c>
      <c r="D971">
        <v>69.900000000000006</v>
      </c>
      <c r="E971">
        <v>29.26</v>
      </c>
      <c r="F971">
        <v>38.22</v>
      </c>
      <c r="G971">
        <v>19.240200000000002</v>
      </c>
      <c r="H971">
        <v>0.1</v>
      </c>
      <c r="K971">
        <v>68044</v>
      </c>
      <c r="L971" t="s">
        <v>7916</v>
      </c>
      <c r="M971">
        <v>0.1</v>
      </c>
    </row>
    <row r="972" spans="1:13" x14ac:dyDescent="0.25">
      <c r="A972" t="s">
        <v>7917</v>
      </c>
      <c r="B972">
        <v>68042</v>
      </c>
      <c r="C972">
        <v>7804304003520</v>
      </c>
      <c r="D972">
        <v>69.900000000000006</v>
      </c>
      <c r="E972">
        <v>29.26</v>
      </c>
      <c r="F972">
        <v>38.229999999999997</v>
      </c>
      <c r="G972">
        <v>19.2377</v>
      </c>
      <c r="H972">
        <v>0.1</v>
      </c>
      <c r="K972">
        <v>68042</v>
      </c>
      <c r="L972" t="s">
        <v>7917</v>
      </c>
      <c r="M972">
        <v>0.1</v>
      </c>
    </row>
    <row r="973" spans="1:13" x14ac:dyDescent="0.25">
      <c r="A973" t="s">
        <v>7918</v>
      </c>
      <c r="B973">
        <v>55446</v>
      </c>
      <c r="C973">
        <v>8019873000019</v>
      </c>
      <c r="D973">
        <v>119.9</v>
      </c>
      <c r="E973">
        <v>81.86</v>
      </c>
      <c r="F973">
        <v>20.86</v>
      </c>
      <c r="G973">
        <v>53.823500000000003</v>
      </c>
      <c r="H973">
        <v>0</v>
      </c>
      <c r="K973">
        <v>55446</v>
      </c>
      <c r="L973" t="s">
        <v>7918</v>
      </c>
      <c r="M973">
        <v>0</v>
      </c>
    </row>
    <row r="974" spans="1:13" x14ac:dyDescent="0.25">
      <c r="A974" t="s">
        <v>7919</v>
      </c>
      <c r="B974">
        <v>67404</v>
      </c>
      <c r="C974">
        <v>8019873924407</v>
      </c>
      <c r="D974">
        <v>420.24</v>
      </c>
      <c r="E974">
        <v>295.88</v>
      </c>
      <c r="F974">
        <v>19.46</v>
      </c>
      <c r="G974">
        <v>194.53800000000001</v>
      </c>
      <c r="H974">
        <v>0</v>
      </c>
      <c r="K974">
        <v>67404</v>
      </c>
      <c r="L974" t="s">
        <v>7919</v>
      </c>
      <c r="M974">
        <v>0</v>
      </c>
    </row>
    <row r="975" spans="1:13" x14ac:dyDescent="0.25">
      <c r="A975" t="s">
        <v>7920</v>
      </c>
      <c r="B975">
        <v>64693</v>
      </c>
      <c r="C975">
        <v>8019873660329</v>
      </c>
      <c r="D975">
        <v>119.9</v>
      </c>
      <c r="E975">
        <v>81.86</v>
      </c>
      <c r="F975">
        <v>20.86</v>
      </c>
      <c r="G975">
        <v>53.820599999999999</v>
      </c>
      <c r="H975">
        <v>0</v>
      </c>
      <c r="K975">
        <v>64693</v>
      </c>
      <c r="L975" t="s">
        <v>7920</v>
      </c>
      <c r="M975">
        <v>0</v>
      </c>
    </row>
    <row r="976" spans="1:13" x14ac:dyDescent="0.25">
      <c r="A976" t="s">
        <v>7921</v>
      </c>
      <c r="B976">
        <v>64692</v>
      </c>
      <c r="C976">
        <v>8019873000026</v>
      </c>
      <c r="D976">
        <v>119.9</v>
      </c>
      <c r="E976">
        <v>81.86</v>
      </c>
      <c r="F976">
        <v>20.86</v>
      </c>
      <c r="G976">
        <v>53.820700000000002</v>
      </c>
      <c r="H976">
        <v>0</v>
      </c>
      <c r="K976">
        <v>64692</v>
      </c>
      <c r="L976" t="s">
        <v>7921</v>
      </c>
      <c r="M976">
        <v>3.3000000000000002E-2</v>
      </c>
    </row>
    <row r="977" spans="1:13" x14ac:dyDescent="0.25">
      <c r="A977" t="s">
        <v>7922</v>
      </c>
      <c r="B977">
        <v>62678</v>
      </c>
      <c r="C977">
        <v>8412176000791</v>
      </c>
      <c r="D977">
        <v>69.900000000000006</v>
      </c>
      <c r="E977">
        <v>35.49</v>
      </c>
      <c r="F977">
        <v>32.36</v>
      </c>
      <c r="G977">
        <v>23.3368</v>
      </c>
      <c r="H977">
        <v>6.7000000000000004E-2</v>
      </c>
      <c r="K977">
        <v>62678</v>
      </c>
      <c r="L977" t="s">
        <v>7922</v>
      </c>
      <c r="M977">
        <v>0</v>
      </c>
    </row>
    <row r="978" spans="1:13" x14ac:dyDescent="0.25">
      <c r="A978" t="s">
        <v>7923</v>
      </c>
      <c r="B978">
        <v>62686</v>
      </c>
      <c r="C978">
        <v>8412176101061</v>
      </c>
      <c r="D978">
        <v>99.9</v>
      </c>
      <c r="E978">
        <v>66.5</v>
      </c>
      <c r="F978">
        <v>21.98</v>
      </c>
      <c r="G978">
        <v>43.723599999999998</v>
      </c>
      <c r="H978">
        <v>0</v>
      </c>
      <c r="K978">
        <v>62686</v>
      </c>
      <c r="L978" t="s">
        <v>7923</v>
      </c>
      <c r="M978">
        <v>0</v>
      </c>
    </row>
    <row r="979" spans="1:13" x14ac:dyDescent="0.25">
      <c r="A979" t="s">
        <v>7924</v>
      </c>
      <c r="B979">
        <v>62677</v>
      </c>
      <c r="C979">
        <v>8412176000265</v>
      </c>
      <c r="D979">
        <v>69.900000000000006</v>
      </c>
      <c r="E979">
        <v>40.17</v>
      </c>
      <c r="F979">
        <v>28.06</v>
      </c>
      <c r="G979">
        <v>26.344899999999999</v>
      </c>
      <c r="H979">
        <v>0.4</v>
      </c>
      <c r="K979">
        <v>62677</v>
      </c>
      <c r="L979" t="s">
        <v>7924</v>
      </c>
      <c r="M979">
        <v>0</v>
      </c>
    </row>
    <row r="980" spans="1:13" x14ac:dyDescent="0.25">
      <c r="A980" t="s">
        <v>7925</v>
      </c>
      <c r="B980">
        <v>60838</v>
      </c>
      <c r="C980">
        <v>7898266930307</v>
      </c>
      <c r="D980">
        <v>79.900000000000006</v>
      </c>
      <c r="E980">
        <v>51.01</v>
      </c>
      <c r="F980">
        <v>22.18</v>
      </c>
      <c r="G980">
        <v>34.814300000000003</v>
      </c>
      <c r="H980">
        <v>0.13300000000000001</v>
      </c>
      <c r="K980">
        <v>60838</v>
      </c>
      <c r="L980" t="s">
        <v>7925</v>
      </c>
      <c r="M980">
        <v>0.13300000000000001</v>
      </c>
    </row>
    <row r="981" spans="1:13" x14ac:dyDescent="0.25">
      <c r="A981" t="s">
        <v>7926</v>
      </c>
      <c r="B981">
        <v>62132</v>
      </c>
      <c r="C981">
        <v>7898266930475</v>
      </c>
      <c r="D981">
        <v>79.900000000000006</v>
      </c>
      <c r="E981">
        <v>55.21</v>
      </c>
      <c r="F981">
        <v>20.09</v>
      </c>
      <c r="G981">
        <v>36.485100000000003</v>
      </c>
      <c r="H981">
        <v>0.1</v>
      </c>
      <c r="K981">
        <v>62132</v>
      </c>
      <c r="L981" t="s">
        <v>7926</v>
      </c>
      <c r="M981">
        <v>6.7000000000000004E-2</v>
      </c>
    </row>
    <row r="982" spans="1:13" x14ac:dyDescent="0.25">
      <c r="A982" t="s">
        <v>7927</v>
      </c>
      <c r="B982">
        <v>60837</v>
      </c>
      <c r="C982">
        <v>7898266930291</v>
      </c>
      <c r="D982">
        <v>79.900000000000006</v>
      </c>
      <c r="E982">
        <v>47.94</v>
      </c>
      <c r="F982">
        <v>26.2</v>
      </c>
      <c r="G982">
        <v>31.599599999999999</v>
      </c>
      <c r="H982">
        <v>0.1</v>
      </c>
      <c r="K982">
        <v>60837</v>
      </c>
      <c r="L982" t="s">
        <v>7927</v>
      </c>
      <c r="M982">
        <v>0.1</v>
      </c>
    </row>
    <row r="983" spans="1:13" x14ac:dyDescent="0.25">
      <c r="A983" t="s">
        <v>7928</v>
      </c>
      <c r="B983">
        <v>60840</v>
      </c>
      <c r="C983">
        <v>7898266930321</v>
      </c>
      <c r="D983">
        <v>79.900000000000006</v>
      </c>
      <c r="E983">
        <v>48.99</v>
      </c>
      <c r="F983">
        <v>25.34</v>
      </c>
      <c r="G983">
        <v>32.2896</v>
      </c>
      <c r="H983">
        <v>0.16700000000000001</v>
      </c>
      <c r="K983">
        <v>60840</v>
      </c>
      <c r="L983" t="s">
        <v>7928</v>
      </c>
      <c r="M983">
        <v>0.13300000000000001</v>
      </c>
    </row>
    <row r="984" spans="1:13" x14ac:dyDescent="0.25">
      <c r="A984" t="s">
        <v>7929</v>
      </c>
      <c r="B984">
        <v>60839</v>
      </c>
      <c r="C984">
        <v>7898266930628</v>
      </c>
      <c r="D984">
        <v>79.900000000000006</v>
      </c>
      <c r="E984">
        <v>46.5</v>
      </c>
      <c r="F984">
        <v>27.54</v>
      </c>
      <c r="G984">
        <v>30.530200000000001</v>
      </c>
      <c r="H984">
        <v>6.7000000000000004E-2</v>
      </c>
      <c r="K984">
        <v>60839</v>
      </c>
      <c r="L984" t="s">
        <v>7929</v>
      </c>
      <c r="M984">
        <v>6.7000000000000004E-2</v>
      </c>
    </row>
    <row r="985" spans="1:13" x14ac:dyDescent="0.25">
      <c r="A985" t="s">
        <v>7930</v>
      </c>
      <c r="B985">
        <v>64291</v>
      </c>
      <c r="C985">
        <v>7898266930659</v>
      </c>
      <c r="D985">
        <v>29.9</v>
      </c>
      <c r="E985">
        <v>18.510000000000002</v>
      </c>
      <c r="F985">
        <v>25.04</v>
      </c>
      <c r="G985">
        <v>12.1736</v>
      </c>
      <c r="H985">
        <v>0.16700000000000001</v>
      </c>
      <c r="K985">
        <v>64291</v>
      </c>
      <c r="L985" t="s">
        <v>7930</v>
      </c>
      <c r="M985">
        <v>0.16700000000000001</v>
      </c>
    </row>
    <row r="986" spans="1:13" x14ac:dyDescent="0.25">
      <c r="A986" t="s">
        <v>7931</v>
      </c>
      <c r="B986">
        <v>64293</v>
      </c>
      <c r="C986">
        <v>7898266931083</v>
      </c>
      <c r="D986">
        <v>29.9</v>
      </c>
      <c r="E986">
        <v>18.579999999999998</v>
      </c>
      <c r="F986">
        <v>24.89</v>
      </c>
      <c r="G986">
        <v>12.2174</v>
      </c>
      <c r="H986">
        <v>0.3</v>
      </c>
      <c r="K986">
        <v>64293</v>
      </c>
      <c r="L986" t="s">
        <v>7931</v>
      </c>
      <c r="M986">
        <v>0.3</v>
      </c>
    </row>
    <row r="987" spans="1:13" x14ac:dyDescent="0.25">
      <c r="A987" t="s">
        <v>7932</v>
      </c>
      <c r="B987">
        <v>64556</v>
      </c>
      <c r="C987">
        <v>7898266930703</v>
      </c>
      <c r="D987">
        <v>199.9</v>
      </c>
      <c r="E987">
        <v>128.91999999999999</v>
      </c>
      <c r="F987">
        <v>22.43</v>
      </c>
      <c r="G987">
        <v>86.592100000000002</v>
      </c>
      <c r="H987">
        <v>0</v>
      </c>
      <c r="K987">
        <v>64556</v>
      </c>
      <c r="L987" t="s">
        <v>7932</v>
      </c>
      <c r="M987">
        <v>0</v>
      </c>
    </row>
    <row r="988" spans="1:13" x14ac:dyDescent="0.25">
      <c r="A988" t="s">
        <v>7933</v>
      </c>
      <c r="B988">
        <v>44470</v>
      </c>
      <c r="C988">
        <v>5601007475454</v>
      </c>
      <c r="D988">
        <v>239.9</v>
      </c>
      <c r="E988">
        <v>166.64</v>
      </c>
      <c r="F988">
        <v>20.079999999999998</v>
      </c>
      <c r="G988">
        <v>109.5633</v>
      </c>
      <c r="H988">
        <v>0</v>
      </c>
      <c r="K988">
        <v>44470</v>
      </c>
      <c r="L988" t="s">
        <v>7933</v>
      </c>
      <c r="M988">
        <v>0</v>
      </c>
    </row>
    <row r="989" spans="1:13" x14ac:dyDescent="0.25">
      <c r="A989" t="s">
        <v>7934</v>
      </c>
      <c r="B989">
        <v>16022</v>
      </c>
      <c r="C989">
        <v>7791203003327</v>
      </c>
      <c r="D989">
        <v>69.900000000000006</v>
      </c>
      <c r="E989">
        <v>48.83</v>
      </c>
      <c r="F989">
        <v>19.170000000000002</v>
      </c>
      <c r="G989">
        <v>32.560899999999997</v>
      </c>
      <c r="H989">
        <v>1.1000000000000001</v>
      </c>
      <c r="K989">
        <v>16022</v>
      </c>
      <c r="L989" t="s">
        <v>7934</v>
      </c>
      <c r="M989">
        <v>0.36699999999999999</v>
      </c>
    </row>
    <row r="990" spans="1:13" x14ac:dyDescent="0.25">
      <c r="A990" t="s">
        <v>7935</v>
      </c>
      <c r="B990">
        <v>48199</v>
      </c>
      <c r="C990">
        <v>7791203003341</v>
      </c>
      <c r="D990">
        <v>69.900000000000006</v>
      </c>
      <c r="E990">
        <v>49.74</v>
      </c>
      <c r="F990">
        <v>18.93</v>
      </c>
      <c r="G990">
        <v>32.725299999999997</v>
      </c>
      <c r="H990">
        <v>2.9329999999999998</v>
      </c>
      <c r="K990">
        <v>48199</v>
      </c>
      <c r="L990" t="s">
        <v>7935</v>
      </c>
      <c r="M990">
        <v>1.0329999999999999</v>
      </c>
    </row>
    <row r="991" spans="1:13" x14ac:dyDescent="0.25">
      <c r="A991" t="s">
        <v>7936</v>
      </c>
      <c r="B991">
        <v>48198</v>
      </c>
      <c r="C991">
        <v>7791203003365</v>
      </c>
      <c r="D991">
        <v>69.900000000000006</v>
      </c>
      <c r="E991">
        <v>46.96</v>
      </c>
      <c r="F991">
        <v>21.58</v>
      </c>
      <c r="G991">
        <v>30.877500000000001</v>
      </c>
      <c r="H991">
        <v>3.3000000000000002E-2</v>
      </c>
      <c r="K991">
        <v>48198</v>
      </c>
      <c r="L991" t="s">
        <v>7936</v>
      </c>
      <c r="M991">
        <v>6.7000000000000004E-2</v>
      </c>
    </row>
    <row r="992" spans="1:13" x14ac:dyDescent="0.25">
      <c r="A992" t="s">
        <v>7937</v>
      </c>
      <c r="B992">
        <v>65307</v>
      </c>
      <c r="C992">
        <v>7791203003419</v>
      </c>
      <c r="D992">
        <v>106.57</v>
      </c>
      <c r="E992">
        <v>73.7</v>
      </c>
      <c r="F992">
        <v>20.27</v>
      </c>
      <c r="G992">
        <v>48.462299999999999</v>
      </c>
      <c r="H992">
        <v>0.2</v>
      </c>
      <c r="K992">
        <v>65307</v>
      </c>
      <c r="L992" t="s">
        <v>7937</v>
      </c>
      <c r="M992">
        <v>0</v>
      </c>
    </row>
    <row r="993" spans="1:13" x14ac:dyDescent="0.25">
      <c r="A993" t="s">
        <v>7938</v>
      </c>
      <c r="B993">
        <v>54696</v>
      </c>
      <c r="C993">
        <v>7791203003389</v>
      </c>
      <c r="D993">
        <v>69.900000000000006</v>
      </c>
      <c r="E993">
        <v>48.92</v>
      </c>
      <c r="F993">
        <v>19.72</v>
      </c>
      <c r="G993">
        <v>32.177900000000001</v>
      </c>
      <c r="H993">
        <v>0.96699999999999997</v>
      </c>
      <c r="K993">
        <v>54696</v>
      </c>
      <c r="L993" t="s">
        <v>7938</v>
      </c>
      <c r="M993">
        <v>0.46700000000000003</v>
      </c>
    </row>
    <row r="994" spans="1:13" x14ac:dyDescent="0.25">
      <c r="A994" t="s">
        <v>7939</v>
      </c>
      <c r="B994">
        <v>65308</v>
      </c>
      <c r="C994">
        <v>7791203001682</v>
      </c>
      <c r="D994">
        <v>119.9</v>
      </c>
      <c r="E994">
        <v>73.709999999999994</v>
      </c>
      <c r="F994">
        <v>25.33</v>
      </c>
      <c r="G994">
        <v>48.467399999999998</v>
      </c>
      <c r="H994">
        <v>3.3000000000000002E-2</v>
      </c>
      <c r="K994">
        <v>65308</v>
      </c>
      <c r="L994" t="s">
        <v>7939</v>
      </c>
      <c r="M994">
        <v>0</v>
      </c>
    </row>
    <row r="995" spans="1:13" x14ac:dyDescent="0.25">
      <c r="A995" t="s">
        <v>7940</v>
      </c>
      <c r="B995">
        <v>2988</v>
      </c>
      <c r="C995">
        <v>5604123001101</v>
      </c>
      <c r="D995">
        <v>91.19</v>
      </c>
      <c r="E995">
        <v>54.31</v>
      </c>
      <c r="F995">
        <v>26.6</v>
      </c>
      <c r="G995">
        <v>35.695599999999999</v>
      </c>
      <c r="H995">
        <v>0.433</v>
      </c>
      <c r="K995">
        <v>2988</v>
      </c>
      <c r="L995" t="s">
        <v>7940</v>
      </c>
      <c r="M995">
        <v>0.16700000000000001</v>
      </c>
    </row>
    <row r="996" spans="1:13" x14ac:dyDescent="0.25">
      <c r="A996" t="s">
        <v>7941</v>
      </c>
      <c r="B996">
        <v>63526</v>
      </c>
      <c r="C996">
        <v>5607240004031</v>
      </c>
      <c r="D996">
        <v>149.9</v>
      </c>
      <c r="E996">
        <v>95</v>
      </c>
      <c r="F996">
        <v>24.08</v>
      </c>
      <c r="G996">
        <v>62.462499999999999</v>
      </c>
      <c r="H996">
        <v>0</v>
      </c>
      <c r="K996">
        <v>63526</v>
      </c>
      <c r="L996" t="s">
        <v>7941</v>
      </c>
      <c r="M996">
        <v>0</v>
      </c>
    </row>
    <row r="997" spans="1:13" x14ac:dyDescent="0.25">
      <c r="A997" t="s">
        <v>7942</v>
      </c>
      <c r="B997">
        <v>67090</v>
      </c>
      <c r="C997">
        <v>5600799685072</v>
      </c>
      <c r="D997">
        <v>89.9</v>
      </c>
      <c r="E997">
        <v>57.21</v>
      </c>
      <c r="F997">
        <v>22.34</v>
      </c>
      <c r="G997">
        <v>39.027000000000001</v>
      </c>
      <c r="H997">
        <v>0.3</v>
      </c>
      <c r="K997">
        <v>67090</v>
      </c>
      <c r="L997" t="s">
        <v>7942</v>
      </c>
      <c r="M997">
        <v>0.3</v>
      </c>
    </row>
    <row r="998" spans="1:13" x14ac:dyDescent="0.25">
      <c r="A998" t="s">
        <v>7943</v>
      </c>
      <c r="B998">
        <v>66808</v>
      </c>
      <c r="C998">
        <v>7804330008735</v>
      </c>
      <c r="D998">
        <v>169.9</v>
      </c>
      <c r="E998">
        <v>103.56</v>
      </c>
      <c r="F998">
        <v>25.65</v>
      </c>
      <c r="G998">
        <v>68.126499999999993</v>
      </c>
      <c r="H998">
        <v>0</v>
      </c>
      <c r="K998">
        <v>66808</v>
      </c>
      <c r="L998" t="s">
        <v>7943</v>
      </c>
      <c r="M998">
        <v>0</v>
      </c>
    </row>
    <row r="999" spans="1:13" x14ac:dyDescent="0.25">
      <c r="A999" t="s">
        <v>7944</v>
      </c>
      <c r="B999">
        <v>66807</v>
      </c>
      <c r="C999">
        <v>7804330006120</v>
      </c>
      <c r="D999">
        <v>169.43</v>
      </c>
      <c r="E999">
        <v>102.09</v>
      </c>
      <c r="F999">
        <v>25.35</v>
      </c>
      <c r="G999">
        <v>68.446399999999997</v>
      </c>
      <c r="H999">
        <v>0</v>
      </c>
      <c r="K999">
        <v>66807</v>
      </c>
      <c r="L999" t="s">
        <v>7944</v>
      </c>
      <c r="M999">
        <v>0</v>
      </c>
    </row>
    <row r="1000" spans="1:13" x14ac:dyDescent="0.25">
      <c r="A1000" t="s">
        <v>7945</v>
      </c>
      <c r="B1000">
        <v>66809</v>
      </c>
      <c r="C1000">
        <v>7804330008346</v>
      </c>
      <c r="D1000">
        <v>169.9</v>
      </c>
      <c r="E1000">
        <v>101.59</v>
      </c>
      <c r="F1000">
        <v>26.36</v>
      </c>
      <c r="G1000">
        <v>66.915700000000001</v>
      </c>
      <c r="H1000">
        <v>0</v>
      </c>
      <c r="K1000">
        <v>66809</v>
      </c>
      <c r="L1000" t="s">
        <v>7945</v>
      </c>
      <c r="M1000">
        <v>0</v>
      </c>
    </row>
    <row r="1001" spans="1:13" x14ac:dyDescent="0.25">
      <c r="A1001" t="s">
        <v>7946</v>
      </c>
      <c r="B1001">
        <v>66810</v>
      </c>
      <c r="C1001">
        <v>7804330008360</v>
      </c>
      <c r="D1001">
        <v>169.9</v>
      </c>
      <c r="E1001">
        <v>103.81</v>
      </c>
      <c r="F1001">
        <v>25.5</v>
      </c>
      <c r="G1001">
        <v>68.393000000000001</v>
      </c>
      <c r="H1001">
        <v>6.7000000000000004E-2</v>
      </c>
      <c r="K1001">
        <v>66810</v>
      </c>
      <c r="L1001" t="s">
        <v>7946</v>
      </c>
      <c r="M1001">
        <v>0</v>
      </c>
    </row>
    <row r="1002" spans="1:13" x14ac:dyDescent="0.25">
      <c r="A1002" t="s">
        <v>7947</v>
      </c>
      <c r="B1002">
        <v>66811</v>
      </c>
      <c r="C1002">
        <v>7804330008353</v>
      </c>
      <c r="D1002">
        <v>169.9</v>
      </c>
      <c r="E1002">
        <v>103.83</v>
      </c>
      <c r="F1002">
        <v>25.47</v>
      </c>
      <c r="G1002">
        <v>68.4285</v>
      </c>
      <c r="H1002">
        <v>0</v>
      </c>
      <c r="K1002">
        <v>66811</v>
      </c>
      <c r="L1002" t="s">
        <v>7947</v>
      </c>
      <c r="M1002">
        <v>0</v>
      </c>
    </row>
    <row r="1003" spans="1:13" x14ac:dyDescent="0.25">
      <c r="A1003" t="s">
        <v>7948</v>
      </c>
      <c r="B1003">
        <v>68692</v>
      </c>
      <c r="C1003">
        <v>5013521100918</v>
      </c>
      <c r="D1003">
        <v>149.9</v>
      </c>
      <c r="E1003">
        <v>102.38</v>
      </c>
      <c r="F1003">
        <v>20.84</v>
      </c>
      <c r="G1003">
        <v>67.316800000000001</v>
      </c>
      <c r="H1003">
        <v>0</v>
      </c>
      <c r="K1003">
        <v>68692</v>
      </c>
      <c r="L1003" t="s">
        <v>7948</v>
      </c>
      <c r="M1003">
        <v>0</v>
      </c>
    </row>
    <row r="1004" spans="1:13" x14ac:dyDescent="0.25">
      <c r="A1004" t="s">
        <v>7949</v>
      </c>
      <c r="B1004">
        <v>68693</v>
      </c>
      <c r="C1004">
        <v>5013521100901</v>
      </c>
      <c r="D1004">
        <v>149.9</v>
      </c>
      <c r="E1004">
        <v>102.38</v>
      </c>
      <c r="F1004">
        <v>20.84</v>
      </c>
      <c r="G1004">
        <v>67.316599999999994</v>
      </c>
      <c r="H1004">
        <v>0</v>
      </c>
      <c r="K1004">
        <v>68693</v>
      </c>
      <c r="L1004" t="s">
        <v>7949</v>
      </c>
      <c r="M1004">
        <v>0</v>
      </c>
    </row>
    <row r="1005" spans="1:13" x14ac:dyDescent="0.25">
      <c r="A1005" t="s">
        <v>7950</v>
      </c>
      <c r="B1005">
        <v>68695</v>
      </c>
      <c r="C1005">
        <v>5013521100895</v>
      </c>
      <c r="D1005">
        <v>149.9</v>
      </c>
      <c r="E1005">
        <v>102.38</v>
      </c>
      <c r="F1005">
        <v>20.84</v>
      </c>
      <c r="G1005">
        <v>67.316400000000002</v>
      </c>
      <c r="H1005">
        <v>3.3000000000000002E-2</v>
      </c>
      <c r="K1005">
        <v>68695</v>
      </c>
      <c r="L1005" t="s">
        <v>7950</v>
      </c>
      <c r="M1005">
        <v>3.3000000000000002E-2</v>
      </c>
    </row>
    <row r="1006" spans="1:13" x14ac:dyDescent="0.25">
      <c r="A1006" t="s">
        <v>7951</v>
      </c>
      <c r="B1006">
        <v>67092</v>
      </c>
      <c r="C1006">
        <v>5600751735326</v>
      </c>
      <c r="D1006">
        <v>49.9</v>
      </c>
      <c r="E1006">
        <v>31.4</v>
      </c>
      <c r="F1006">
        <v>24.37</v>
      </c>
      <c r="G1006">
        <v>20.647200000000002</v>
      </c>
      <c r="H1006">
        <v>0.433</v>
      </c>
      <c r="K1006">
        <v>67092</v>
      </c>
      <c r="L1006" t="s">
        <v>7951</v>
      </c>
      <c r="M1006">
        <v>3.3000000000000002E-2</v>
      </c>
    </row>
    <row r="1007" spans="1:13" x14ac:dyDescent="0.25">
      <c r="A1007" t="s">
        <v>7952</v>
      </c>
      <c r="B1007">
        <v>69811</v>
      </c>
      <c r="C1007">
        <v>5600751735333</v>
      </c>
      <c r="D1007">
        <v>49.9</v>
      </c>
      <c r="E1007">
        <v>31.41</v>
      </c>
      <c r="F1007">
        <v>24.36</v>
      </c>
      <c r="G1007">
        <v>20.652000000000001</v>
      </c>
      <c r="H1007">
        <v>0</v>
      </c>
      <c r="K1007">
        <v>69811</v>
      </c>
      <c r="L1007" t="s">
        <v>7952</v>
      </c>
      <c r="M1007">
        <v>0</v>
      </c>
    </row>
    <row r="1008" spans="1:13" x14ac:dyDescent="0.25">
      <c r="A1008" t="s">
        <v>7953</v>
      </c>
      <c r="B1008">
        <v>67093</v>
      </c>
      <c r="C1008">
        <v>5600751735319</v>
      </c>
      <c r="D1008">
        <v>49.9</v>
      </c>
      <c r="E1008">
        <v>31.41</v>
      </c>
      <c r="F1008">
        <v>24.36</v>
      </c>
      <c r="G1008">
        <v>20.6525</v>
      </c>
      <c r="H1008">
        <v>0.53300000000000003</v>
      </c>
      <c r="K1008">
        <v>67093</v>
      </c>
      <c r="L1008" t="s">
        <v>7953</v>
      </c>
      <c r="M1008">
        <v>6.7000000000000004E-2</v>
      </c>
    </row>
    <row r="1009" spans="1:13" x14ac:dyDescent="0.25">
      <c r="A1009" t="s">
        <v>7954</v>
      </c>
      <c r="B1009">
        <v>57776</v>
      </c>
      <c r="C1009">
        <v>8021019000043</v>
      </c>
      <c r="D1009" s="1">
        <v>2399.9</v>
      </c>
      <c r="E1009" s="1">
        <v>1384.72</v>
      </c>
      <c r="F1009">
        <v>28.23</v>
      </c>
      <c r="G1009">
        <v>900.49549999999999</v>
      </c>
      <c r="H1009">
        <v>0</v>
      </c>
      <c r="K1009">
        <v>57776</v>
      </c>
      <c r="L1009" t="s">
        <v>7954</v>
      </c>
      <c r="M1009">
        <v>0</v>
      </c>
    </row>
    <row r="1010" spans="1:13" x14ac:dyDescent="0.25">
      <c r="A1010" t="s">
        <v>7955</v>
      </c>
      <c r="B1010">
        <v>67198</v>
      </c>
      <c r="C1010">
        <v>8002153226858</v>
      </c>
      <c r="D1010">
        <v>99.9</v>
      </c>
      <c r="E1010">
        <v>69.19</v>
      </c>
      <c r="F1010">
        <v>20.21</v>
      </c>
      <c r="G1010">
        <v>45.4953</v>
      </c>
      <c r="H1010">
        <v>3.3000000000000002E-2</v>
      </c>
      <c r="K1010">
        <v>67198</v>
      </c>
      <c r="L1010" t="s">
        <v>7955</v>
      </c>
      <c r="M1010">
        <v>3.3000000000000002E-2</v>
      </c>
    </row>
    <row r="1011" spans="1:13" x14ac:dyDescent="0.25">
      <c r="A1011" t="s">
        <v>7956</v>
      </c>
      <c r="B1011">
        <v>61749</v>
      </c>
      <c r="C1011">
        <v>8002153229200</v>
      </c>
      <c r="D1011">
        <v>119.9</v>
      </c>
      <c r="E1011">
        <v>77.569999999999993</v>
      </c>
      <c r="F1011">
        <v>23.21</v>
      </c>
      <c r="G1011">
        <v>51</v>
      </c>
      <c r="H1011">
        <v>0</v>
      </c>
      <c r="K1011">
        <v>61749</v>
      </c>
      <c r="L1011" t="s">
        <v>7956</v>
      </c>
      <c r="M1011">
        <v>0</v>
      </c>
    </row>
    <row r="1012" spans="1:13" x14ac:dyDescent="0.25">
      <c r="A1012" t="s">
        <v>7957</v>
      </c>
      <c r="B1012">
        <v>55982</v>
      </c>
      <c r="C1012">
        <v>7896452100374</v>
      </c>
      <c r="D1012">
        <v>99.9</v>
      </c>
      <c r="E1012">
        <v>57.57</v>
      </c>
      <c r="F1012">
        <v>25.04</v>
      </c>
      <c r="G1012">
        <v>40.668500000000002</v>
      </c>
      <c r="H1012">
        <v>0.2</v>
      </c>
      <c r="K1012">
        <v>55982</v>
      </c>
      <c r="L1012" t="s">
        <v>7957</v>
      </c>
      <c r="M1012">
        <v>6.7000000000000004E-2</v>
      </c>
    </row>
    <row r="1013" spans="1:13" x14ac:dyDescent="0.25">
      <c r="A1013" t="s">
        <v>7958</v>
      </c>
      <c r="B1013">
        <v>55980</v>
      </c>
      <c r="C1013">
        <v>7896452101487</v>
      </c>
      <c r="D1013">
        <v>99.9</v>
      </c>
      <c r="E1013">
        <v>62</v>
      </c>
      <c r="F1013">
        <v>20.99</v>
      </c>
      <c r="G1013">
        <v>44.717599999999997</v>
      </c>
      <c r="H1013">
        <v>0</v>
      </c>
      <c r="K1013">
        <v>55980</v>
      </c>
      <c r="L1013" t="s">
        <v>7958</v>
      </c>
      <c r="M1013">
        <v>0</v>
      </c>
    </row>
    <row r="1014" spans="1:13" x14ac:dyDescent="0.25">
      <c r="A1014" t="s">
        <v>7959</v>
      </c>
      <c r="B1014">
        <v>55981</v>
      </c>
      <c r="C1014">
        <v>7896452101500</v>
      </c>
      <c r="D1014">
        <v>99.9</v>
      </c>
      <c r="E1014">
        <v>65.72</v>
      </c>
      <c r="F1014">
        <v>22.52</v>
      </c>
      <c r="G1014">
        <v>43.188600000000001</v>
      </c>
      <c r="H1014">
        <v>0</v>
      </c>
      <c r="K1014">
        <v>55981</v>
      </c>
      <c r="L1014" t="s">
        <v>7959</v>
      </c>
      <c r="M1014">
        <v>0</v>
      </c>
    </row>
    <row r="1015" spans="1:13" x14ac:dyDescent="0.25">
      <c r="A1015" t="s">
        <v>7960</v>
      </c>
      <c r="B1015">
        <v>59893</v>
      </c>
      <c r="C1015">
        <v>7898932686088</v>
      </c>
      <c r="D1015">
        <v>49.9</v>
      </c>
      <c r="E1015">
        <v>25.31</v>
      </c>
      <c r="F1015">
        <v>31.93</v>
      </c>
      <c r="G1015">
        <v>16.8748</v>
      </c>
      <c r="H1015">
        <v>0.2</v>
      </c>
      <c r="K1015">
        <v>59893</v>
      </c>
      <c r="L1015" t="s">
        <v>7960</v>
      </c>
      <c r="M1015">
        <v>0.2</v>
      </c>
    </row>
    <row r="1016" spans="1:13" x14ac:dyDescent="0.25">
      <c r="A1016" t="s">
        <v>7961</v>
      </c>
      <c r="B1016">
        <v>59894</v>
      </c>
      <c r="C1016">
        <v>7898932686095</v>
      </c>
      <c r="D1016">
        <v>49.9</v>
      </c>
      <c r="E1016">
        <v>25.99</v>
      </c>
      <c r="F1016">
        <v>31.49</v>
      </c>
      <c r="G1016">
        <v>17.097999999999999</v>
      </c>
      <c r="H1016">
        <v>0.4</v>
      </c>
      <c r="K1016">
        <v>59894</v>
      </c>
      <c r="L1016" t="s">
        <v>7961</v>
      </c>
      <c r="M1016">
        <v>0.4</v>
      </c>
    </row>
    <row r="1017" spans="1:13" x14ac:dyDescent="0.25">
      <c r="A1017" t="s">
        <v>7962</v>
      </c>
      <c r="B1017">
        <v>66476</v>
      </c>
      <c r="C1017">
        <v>8410036809577</v>
      </c>
      <c r="D1017">
        <v>89.9</v>
      </c>
      <c r="E1017">
        <v>51.87</v>
      </c>
      <c r="F1017">
        <v>30.77</v>
      </c>
      <c r="G1017">
        <v>37.736699999999999</v>
      </c>
      <c r="H1017">
        <v>0.13300000000000001</v>
      </c>
      <c r="K1017">
        <v>66476</v>
      </c>
      <c r="L1017" t="s">
        <v>7962</v>
      </c>
      <c r="M1017">
        <v>0.13300000000000001</v>
      </c>
    </row>
    <row r="1018" spans="1:13" x14ac:dyDescent="0.25">
      <c r="A1018" t="s">
        <v>7963</v>
      </c>
      <c r="B1018">
        <v>57756</v>
      </c>
      <c r="C1018">
        <v>8410036808419</v>
      </c>
      <c r="D1018">
        <v>109.9</v>
      </c>
      <c r="E1018">
        <v>67</v>
      </c>
      <c r="F1018">
        <v>25.29</v>
      </c>
      <c r="G1018">
        <v>44.466999999999999</v>
      </c>
      <c r="H1018">
        <v>6.7000000000000004E-2</v>
      </c>
      <c r="K1018">
        <v>57756</v>
      </c>
      <c r="L1018" t="s">
        <v>7963</v>
      </c>
      <c r="M1018">
        <v>6.7000000000000004E-2</v>
      </c>
    </row>
    <row r="1019" spans="1:13" x14ac:dyDescent="0.25">
      <c r="A1019" t="s">
        <v>7964</v>
      </c>
      <c r="B1019">
        <v>68613</v>
      </c>
      <c r="C1019">
        <v>8410036809690</v>
      </c>
      <c r="D1019">
        <v>99.9</v>
      </c>
      <c r="E1019">
        <v>66.680000000000007</v>
      </c>
      <c r="F1019">
        <v>21.86</v>
      </c>
      <c r="G1019">
        <v>43.841299999999997</v>
      </c>
      <c r="H1019">
        <v>0.2</v>
      </c>
      <c r="K1019">
        <v>68613</v>
      </c>
      <c r="L1019" t="s">
        <v>7964</v>
      </c>
      <c r="M1019">
        <v>0.2</v>
      </c>
    </row>
    <row r="1020" spans="1:13" x14ac:dyDescent="0.25">
      <c r="A1020" t="s">
        <v>7965</v>
      </c>
      <c r="B1020">
        <v>57757</v>
      </c>
      <c r="C1020">
        <v>8410036808433</v>
      </c>
      <c r="D1020">
        <v>99.9</v>
      </c>
      <c r="E1020">
        <v>64.569999999999993</v>
      </c>
      <c r="F1020">
        <v>22.66</v>
      </c>
      <c r="G1020">
        <v>43.044699999999999</v>
      </c>
      <c r="H1020">
        <v>0.36699999999999999</v>
      </c>
      <c r="K1020">
        <v>57757</v>
      </c>
      <c r="L1020" t="s">
        <v>7965</v>
      </c>
      <c r="M1020">
        <v>0.36699999999999999</v>
      </c>
    </row>
    <row r="1021" spans="1:13" x14ac:dyDescent="0.25">
      <c r="A1021" t="s">
        <v>7966</v>
      </c>
      <c r="B1021">
        <v>66474</v>
      </c>
      <c r="C1021">
        <v>8410036809836</v>
      </c>
      <c r="D1021">
        <v>49.9</v>
      </c>
      <c r="E1021">
        <v>31.76</v>
      </c>
      <c r="F1021">
        <v>23.91</v>
      </c>
      <c r="G1021">
        <v>20.879899999999999</v>
      </c>
      <c r="H1021">
        <v>6.7000000000000004E-2</v>
      </c>
      <c r="K1021">
        <v>66474</v>
      </c>
      <c r="L1021" t="s">
        <v>7966</v>
      </c>
      <c r="M1021">
        <v>6.7000000000000004E-2</v>
      </c>
    </row>
    <row r="1022" spans="1:13" x14ac:dyDescent="0.25">
      <c r="A1022" t="s">
        <v>7967</v>
      </c>
      <c r="B1022">
        <v>68612</v>
      </c>
      <c r="C1022">
        <v>8410036809713</v>
      </c>
      <c r="D1022">
        <v>119.9</v>
      </c>
      <c r="E1022">
        <v>74.61</v>
      </c>
      <c r="F1022">
        <v>24.83</v>
      </c>
      <c r="G1022">
        <v>49.059100000000001</v>
      </c>
      <c r="H1022">
        <v>3.3000000000000002E-2</v>
      </c>
      <c r="K1022">
        <v>68612</v>
      </c>
      <c r="L1022" t="s">
        <v>7967</v>
      </c>
      <c r="M1022">
        <v>3.3000000000000002E-2</v>
      </c>
    </row>
    <row r="1023" spans="1:13" x14ac:dyDescent="0.25">
      <c r="A1023" t="s">
        <v>7968</v>
      </c>
      <c r="B1023">
        <v>66478</v>
      </c>
      <c r="C1023">
        <v>8410036809553</v>
      </c>
      <c r="D1023">
        <v>89.9</v>
      </c>
      <c r="E1023">
        <v>51.87</v>
      </c>
      <c r="F1023">
        <v>30.77</v>
      </c>
      <c r="G1023">
        <v>37.736699999999999</v>
      </c>
      <c r="H1023">
        <v>0.1</v>
      </c>
      <c r="K1023">
        <v>66478</v>
      </c>
      <c r="L1023" t="s">
        <v>7968</v>
      </c>
      <c r="M1023">
        <v>0.1</v>
      </c>
    </row>
    <row r="1024" spans="1:13" x14ac:dyDescent="0.25">
      <c r="A1024" t="s">
        <v>7969</v>
      </c>
      <c r="B1024">
        <v>62278</v>
      </c>
      <c r="C1024">
        <v>8410036808501</v>
      </c>
      <c r="D1024">
        <v>79.900000000000006</v>
      </c>
      <c r="E1024">
        <v>46.84</v>
      </c>
      <c r="F1024">
        <v>27.51</v>
      </c>
      <c r="G1024">
        <v>30.5565</v>
      </c>
      <c r="H1024">
        <v>0.13300000000000001</v>
      </c>
      <c r="K1024">
        <v>62278</v>
      </c>
      <c r="L1024" t="s">
        <v>7969</v>
      </c>
      <c r="M1024">
        <v>6.7000000000000004E-2</v>
      </c>
    </row>
    <row r="1025" spans="1:13" x14ac:dyDescent="0.25">
      <c r="A1025" t="s">
        <v>7970</v>
      </c>
      <c r="B1025">
        <v>62277</v>
      </c>
      <c r="C1025">
        <v>8410036808525</v>
      </c>
      <c r="D1025">
        <v>79.900000000000006</v>
      </c>
      <c r="E1025">
        <v>48.31</v>
      </c>
      <c r="F1025">
        <v>26</v>
      </c>
      <c r="G1025">
        <v>31.763300000000001</v>
      </c>
      <c r="H1025">
        <v>0</v>
      </c>
      <c r="K1025">
        <v>62277</v>
      </c>
      <c r="L1025" t="s">
        <v>7970</v>
      </c>
      <c r="M1025">
        <v>0</v>
      </c>
    </row>
    <row r="1026" spans="1:13" x14ac:dyDescent="0.25">
      <c r="A1026" t="s">
        <v>7971</v>
      </c>
      <c r="B1026">
        <v>62279</v>
      </c>
      <c r="C1026">
        <v>8410036809027</v>
      </c>
      <c r="D1026">
        <v>89.9</v>
      </c>
      <c r="E1026">
        <v>57.22</v>
      </c>
      <c r="F1026">
        <v>23.04</v>
      </c>
      <c r="G1026">
        <v>38.398699999999998</v>
      </c>
      <c r="H1026">
        <v>0.16700000000000001</v>
      </c>
      <c r="K1026">
        <v>62279</v>
      </c>
      <c r="L1026" t="s">
        <v>7971</v>
      </c>
      <c r="M1026">
        <v>0.1</v>
      </c>
    </row>
    <row r="1027" spans="1:13" x14ac:dyDescent="0.25">
      <c r="A1027" t="s">
        <v>7972</v>
      </c>
      <c r="B1027">
        <v>66477</v>
      </c>
      <c r="C1027">
        <v>8410036809539</v>
      </c>
      <c r="D1027">
        <v>89.9</v>
      </c>
      <c r="E1027">
        <v>54.92</v>
      </c>
      <c r="F1027">
        <v>26.89</v>
      </c>
      <c r="G1027">
        <v>41.227499999999999</v>
      </c>
      <c r="H1027">
        <v>0.3</v>
      </c>
      <c r="K1027">
        <v>66477</v>
      </c>
      <c r="L1027" t="s">
        <v>7972</v>
      </c>
      <c r="M1027">
        <v>0.3</v>
      </c>
    </row>
    <row r="1028" spans="1:13" x14ac:dyDescent="0.25">
      <c r="A1028" t="s">
        <v>7973</v>
      </c>
      <c r="B1028">
        <v>35894</v>
      </c>
      <c r="C1028">
        <v>8033765187411</v>
      </c>
      <c r="D1028">
        <v>69.900000000000006</v>
      </c>
      <c r="E1028">
        <v>49.41</v>
      </c>
      <c r="F1028">
        <v>20.89</v>
      </c>
      <c r="G1028">
        <v>31.354500000000002</v>
      </c>
      <c r="H1028">
        <v>1.633</v>
      </c>
      <c r="K1028">
        <v>35894</v>
      </c>
      <c r="L1028" t="s">
        <v>7973</v>
      </c>
      <c r="M1028">
        <v>0.66700000000000004</v>
      </c>
    </row>
    <row r="1029" spans="1:13" x14ac:dyDescent="0.25">
      <c r="A1029" t="s">
        <v>7974</v>
      </c>
      <c r="B1029">
        <v>61708</v>
      </c>
      <c r="C1029">
        <v>8055684021164</v>
      </c>
      <c r="D1029">
        <v>69.900000000000006</v>
      </c>
      <c r="E1029">
        <v>49.34</v>
      </c>
      <c r="F1029">
        <v>20.6</v>
      </c>
      <c r="G1029">
        <v>31.5593</v>
      </c>
      <c r="H1029">
        <v>0.73299999999999998</v>
      </c>
      <c r="K1029">
        <v>61708</v>
      </c>
      <c r="L1029" t="s">
        <v>7974</v>
      </c>
      <c r="M1029">
        <v>0.26700000000000002</v>
      </c>
    </row>
    <row r="1030" spans="1:13" x14ac:dyDescent="0.25">
      <c r="A1030" t="s">
        <v>7975</v>
      </c>
      <c r="B1030">
        <v>41806</v>
      </c>
      <c r="C1030">
        <v>8033765186575</v>
      </c>
      <c r="D1030">
        <v>69.900000000000006</v>
      </c>
      <c r="E1030">
        <v>43.92</v>
      </c>
      <c r="F1030">
        <v>22.75</v>
      </c>
      <c r="G1030">
        <v>30.0562</v>
      </c>
      <c r="H1030">
        <v>1.5</v>
      </c>
      <c r="K1030">
        <v>41806</v>
      </c>
      <c r="L1030" t="s">
        <v>7975</v>
      </c>
      <c r="M1030">
        <v>0.6</v>
      </c>
    </row>
    <row r="1031" spans="1:13" x14ac:dyDescent="0.25">
      <c r="A1031" t="s">
        <v>7976</v>
      </c>
      <c r="B1031">
        <v>69773</v>
      </c>
      <c r="C1031">
        <v>5600751735173</v>
      </c>
      <c r="D1031">
        <v>399.9</v>
      </c>
      <c r="E1031">
        <v>210.39</v>
      </c>
      <c r="F1031">
        <v>31.16</v>
      </c>
      <c r="G1031">
        <v>138.3329</v>
      </c>
      <c r="H1031">
        <v>0</v>
      </c>
      <c r="K1031">
        <v>69773</v>
      </c>
      <c r="L1031" t="s">
        <v>7976</v>
      </c>
      <c r="M1031">
        <v>0</v>
      </c>
    </row>
    <row r="1032" spans="1:13" x14ac:dyDescent="0.25">
      <c r="A1032" t="s">
        <v>7977</v>
      </c>
      <c r="B1032">
        <v>69772</v>
      </c>
      <c r="C1032">
        <v>5600751735111</v>
      </c>
      <c r="D1032">
        <v>169.9</v>
      </c>
      <c r="E1032">
        <v>106.36</v>
      </c>
      <c r="F1032">
        <v>24.59</v>
      </c>
      <c r="G1032">
        <v>69.933899999999994</v>
      </c>
      <c r="H1032">
        <v>0</v>
      </c>
      <c r="K1032">
        <v>69772</v>
      </c>
      <c r="L1032" t="s">
        <v>7977</v>
      </c>
      <c r="M1032">
        <v>0</v>
      </c>
    </row>
    <row r="1033" spans="1:13" x14ac:dyDescent="0.25">
      <c r="A1033" t="s">
        <v>7978</v>
      </c>
      <c r="B1033">
        <v>69771</v>
      </c>
      <c r="C1033">
        <v>5600751735098</v>
      </c>
      <c r="D1033">
        <v>119.9</v>
      </c>
      <c r="E1033">
        <v>75.47</v>
      </c>
      <c r="F1033">
        <v>24.37</v>
      </c>
      <c r="G1033">
        <v>49.618699999999997</v>
      </c>
      <c r="H1033">
        <v>0</v>
      </c>
      <c r="K1033">
        <v>69771</v>
      </c>
      <c r="L1033" t="s">
        <v>7978</v>
      </c>
      <c r="M1033">
        <v>0</v>
      </c>
    </row>
    <row r="1034" spans="1:13" x14ac:dyDescent="0.25">
      <c r="A1034" t="s">
        <v>7979</v>
      </c>
      <c r="B1034">
        <v>64112</v>
      </c>
      <c r="C1034">
        <v>7290015951654</v>
      </c>
      <c r="D1034">
        <v>229.9</v>
      </c>
      <c r="E1034">
        <v>151.96</v>
      </c>
      <c r="F1034">
        <v>12.65</v>
      </c>
      <c r="G1034">
        <v>122.08150000000001</v>
      </c>
      <c r="H1034">
        <v>0.46700000000000003</v>
      </c>
      <c r="K1034">
        <v>64112</v>
      </c>
      <c r="L1034" t="s">
        <v>7979</v>
      </c>
      <c r="M1034">
        <v>0.46700000000000003</v>
      </c>
    </row>
    <row r="1035" spans="1:13" x14ac:dyDescent="0.25">
      <c r="A1035" t="s">
        <v>7980</v>
      </c>
      <c r="B1035">
        <v>64113</v>
      </c>
      <c r="C1035">
        <v>7290017647166</v>
      </c>
      <c r="D1035">
        <v>229.9</v>
      </c>
      <c r="E1035">
        <v>116.27</v>
      </c>
      <c r="F1035">
        <v>31.34</v>
      </c>
      <c r="G1035">
        <v>79.116100000000003</v>
      </c>
      <c r="H1035">
        <v>3.3000000000000002E-2</v>
      </c>
      <c r="K1035">
        <v>64113</v>
      </c>
      <c r="L1035" t="s">
        <v>7980</v>
      </c>
      <c r="M1035">
        <v>3.3000000000000002E-2</v>
      </c>
    </row>
    <row r="1036" spans="1:13" x14ac:dyDescent="0.25">
      <c r="A1036" t="s">
        <v>7981</v>
      </c>
      <c r="B1036">
        <v>64111</v>
      </c>
      <c r="C1036">
        <v>7290015951227</v>
      </c>
      <c r="D1036">
        <v>229.9</v>
      </c>
      <c r="E1036">
        <v>110.87</v>
      </c>
      <c r="F1036">
        <v>32.07</v>
      </c>
      <c r="G1036">
        <v>77.431899999999999</v>
      </c>
      <c r="H1036">
        <v>3.3000000000000002E-2</v>
      </c>
      <c r="K1036">
        <v>64111</v>
      </c>
      <c r="L1036" t="s">
        <v>7981</v>
      </c>
      <c r="M1036">
        <v>3.3000000000000002E-2</v>
      </c>
    </row>
    <row r="1037" spans="1:13" x14ac:dyDescent="0.25">
      <c r="A1037" t="s">
        <v>7982</v>
      </c>
      <c r="B1037">
        <v>64698</v>
      </c>
      <c r="C1037">
        <v>7730951082437</v>
      </c>
      <c r="D1037" s="1">
        <v>1299.9000000000001</v>
      </c>
      <c r="E1037">
        <v>786.6</v>
      </c>
      <c r="F1037">
        <v>25.96</v>
      </c>
      <c r="G1037">
        <v>517.19110000000001</v>
      </c>
      <c r="H1037">
        <v>0</v>
      </c>
      <c r="K1037">
        <v>64698</v>
      </c>
      <c r="L1037" t="s">
        <v>7982</v>
      </c>
      <c r="M1037">
        <v>0</v>
      </c>
    </row>
    <row r="1038" spans="1:13" x14ac:dyDescent="0.25">
      <c r="A1038" t="s">
        <v>7983</v>
      </c>
      <c r="B1038">
        <v>64699</v>
      </c>
      <c r="C1038">
        <v>7730951081317</v>
      </c>
      <c r="D1038">
        <v>89.79</v>
      </c>
      <c r="E1038">
        <v>60.28</v>
      </c>
      <c r="F1038">
        <v>21.61</v>
      </c>
      <c r="G1038">
        <v>39.632800000000003</v>
      </c>
      <c r="H1038">
        <v>0.23300000000000001</v>
      </c>
      <c r="K1038">
        <v>64699</v>
      </c>
      <c r="L1038" t="s">
        <v>7983</v>
      </c>
      <c r="M1038">
        <v>6.7000000000000004E-2</v>
      </c>
    </row>
    <row r="1039" spans="1:13" x14ac:dyDescent="0.25">
      <c r="A1039" t="s">
        <v>7984</v>
      </c>
      <c r="B1039">
        <v>55960</v>
      </c>
      <c r="C1039">
        <v>7730951080259</v>
      </c>
      <c r="D1039">
        <v>119.9</v>
      </c>
      <c r="E1039">
        <v>84.16</v>
      </c>
      <c r="F1039">
        <v>19.57</v>
      </c>
      <c r="G1039">
        <v>55.372399999999999</v>
      </c>
      <c r="H1039">
        <v>0.16700000000000001</v>
      </c>
      <c r="K1039">
        <v>55960</v>
      </c>
      <c r="L1039" t="s">
        <v>7984</v>
      </c>
      <c r="M1039">
        <v>0.13300000000000001</v>
      </c>
    </row>
    <row r="1040" spans="1:13" x14ac:dyDescent="0.25">
      <c r="A1040" t="s">
        <v>7985</v>
      </c>
      <c r="B1040">
        <v>55701</v>
      </c>
      <c r="C1040">
        <v>7730951081706</v>
      </c>
      <c r="D1040">
        <v>212.25</v>
      </c>
      <c r="E1040">
        <v>166.03</v>
      </c>
      <c r="F1040">
        <v>13.97</v>
      </c>
      <c r="G1040">
        <v>109.9115</v>
      </c>
      <c r="H1040">
        <v>0</v>
      </c>
      <c r="K1040">
        <v>55701</v>
      </c>
      <c r="L1040" t="s">
        <v>7985</v>
      </c>
      <c r="M1040">
        <v>0</v>
      </c>
    </row>
    <row r="1041" spans="1:13" x14ac:dyDescent="0.25">
      <c r="A1041" t="s">
        <v>7986</v>
      </c>
      <c r="B1041">
        <v>55047</v>
      </c>
      <c r="C1041">
        <v>7730951080266</v>
      </c>
      <c r="D1041">
        <v>119.9</v>
      </c>
      <c r="E1041">
        <v>69.81</v>
      </c>
      <c r="F1041">
        <v>28.74</v>
      </c>
      <c r="G1041">
        <v>44.371400000000001</v>
      </c>
      <c r="H1041">
        <v>0.3</v>
      </c>
      <c r="K1041">
        <v>55047</v>
      </c>
      <c r="L1041" t="s">
        <v>7986</v>
      </c>
      <c r="M1041">
        <v>0.26700000000000002</v>
      </c>
    </row>
    <row r="1042" spans="1:13" x14ac:dyDescent="0.25">
      <c r="A1042" t="s">
        <v>7987</v>
      </c>
      <c r="B1042">
        <v>67406</v>
      </c>
      <c r="C1042">
        <v>7730951080136</v>
      </c>
      <c r="D1042">
        <v>119.9</v>
      </c>
      <c r="E1042">
        <v>79.819999999999993</v>
      </c>
      <c r="F1042">
        <v>21.88</v>
      </c>
      <c r="G1042">
        <v>52.5974</v>
      </c>
      <c r="H1042">
        <v>0.16700000000000001</v>
      </c>
      <c r="K1042">
        <v>67406</v>
      </c>
      <c r="L1042" t="s">
        <v>7987</v>
      </c>
      <c r="M1042">
        <v>0.1</v>
      </c>
    </row>
    <row r="1043" spans="1:13" x14ac:dyDescent="0.25">
      <c r="A1043" t="s">
        <v>7988</v>
      </c>
      <c r="B1043">
        <v>55048</v>
      </c>
      <c r="C1043">
        <v>7730951080471</v>
      </c>
      <c r="D1043">
        <v>89.72</v>
      </c>
      <c r="E1043">
        <v>63.24</v>
      </c>
      <c r="F1043">
        <v>19.22</v>
      </c>
      <c r="G1043">
        <v>41.747599999999998</v>
      </c>
      <c r="H1043">
        <v>0.53300000000000003</v>
      </c>
      <c r="K1043">
        <v>55048</v>
      </c>
      <c r="L1043" t="s">
        <v>7988</v>
      </c>
      <c r="M1043">
        <v>6.7000000000000004E-2</v>
      </c>
    </row>
    <row r="1044" spans="1:13" x14ac:dyDescent="0.25">
      <c r="A1044" t="s">
        <v>7989</v>
      </c>
      <c r="B1044">
        <v>55049</v>
      </c>
      <c r="C1044">
        <v>7730951080112</v>
      </c>
      <c r="D1044">
        <v>169.9</v>
      </c>
      <c r="E1044">
        <v>80.150000000000006</v>
      </c>
      <c r="F1044">
        <v>34.75</v>
      </c>
      <c r="G1044">
        <v>52.671700000000001</v>
      </c>
      <c r="H1044">
        <v>3.3000000000000002E-2</v>
      </c>
      <c r="K1044">
        <v>55049</v>
      </c>
      <c r="L1044" t="s">
        <v>7989</v>
      </c>
      <c r="M1044">
        <v>3.3000000000000002E-2</v>
      </c>
    </row>
    <row r="1045" spans="1:13" x14ac:dyDescent="0.25">
      <c r="A1045" t="s">
        <v>7990</v>
      </c>
      <c r="B1045">
        <v>55700</v>
      </c>
      <c r="C1045">
        <v>7730951081331</v>
      </c>
      <c r="D1045">
        <v>169.9</v>
      </c>
      <c r="E1045">
        <v>81.760000000000005</v>
      </c>
      <c r="F1045">
        <v>34.29</v>
      </c>
      <c r="G1045">
        <v>53.4557</v>
      </c>
      <c r="H1045">
        <v>3.3000000000000002E-2</v>
      </c>
      <c r="K1045">
        <v>55700</v>
      </c>
      <c r="L1045" t="s">
        <v>7990</v>
      </c>
      <c r="M1045">
        <v>3.3000000000000002E-2</v>
      </c>
    </row>
    <row r="1046" spans="1:13" x14ac:dyDescent="0.25">
      <c r="A1046" t="s">
        <v>7991</v>
      </c>
      <c r="B1046">
        <v>57538</v>
      </c>
      <c r="C1046">
        <v>7730951081324</v>
      </c>
      <c r="D1046">
        <v>169.9</v>
      </c>
      <c r="E1046">
        <v>81.22</v>
      </c>
      <c r="F1046">
        <v>34.19</v>
      </c>
      <c r="G1046">
        <v>53.618099999999998</v>
      </c>
      <c r="H1046">
        <v>0</v>
      </c>
      <c r="K1046">
        <v>57538</v>
      </c>
      <c r="L1046" t="s">
        <v>7991</v>
      </c>
      <c r="M1046">
        <v>0</v>
      </c>
    </row>
    <row r="1047" spans="1:13" x14ac:dyDescent="0.25">
      <c r="A1047" t="s">
        <v>7992</v>
      </c>
      <c r="B1047">
        <v>55050</v>
      </c>
      <c r="C1047">
        <v>7730951080280</v>
      </c>
      <c r="D1047">
        <v>169.9</v>
      </c>
      <c r="E1047">
        <v>80.66</v>
      </c>
      <c r="F1047">
        <v>34.590000000000003</v>
      </c>
      <c r="G1047">
        <v>52.9465</v>
      </c>
      <c r="H1047">
        <v>3.3000000000000002E-2</v>
      </c>
      <c r="K1047">
        <v>55050</v>
      </c>
      <c r="L1047" t="s">
        <v>7992</v>
      </c>
      <c r="M1047">
        <v>3.3000000000000002E-2</v>
      </c>
    </row>
    <row r="1048" spans="1:13" x14ac:dyDescent="0.25">
      <c r="A1048" t="s">
        <v>7993</v>
      </c>
      <c r="B1048">
        <v>55965</v>
      </c>
      <c r="C1048">
        <v>7896196073873</v>
      </c>
      <c r="D1048">
        <v>299.89999999999998</v>
      </c>
      <c r="E1048">
        <v>205.66</v>
      </c>
      <c r="F1048">
        <v>20.82</v>
      </c>
      <c r="G1048">
        <v>134.7422</v>
      </c>
      <c r="H1048">
        <v>0</v>
      </c>
      <c r="K1048">
        <v>55965</v>
      </c>
      <c r="L1048" t="s">
        <v>7993</v>
      </c>
      <c r="M1048">
        <v>0</v>
      </c>
    </row>
    <row r="1049" spans="1:13" x14ac:dyDescent="0.25">
      <c r="A1049" t="s">
        <v>7994</v>
      </c>
      <c r="B1049">
        <v>55963</v>
      </c>
      <c r="C1049">
        <v>7896196068589</v>
      </c>
      <c r="D1049">
        <v>299.89999999999998</v>
      </c>
      <c r="E1049">
        <v>195.86</v>
      </c>
      <c r="F1049">
        <v>23.09</v>
      </c>
      <c r="G1049">
        <v>127.9512</v>
      </c>
      <c r="H1049">
        <v>0</v>
      </c>
      <c r="K1049">
        <v>55963</v>
      </c>
      <c r="L1049" t="s">
        <v>7994</v>
      </c>
      <c r="M1049">
        <v>0</v>
      </c>
    </row>
    <row r="1050" spans="1:13" x14ac:dyDescent="0.25">
      <c r="A1050" t="s">
        <v>7995</v>
      </c>
      <c r="B1050">
        <v>63664</v>
      </c>
      <c r="C1050">
        <v>7898464250320</v>
      </c>
      <c r="D1050">
        <v>49.9</v>
      </c>
      <c r="E1050">
        <v>24.04</v>
      </c>
      <c r="F1050">
        <v>35.840000000000003</v>
      </c>
      <c r="G1050">
        <v>14.927199999999999</v>
      </c>
      <c r="H1050">
        <v>3.3000000000000002E-2</v>
      </c>
      <c r="K1050">
        <v>63664</v>
      </c>
      <c r="L1050" t="s">
        <v>7995</v>
      </c>
      <c r="M1050">
        <v>3.3000000000000002E-2</v>
      </c>
    </row>
    <row r="1051" spans="1:13" x14ac:dyDescent="0.25">
      <c r="A1051" t="s">
        <v>7996</v>
      </c>
      <c r="B1051">
        <v>3015</v>
      </c>
      <c r="C1051">
        <v>7804300010638</v>
      </c>
      <c r="D1051">
        <v>39.9</v>
      </c>
      <c r="E1051">
        <v>21.51</v>
      </c>
      <c r="F1051">
        <v>30.3</v>
      </c>
      <c r="G1051">
        <v>14.145</v>
      </c>
      <c r="H1051">
        <v>0</v>
      </c>
      <c r="K1051">
        <v>3015</v>
      </c>
      <c r="L1051" t="s">
        <v>7996</v>
      </c>
      <c r="M1051">
        <v>0</v>
      </c>
    </row>
    <row r="1052" spans="1:13" x14ac:dyDescent="0.25">
      <c r="A1052" t="s">
        <v>7997</v>
      </c>
      <c r="B1052">
        <v>3017</v>
      </c>
      <c r="C1052">
        <v>7804300122805</v>
      </c>
      <c r="D1052">
        <v>39.9</v>
      </c>
      <c r="E1052">
        <v>21.52</v>
      </c>
      <c r="F1052">
        <v>30.29</v>
      </c>
      <c r="G1052">
        <v>14.150399999999999</v>
      </c>
      <c r="H1052">
        <v>0.56699999999999995</v>
      </c>
      <c r="K1052">
        <v>3017</v>
      </c>
      <c r="L1052" t="s">
        <v>7997</v>
      </c>
      <c r="M1052">
        <v>0.56699999999999995</v>
      </c>
    </row>
    <row r="1053" spans="1:13" x14ac:dyDescent="0.25">
      <c r="A1053" t="s">
        <v>7998</v>
      </c>
      <c r="B1053">
        <v>3019</v>
      </c>
      <c r="C1053">
        <v>7804300120603</v>
      </c>
      <c r="D1053">
        <v>39.9</v>
      </c>
      <c r="E1053">
        <v>21.53</v>
      </c>
      <c r="F1053">
        <v>30.27</v>
      </c>
      <c r="G1053">
        <v>14.156599999999999</v>
      </c>
      <c r="H1053">
        <v>0.73299999999999998</v>
      </c>
      <c r="K1053">
        <v>3019</v>
      </c>
      <c r="L1053" t="s">
        <v>7998</v>
      </c>
      <c r="M1053">
        <v>0.56699999999999995</v>
      </c>
    </row>
    <row r="1054" spans="1:13" x14ac:dyDescent="0.25">
      <c r="A1054" t="s">
        <v>7999</v>
      </c>
      <c r="B1054">
        <v>20423</v>
      </c>
      <c r="C1054">
        <v>7804300010645</v>
      </c>
      <c r="D1054">
        <v>39.9</v>
      </c>
      <c r="E1054">
        <v>22.98</v>
      </c>
      <c r="F1054">
        <v>28</v>
      </c>
      <c r="G1054">
        <v>15.0625</v>
      </c>
      <c r="H1054">
        <v>0.4</v>
      </c>
      <c r="K1054">
        <v>20423</v>
      </c>
      <c r="L1054" t="s">
        <v>7999</v>
      </c>
      <c r="M1054">
        <v>0.4</v>
      </c>
    </row>
    <row r="1055" spans="1:13" x14ac:dyDescent="0.25">
      <c r="A1055" t="s">
        <v>8000</v>
      </c>
      <c r="B1055">
        <v>3021</v>
      </c>
      <c r="C1055">
        <v>5601012045505</v>
      </c>
      <c r="D1055">
        <v>49.9</v>
      </c>
      <c r="E1055">
        <v>25.43</v>
      </c>
      <c r="F1055">
        <v>32.25</v>
      </c>
      <c r="G1055">
        <v>16.7178</v>
      </c>
      <c r="H1055">
        <v>0.26700000000000002</v>
      </c>
      <c r="K1055">
        <v>3021</v>
      </c>
      <c r="L1055" t="s">
        <v>8000</v>
      </c>
      <c r="M1055">
        <v>0.23300000000000001</v>
      </c>
    </row>
    <row r="1056" spans="1:13" x14ac:dyDescent="0.25">
      <c r="A1056" t="s">
        <v>8001</v>
      </c>
      <c r="B1056">
        <v>62141</v>
      </c>
      <c r="C1056">
        <v>3186128064425</v>
      </c>
      <c r="D1056">
        <v>89.9</v>
      </c>
      <c r="E1056">
        <v>70.56</v>
      </c>
      <c r="F1056">
        <v>11.97</v>
      </c>
      <c r="G1056">
        <v>48.351700000000001</v>
      </c>
      <c r="H1056">
        <v>0.5</v>
      </c>
      <c r="K1056">
        <v>62141</v>
      </c>
      <c r="L1056" t="s">
        <v>8001</v>
      </c>
      <c r="M1056">
        <v>6.7000000000000004E-2</v>
      </c>
    </row>
    <row r="1057" spans="1:13" x14ac:dyDescent="0.25">
      <c r="A1057" t="s">
        <v>8002</v>
      </c>
      <c r="B1057">
        <v>62183</v>
      </c>
      <c r="C1057">
        <v>3186128064517</v>
      </c>
      <c r="D1057">
        <v>89.9</v>
      </c>
      <c r="E1057">
        <v>81.23</v>
      </c>
      <c r="F1057">
        <v>2.89</v>
      </c>
      <c r="G1057">
        <v>56.511699999999998</v>
      </c>
      <c r="H1057">
        <v>0.73299999999999998</v>
      </c>
      <c r="K1057">
        <v>62183</v>
      </c>
      <c r="L1057" t="s">
        <v>8002</v>
      </c>
      <c r="M1057">
        <v>0.2</v>
      </c>
    </row>
    <row r="1058" spans="1:13" x14ac:dyDescent="0.25">
      <c r="A1058" t="s">
        <v>8003</v>
      </c>
      <c r="B1058">
        <v>62184</v>
      </c>
      <c r="C1058">
        <v>3186128082948</v>
      </c>
      <c r="D1058">
        <v>89.9</v>
      </c>
      <c r="E1058">
        <v>78.36</v>
      </c>
      <c r="F1058">
        <v>7.44</v>
      </c>
      <c r="G1058">
        <v>52.424599999999998</v>
      </c>
      <c r="H1058">
        <v>0.46700000000000003</v>
      </c>
      <c r="K1058">
        <v>62184</v>
      </c>
      <c r="L1058" t="s">
        <v>8003</v>
      </c>
      <c r="M1058">
        <v>0</v>
      </c>
    </row>
    <row r="1059" spans="1:13" x14ac:dyDescent="0.25">
      <c r="A1059" t="s">
        <v>8004</v>
      </c>
      <c r="B1059">
        <v>60590</v>
      </c>
      <c r="C1059">
        <v>7891141034015</v>
      </c>
      <c r="D1059">
        <v>179.9</v>
      </c>
      <c r="E1059">
        <v>114.37</v>
      </c>
      <c r="F1059">
        <v>22.87</v>
      </c>
      <c r="G1059">
        <v>77.136300000000006</v>
      </c>
      <c r="H1059">
        <v>0</v>
      </c>
      <c r="K1059">
        <v>60590</v>
      </c>
      <c r="L1059" t="s">
        <v>8004</v>
      </c>
      <c r="M1059">
        <v>0</v>
      </c>
    </row>
    <row r="1060" spans="1:13" x14ac:dyDescent="0.25">
      <c r="A1060" t="s">
        <v>8005</v>
      </c>
      <c r="B1060">
        <v>44474</v>
      </c>
      <c r="C1060">
        <v>8412449103778</v>
      </c>
      <c r="D1060">
        <v>199.9</v>
      </c>
      <c r="E1060">
        <v>130.38</v>
      </c>
      <c r="F1060">
        <v>22.9</v>
      </c>
      <c r="G1060">
        <v>85.658799999999999</v>
      </c>
      <c r="H1060">
        <v>3.3000000000000002E-2</v>
      </c>
      <c r="K1060">
        <v>44474</v>
      </c>
      <c r="L1060" t="s">
        <v>8005</v>
      </c>
      <c r="M1060">
        <v>3.3000000000000002E-2</v>
      </c>
    </row>
    <row r="1061" spans="1:13" x14ac:dyDescent="0.25">
      <c r="A1061" t="s">
        <v>8006</v>
      </c>
      <c r="B1061">
        <v>67595</v>
      </c>
      <c r="C1061">
        <v>8410023020237</v>
      </c>
      <c r="D1061">
        <v>199.9</v>
      </c>
      <c r="E1061">
        <v>141.85</v>
      </c>
      <c r="F1061">
        <v>19.09</v>
      </c>
      <c r="G1061">
        <v>93.265000000000001</v>
      </c>
      <c r="H1061">
        <v>0</v>
      </c>
      <c r="K1061">
        <v>67595</v>
      </c>
      <c r="L1061" t="s">
        <v>8006</v>
      </c>
      <c r="M1061">
        <v>0</v>
      </c>
    </row>
    <row r="1062" spans="1:13" x14ac:dyDescent="0.25">
      <c r="A1062" t="s">
        <v>8007</v>
      </c>
      <c r="B1062">
        <v>3023</v>
      </c>
      <c r="C1062">
        <v>5601078005017</v>
      </c>
      <c r="D1062">
        <v>69.900000000000006</v>
      </c>
      <c r="E1062">
        <v>29.39</v>
      </c>
      <c r="F1062">
        <v>38.19</v>
      </c>
      <c r="G1062">
        <v>19.2622</v>
      </c>
      <c r="H1062">
        <v>0.66700000000000004</v>
      </c>
      <c r="K1062">
        <v>3023</v>
      </c>
      <c r="L1062" t="s">
        <v>8007</v>
      </c>
      <c r="M1062">
        <v>0.13300000000000001</v>
      </c>
    </row>
    <row r="1063" spans="1:13" x14ac:dyDescent="0.25">
      <c r="A1063" t="s">
        <v>8008</v>
      </c>
      <c r="B1063">
        <v>68493</v>
      </c>
      <c r="C1063">
        <v>7898620591243</v>
      </c>
      <c r="D1063">
        <v>699.9</v>
      </c>
      <c r="E1063">
        <v>445.58</v>
      </c>
      <c r="F1063">
        <v>23.89</v>
      </c>
      <c r="G1063">
        <v>292.9683</v>
      </c>
      <c r="H1063">
        <v>0</v>
      </c>
      <c r="K1063">
        <v>68493</v>
      </c>
      <c r="L1063" t="s">
        <v>8008</v>
      </c>
      <c r="M1063">
        <v>0</v>
      </c>
    </row>
    <row r="1064" spans="1:13" x14ac:dyDescent="0.25">
      <c r="A1064" t="s">
        <v>8009</v>
      </c>
      <c r="B1064">
        <v>68981</v>
      </c>
      <c r="C1064">
        <v>7898620591663</v>
      </c>
      <c r="D1064">
        <v>199.9</v>
      </c>
      <c r="E1064">
        <v>138.13</v>
      </c>
      <c r="F1064">
        <v>20.32</v>
      </c>
      <c r="G1064">
        <v>90.818600000000004</v>
      </c>
      <c r="H1064">
        <v>0</v>
      </c>
      <c r="K1064">
        <v>68981</v>
      </c>
      <c r="L1064" t="s">
        <v>8009</v>
      </c>
      <c r="M1064">
        <v>0</v>
      </c>
    </row>
    <row r="1065" spans="1:13" x14ac:dyDescent="0.25">
      <c r="A1065" t="s">
        <v>8010</v>
      </c>
      <c r="B1065">
        <v>68383</v>
      </c>
      <c r="C1065">
        <v>7898620591496</v>
      </c>
      <c r="D1065">
        <v>199.9</v>
      </c>
      <c r="E1065">
        <v>124.48</v>
      </c>
      <c r="F1065">
        <v>24.8</v>
      </c>
      <c r="G1065">
        <v>81.849800000000002</v>
      </c>
      <c r="H1065">
        <v>0.26700000000000002</v>
      </c>
      <c r="K1065">
        <v>68383</v>
      </c>
      <c r="L1065" t="s">
        <v>8010</v>
      </c>
      <c r="M1065">
        <v>0</v>
      </c>
    </row>
    <row r="1066" spans="1:13" x14ac:dyDescent="0.25">
      <c r="A1066" t="s">
        <v>8011</v>
      </c>
      <c r="B1066">
        <v>68384</v>
      </c>
      <c r="C1066">
        <v>7898620591502</v>
      </c>
      <c r="D1066">
        <v>289.89999999999998</v>
      </c>
      <c r="E1066">
        <v>177.84</v>
      </c>
      <c r="F1066">
        <v>25.41</v>
      </c>
      <c r="G1066">
        <v>116.9316</v>
      </c>
      <c r="H1066">
        <v>6.7000000000000004E-2</v>
      </c>
      <c r="K1066">
        <v>68384</v>
      </c>
      <c r="L1066" t="s">
        <v>8011</v>
      </c>
      <c r="M1066">
        <v>6.7000000000000004E-2</v>
      </c>
    </row>
    <row r="1067" spans="1:13" x14ac:dyDescent="0.25">
      <c r="A1067" t="s">
        <v>8012</v>
      </c>
      <c r="B1067">
        <v>68492</v>
      </c>
      <c r="C1067">
        <v>7898620591625</v>
      </c>
      <c r="D1067">
        <v>349.9</v>
      </c>
      <c r="E1067">
        <v>221.02</v>
      </c>
      <c r="F1067">
        <v>23.55</v>
      </c>
      <c r="G1067">
        <v>147.66909999999999</v>
      </c>
      <c r="H1067">
        <v>0</v>
      </c>
      <c r="K1067">
        <v>68492</v>
      </c>
      <c r="L1067" t="s">
        <v>8012</v>
      </c>
      <c r="M1067">
        <v>0</v>
      </c>
    </row>
    <row r="1068" spans="1:13" x14ac:dyDescent="0.25">
      <c r="A1068" t="s">
        <v>8013</v>
      </c>
      <c r="B1068">
        <v>68496</v>
      </c>
      <c r="C1068">
        <v>7898620591571</v>
      </c>
      <c r="D1068">
        <v>299.89999999999998</v>
      </c>
      <c r="E1068">
        <v>212.2</v>
      </c>
      <c r="F1068">
        <v>19.23</v>
      </c>
      <c r="G1068">
        <v>139.52269999999999</v>
      </c>
      <c r="H1068">
        <v>0</v>
      </c>
      <c r="K1068">
        <v>68496</v>
      </c>
      <c r="L1068" t="s">
        <v>8013</v>
      </c>
      <c r="M1068">
        <v>0</v>
      </c>
    </row>
    <row r="1069" spans="1:13" x14ac:dyDescent="0.25">
      <c r="A1069" t="s">
        <v>8014</v>
      </c>
      <c r="B1069">
        <v>68385</v>
      </c>
      <c r="C1069">
        <v>7898620591632</v>
      </c>
      <c r="D1069">
        <v>489.9</v>
      </c>
      <c r="E1069">
        <v>322.66000000000003</v>
      </c>
      <c r="F1069">
        <v>22.45</v>
      </c>
      <c r="G1069">
        <v>212.14869999999999</v>
      </c>
      <c r="H1069">
        <v>0</v>
      </c>
      <c r="K1069">
        <v>68385</v>
      </c>
      <c r="L1069" t="s">
        <v>8014</v>
      </c>
      <c r="M1069">
        <v>0</v>
      </c>
    </row>
    <row r="1070" spans="1:13" x14ac:dyDescent="0.25">
      <c r="A1070" t="s">
        <v>8015</v>
      </c>
      <c r="B1070">
        <v>47084</v>
      </c>
      <c r="C1070">
        <v>9311043049217</v>
      </c>
      <c r="D1070">
        <v>69.900000000000006</v>
      </c>
      <c r="E1070">
        <v>48.38</v>
      </c>
      <c r="F1070">
        <v>20.73</v>
      </c>
      <c r="G1070">
        <v>31.466799999999999</v>
      </c>
      <c r="H1070">
        <v>0.23300000000000001</v>
      </c>
      <c r="K1070">
        <v>47084</v>
      </c>
      <c r="L1070" t="s">
        <v>8015</v>
      </c>
      <c r="M1070">
        <v>0.23300000000000001</v>
      </c>
    </row>
    <row r="1071" spans="1:13" x14ac:dyDescent="0.25">
      <c r="A1071" t="s">
        <v>8016</v>
      </c>
      <c r="B1071">
        <v>58383</v>
      </c>
      <c r="C1071">
        <v>5060215330007</v>
      </c>
      <c r="D1071">
        <v>49.9</v>
      </c>
      <c r="E1071">
        <v>33.92</v>
      </c>
      <c r="F1071">
        <v>20.87</v>
      </c>
      <c r="G1071">
        <v>22.394100000000002</v>
      </c>
      <c r="H1071">
        <v>0</v>
      </c>
      <c r="K1071">
        <v>58383</v>
      </c>
      <c r="L1071" t="s">
        <v>8016</v>
      </c>
      <c r="M1071">
        <v>0</v>
      </c>
    </row>
    <row r="1072" spans="1:13" x14ac:dyDescent="0.25">
      <c r="A1072" t="s">
        <v>8017</v>
      </c>
      <c r="B1072">
        <v>58385</v>
      </c>
      <c r="C1072">
        <v>5060215330830</v>
      </c>
      <c r="D1072">
        <v>49.9</v>
      </c>
      <c r="E1072">
        <v>29.56</v>
      </c>
      <c r="F1072">
        <v>26.8</v>
      </c>
      <c r="G1072">
        <v>19.436900000000001</v>
      </c>
      <c r="H1072">
        <v>0</v>
      </c>
      <c r="K1072">
        <v>58385</v>
      </c>
      <c r="L1072" t="s">
        <v>8017</v>
      </c>
      <c r="M1072">
        <v>0</v>
      </c>
    </row>
    <row r="1073" spans="1:13" x14ac:dyDescent="0.25">
      <c r="A1073" t="s">
        <v>8018</v>
      </c>
      <c r="B1073">
        <v>60791</v>
      </c>
      <c r="C1073">
        <v>5600391234210</v>
      </c>
      <c r="D1073">
        <v>99.9</v>
      </c>
      <c r="E1073">
        <v>59.45</v>
      </c>
      <c r="F1073">
        <v>28.06</v>
      </c>
      <c r="G1073">
        <v>37.652999999999999</v>
      </c>
      <c r="H1073">
        <v>0.1</v>
      </c>
      <c r="K1073">
        <v>60791</v>
      </c>
      <c r="L1073" t="s">
        <v>8018</v>
      </c>
      <c r="M1073">
        <v>0.1</v>
      </c>
    </row>
    <row r="1074" spans="1:13" x14ac:dyDescent="0.25">
      <c r="A1074" t="s">
        <v>8019</v>
      </c>
      <c r="B1074">
        <v>57853</v>
      </c>
      <c r="C1074">
        <v>7791843012642</v>
      </c>
      <c r="D1074">
        <v>279.89999999999998</v>
      </c>
      <c r="E1074">
        <v>180.79</v>
      </c>
      <c r="F1074">
        <v>23.28</v>
      </c>
      <c r="G1074">
        <v>118.8715</v>
      </c>
      <c r="H1074">
        <v>0</v>
      </c>
      <c r="K1074">
        <v>57853</v>
      </c>
      <c r="L1074" t="s">
        <v>8019</v>
      </c>
      <c r="M1074">
        <v>0</v>
      </c>
    </row>
    <row r="1075" spans="1:13" x14ac:dyDescent="0.25">
      <c r="A1075" t="s">
        <v>8020</v>
      </c>
      <c r="B1075">
        <v>57852</v>
      </c>
      <c r="C1075">
        <v>7791843015872</v>
      </c>
      <c r="D1075">
        <v>254.9</v>
      </c>
      <c r="E1075">
        <v>174.26</v>
      </c>
      <c r="F1075">
        <v>21.13</v>
      </c>
      <c r="G1075">
        <v>113.7483</v>
      </c>
      <c r="H1075">
        <v>0</v>
      </c>
      <c r="K1075">
        <v>57852</v>
      </c>
      <c r="L1075" t="s">
        <v>8020</v>
      </c>
      <c r="M1075">
        <v>0</v>
      </c>
    </row>
    <row r="1076" spans="1:13" x14ac:dyDescent="0.25">
      <c r="A1076" t="s">
        <v>8021</v>
      </c>
      <c r="B1076">
        <v>62274</v>
      </c>
      <c r="C1076">
        <v>5060215330090</v>
      </c>
      <c r="D1076">
        <v>49.9</v>
      </c>
      <c r="E1076">
        <v>31.7</v>
      </c>
      <c r="F1076">
        <v>24.39</v>
      </c>
      <c r="G1076">
        <v>20.637</v>
      </c>
      <c r="H1076">
        <v>0.16700000000000001</v>
      </c>
      <c r="K1076">
        <v>62274</v>
      </c>
      <c r="L1076" t="s">
        <v>8021</v>
      </c>
      <c r="M1076">
        <v>0.13300000000000001</v>
      </c>
    </row>
    <row r="1077" spans="1:13" x14ac:dyDescent="0.25">
      <c r="A1077" t="s">
        <v>8022</v>
      </c>
      <c r="B1077">
        <v>62275</v>
      </c>
      <c r="C1077">
        <v>5060215330014</v>
      </c>
      <c r="D1077">
        <v>49.9</v>
      </c>
      <c r="E1077">
        <v>34.1</v>
      </c>
      <c r="F1077">
        <v>20.399999999999999</v>
      </c>
      <c r="G1077">
        <v>22.627199999999998</v>
      </c>
      <c r="H1077">
        <v>0.13300000000000001</v>
      </c>
      <c r="K1077">
        <v>62275</v>
      </c>
      <c r="L1077" t="s">
        <v>8022</v>
      </c>
      <c r="M1077">
        <v>0.13300000000000001</v>
      </c>
    </row>
    <row r="1078" spans="1:13" x14ac:dyDescent="0.25">
      <c r="A1078" t="s">
        <v>8023</v>
      </c>
      <c r="B1078">
        <v>23541</v>
      </c>
      <c r="C1078">
        <v>7809623800386</v>
      </c>
      <c r="D1078">
        <v>34.9</v>
      </c>
      <c r="E1078">
        <v>24.62</v>
      </c>
      <c r="F1078">
        <v>20.98</v>
      </c>
      <c r="G1078">
        <v>15.623699999999999</v>
      </c>
      <c r="H1078">
        <v>1.0669999999999999</v>
      </c>
      <c r="K1078">
        <v>23541</v>
      </c>
      <c r="L1078" t="s">
        <v>8023</v>
      </c>
      <c r="M1078">
        <v>0.16700000000000001</v>
      </c>
    </row>
    <row r="1079" spans="1:13" x14ac:dyDescent="0.25">
      <c r="A1079" t="s">
        <v>8024</v>
      </c>
      <c r="B1079">
        <v>23542</v>
      </c>
      <c r="C1079">
        <v>7809623800461</v>
      </c>
      <c r="D1079">
        <v>34.9</v>
      </c>
      <c r="E1079">
        <v>23.34</v>
      </c>
      <c r="F1079">
        <v>22.16</v>
      </c>
      <c r="G1079">
        <v>15.2143</v>
      </c>
      <c r="H1079">
        <v>1.2</v>
      </c>
      <c r="K1079">
        <v>23542</v>
      </c>
      <c r="L1079" t="s">
        <v>8024</v>
      </c>
      <c r="M1079">
        <v>0.16700000000000001</v>
      </c>
    </row>
    <row r="1080" spans="1:13" x14ac:dyDescent="0.25">
      <c r="A1080" t="s">
        <v>8025</v>
      </c>
      <c r="B1080">
        <v>23532</v>
      </c>
      <c r="C1080">
        <v>7809623801697</v>
      </c>
      <c r="D1080">
        <v>89.9</v>
      </c>
      <c r="E1080">
        <v>69.05</v>
      </c>
      <c r="F1080">
        <v>14.95</v>
      </c>
      <c r="G1080">
        <v>45.669600000000003</v>
      </c>
      <c r="H1080">
        <v>0.26700000000000002</v>
      </c>
      <c r="K1080">
        <v>23532</v>
      </c>
      <c r="L1080" t="s">
        <v>8025</v>
      </c>
      <c r="M1080">
        <v>0</v>
      </c>
    </row>
    <row r="1081" spans="1:13" x14ac:dyDescent="0.25">
      <c r="A1081" t="s">
        <v>8026</v>
      </c>
      <c r="B1081">
        <v>23534</v>
      </c>
      <c r="C1081">
        <v>7809623800591</v>
      </c>
      <c r="D1081">
        <v>89.9</v>
      </c>
      <c r="E1081">
        <v>69.91</v>
      </c>
      <c r="F1081">
        <v>14.61</v>
      </c>
      <c r="G1081">
        <v>45.973599999999998</v>
      </c>
      <c r="H1081">
        <v>0.3</v>
      </c>
      <c r="K1081">
        <v>23534</v>
      </c>
      <c r="L1081" t="s">
        <v>8026</v>
      </c>
      <c r="M1081">
        <v>0.1</v>
      </c>
    </row>
    <row r="1082" spans="1:13" x14ac:dyDescent="0.25">
      <c r="A1082" t="s">
        <v>8027</v>
      </c>
      <c r="B1082">
        <v>23536</v>
      </c>
      <c r="C1082">
        <v>7809623801338</v>
      </c>
      <c r="D1082">
        <v>89.9</v>
      </c>
      <c r="E1082">
        <v>69.09</v>
      </c>
      <c r="F1082">
        <v>15.22</v>
      </c>
      <c r="G1082">
        <v>45.426499999999997</v>
      </c>
      <c r="H1082">
        <v>0.7</v>
      </c>
      <c r="K1082">
        <v>23536</v>
      </c>
      <c r="L1082" t="s">
        <v>8027</v>
      </c>
      <c r="M1082">
        <v>0</v>
      </c>
    </row>
    <row r="1083" spans="1:13" x14ac:dyDescent="0.25">
      <c r="A1083" t="s">
        <v>8028</v>
      </c>
      <c r="B1083">
        <v>23544</v>
      </c>
      <c r="C1083">
        <v>7809623800478</v>
      </c>
      <c r="D1083">
        <v>34.9</v>
      </c>
      <c r="E1083">
        <v>24.5</v>
      </c>
      <c r="F1083">
        <v>20.38</v>
      </c>
      <c r="G1083">
        <v>15.8347</v>
      </c>
      <c r="H1083">
        <v>0.83299999999999996</v>
      </c>
      <c r="K1083">
        <v>23544</v>
      </c>
      <c r="L1083" t="s">
        <v>8028</v>
      </c>
      <c r="M1083">
        <v>6.7000000000000004E-2</v>
      </c>
    </row>
    <row r="1084" spans="1:13" x14ac:dyDescent="0.25">
      <c r="A1084" t="s">
        <v>8029</v>
      </c>
      <c r="B1084">
        <v>23545</v>
      </c>
      <c r="C1084">
        <v>7809623801253</v>
      </c>
      <c r="D1084">
        <v>34.9</v>
      </c>
      <c r="E1084">
        <v>25.1</v>
      </c>
      <c r="F1084">
        <v>19.16</v>
      </c>
      <c r="G1084">
        <v>16.259399999999999</v>
      </c>
      <c r="H1084">
        <v>1.3</v>
      </c>
      <c r="K1084">
        <v>23545</v>
      </c>
      <c r="L1084" t="s">
        <v>8029</v>
      </c>
      <c r="M1084">
        <v>0.36699999999999999</v>
      </c>
    </row>
    <row r="1085" spans="1:13" x14ac:dyDescent="0.25">
      <c r="A1085" t="s">
        <v>8030</v>
      </c>
      <c r="B1085">
        <v>63960</v>
      </c>
      <c r="C1085">
        <v>7809623805824</v>
      </c>
      <c r="D1085">
        <v>99.9</v>
      </c>
      <c r="E1085">
        <v>53.48</v>
      </c>
      <c r="F1085">
        <v>30.55</v>
      </c>
      <c r="G1085">
        <v>35.160699999999999</v>
      </c>
      <c r="H1085">
        <v>0</v>
      </c>
      <c r="K1085">
        <v>63960</v>
      </c>
      <c r="L1085" t="s">
        <v>8030</v>
      </c>
      <c r="M1085">
        <v>0</v>
      </c>
    </row>
    <row r="1086" spans="1:13" x14ac:dyDescent="0.25">
      <c r="A1086" t="s">
        <v>8031</v>
      </c>
      <c r="B1086">
        <v>23540</v>
      </c>
      <c r="C1086">
        <v>7809623800485</v>
      </c>
      <c r="D1086">
        <v>34.9</v>
      </c>
      <c r="E1086">
        <v>25.75</v>
      </c>
      <c r="F1086">
        <v>18.93</v>
      </c>
      <c r="G1086">
        <v>16.341699999999999</v>
      </c>
      <c r="H1086">
        <v>1.367</v>
      </c>
      <c r="K1086">
        <v>23540</v>
      </c>
      <c r="L1086" t="s">
        <v>8031</v>
      </c>
      <c r="M1086">
        <v>0.4</v>
      </c>
    </row>
    <row r="1087" spans="1:13" x14ac:dyDescent="0.25">
      <c r="A1087" t="s">
        <v>8032</v>
      </c>
      <c r="B1087">
        <v>68753</v>
      </c>
      <c r="C1087">
        <v>5600251579383</v>
      </c>
      <c r="D1087">
        <v>39.9</v>
      </c>
      <c r="E1087">
        <v>25.37</v>
      </c>
      <c r="F1087">
        <v>23.96</v>
      </c>
      <c r="G1087">
        <v>16.675999999999998</v>
      </c>
      <c r="H1087">
        <v>2.4</v>
      </c>
      <c r="K1087">
        <v>68753</v>
      </c>
      <c r="L1087" t="s">
        <v>8032</v>
      </c>
      <c r="M1087">
        <v>0.33300000000000002</v>
      </c>
    </row>
    <row r="1088" spans="1:13" x14ac:dyDescent="0.25">
      <c r="A1088" t="s">
        <v>8033</v>
      </c>
      <c r="B1088">
        <v>56968</v>
      </c>
      <c r="C1088">
        <v>7791540044373</v>
      </c>
      <c r="D1088">
        <v>48.13</v>
      </c>
      <c r="E1088">
        <v>25.38</v>
      </c>
      <c r="F1088">
        <v>31.13</v>
      </c>
      <c r="G1088">
        <v>16.663</v>
      </c>
      <c r="H1088">
        <v>0.3</v>
      </c>
      <c r="K1088">
        <v>56968</v>
      </c>
      <c r="L1088" t="s">
        <v>8033</v>
      </c>
      <c r="M1088">
        <v>3.3000000000000002E-2</v>
      </c>
    </row>
    <row r="1089" spans="1:13" x14ac:dyDescent="0.25">
      <c r="A1089" t="s">
        <v>8034</v>
      </c>
      <c r="B1089">
        <v>56962</v>
      </c>
      <c r="C1089">
        <v>7791540092046</v>
      </c>
      <c r="D1089">
        <v>37.94</v>
      </c>
      <c r="E1089">
        <v>27.42</v>
      </c>
      <c r="F1089">
        <v>19.899999999999999</v>
      </c>
      <c r="G1089">
        <v>17.394100000000002</v>
      </c>
      <c r="H1089">
        <v>0.4</v>
      </c>
      <c r="K1089">
        <v>56962</v>
      </c>
      <c r="L1089" t="s">
        <v>8034</v>
      </c>
      <c r="M1089">
        <v>3.3000000000000002E-2</v>
      </c>
    </row>
    <row r="1090" spans="1:13" x14ac:dyDescent="0.25">
      <c r="A1090" t="s">
        <v>8035</v>
      </c>
      <c r="B1090">
        <v>67944</v>
      </c>
      <c r="C1090">
        <v>7804407001812</v>
      </c>
      <c r="D1090">
        <v>199.9</v>
      </c>
      <c r="E1090">
        <v>140.6</v>
      </c>
      <c r="F1090">
        <v>25.96</v>
      </c>
      <c r="G1090">
        <v>79.531800000000004</v>
      </c>
      <c r="H1090">
        <v>6.7000000000000004E-2</v>
      </c>
      <c r="K1090">
        <v>67944</v>
      </c>
      <c r="L1090" t="s">
        <v>8035</v>
      </c>
      <c r="M1090">
        <v>6.7000000000000004E-2</v>
      </c>
    </row>
    <row r="1091" spans="1:13" x14ac:dyDescent="0.25">
      <c r="A1091" t="s">
        <v>8036</v>
      </c>
      <c r="B1091">
        <v>64124</v>
      </c>
      <c r="C1091">
        <v>8423302111113</v>
      </c>
      <c r="D1091">
        <v>186.73</v>
      </c>
      <c r="E1091">
        <v>109.83</v>
      </c>
      <c r="F1091">
        <v>27.15</v>
      </c>
      <c r="G1091">
        <v>72.085499999999996</v>
      </c>
      <c r="H1091">
        <v>0.2</v>
      </c>
      <c r="K1091">
        <v>64124</v>
      </c>
      <c r="L1091" t="s">
        <v>8036</v>
      </c>
      <c r="M1091">
        <v>0</v>
      </c>
    </row>
    <row r="1092" spans="1:13" x14ac:dyDescent="0.25">
      <c r="A1092" t="s">
        <v>8037</v>
      </c>
      <c r="B1092">
        <v>64561</v>
      </c>
      <c r="C1092">
        <v>9300727014757</v>
      </c>
      <c r="D1092">
        <v>79.900000000000006</v>
      </c>
      <c r="E1092">
        <v>52.18</v>
      </c>
      <c r="F1092">
        <v>22.81</v>
      </c>
      <c r="G1092">
        <v>34.305999999999997</v>
      </c>
      <c r="H1092">
        <v>0</v>
      </c>
      <c r="K1092">
        <v>64561</v>
      </c>
      <c r="L1092" t="s">
        <v>8037</v>
      </c>
      <c r="M1092">
        <v>0</v>
      </c>
    </row>
    <row r="1093" spans="1:13" x14ac:dyDescent="0.25">
      <c r="A1093" t="s">
        <v>8038</v>
      </c>
      <c r="B1093">
        <v>29793</v>
      </c>
      <c r="C1093">
        <v>9300727014740</v>
      </c>
      <c r="D1093">
        <v>79.900000000000006</v>
      </c>
      <c r="E1093">
        <v>50.72</v>
      </c>
      <c r="F1093">
        <v>24.01</v>
      </c>
      <c r="G1093">
        <v>33.350700000000003</v>
      </c>
      <c r="H1093">
        <v>0.1</v>
      </c>
      <c r="K1093">
        <v>29793</v>
      </c>
      <c r="L1093" t="s">
        <v>8038</v>
      </c>
      <c r="M1093">
        <v>0</v>
      </c>
    </row>
    <row r="1094" spans="1:13" x14ac:dyDescent="0.25">
      <c r="A1094" t="s">
        <v>8039</v>
      </c>
      <c r="B1094">
        <v>59151</v>
      </c>
      <c r="C1094">
        <v>9300727406453</v>
      </c>
      <c r="D1094">
        <v>89.9</v>
      </c>
      <c r="E1094">
        <v>50.98</v>
      </c>
      <c r="F1094">
        <v>28.51</v>
      </c>
      <c r="G1094">
        <v>33.478700000000003</v>
      </c>
      <c r="H1094">
        <v>0.1</v>
      </c>
      <c r="K1094">
        <v>59151</v>
      </c>
      <c r="L1094" t="s">
        <v>8039</v>
      </c>
      <c r="M1094">
        <v>3.3000000000000002E-2</v>
      </c>
    </row>
    <row r="1095" spans="1:13" x14ac:dyDescent="0.25">
      <c r="A1095" t="s">
        <v>8040</v>
      </c>
      <c r="B1095">
        <v>20822</v>
      </c>
      <c r="C1095">
        <v>9300727453532</v>
      </c>
      <c r="D1095">
        <v>79.900000000000006</v>
      </c>
      <c r="E1095">
        <v>61.48</v>
      </c>
      <c r="F1095">
        <v>14.23</v>
      </c>
      <c r="G1095">
        <v>41.164200000000001</v>
      </c>
      <c r="H1095">
        <v>0.16700000000000001</v>
      </c>
      <c r="K1095">
        <v>20822</v>
      </c>
      <c r="L1095" t="s">
        <v>8040</v>
      </c>
      <c r="M1095">
        <v>0</v>
      </c>
    </row>
    <row r="1096" spans="1:13" x14ac:dyDescent="0.25">
      <c r="A1096" t="s">
        <v>8041</v>
      </c>
      <c r="B1096">
        <v>35670</v>
      </c>
      <c r="C1096">
        <v>8410023000031</v>
      </c>
      <c r="D1096">
        <v>219.9</v>
      </c>
      <c r="E1096">
        <v>140.65</v>
      </c>
      <c r="F1096">
        <v>23.69</v>
      </c>
      <c r="G1096">
        <v>92.48</v>
      </c>
      <c r="H1096">
        <v>0</v>
      </c>
      <c r="K1096">
        <v>35670</v>
      </c>
      <c r="L1096" t="s">
        <v>8041</v>
      </c>
      <c r="M1096">
        <v>0</v>
      </c>
    </row>
    <row r="1097" spans="1:13" x14ac:dyDescent="0.25">
      <c r="A1097" t="s">
        <v>8042</v>
      </c>
      <c r="B1097">
        <v>54557</v>
      </c>
      <c r="C1097">
        <v>5601237241225</v>
      </c>
      <c r="D1097">
        <v>59.9</v>
      </c>
      <c r="E1097">
        <v>24.45</v>
      </c>
      <c r="F1097">
        <v>38.58</v>
      </c>
      <c r="G1097">
        <v>16.2759</v>
      </c>
      <c r="H1097">
        <v>13.8</v>
      </c>
      <c r="K1097">
        <v>54557</v>
      </c>
      <c r="L1097" t="s">
        <v>8042</v>
      </c>
      <c r="M1097">
        <v>0.53300000000000003</v>
      </c>
    </row>
    <row r="1098" spans="1:13" x14ac:dyDescent="0.25">
      <c r="A1098" t="s">
        <v>8043</v>
      </c>
      <c r="B1098">
        <v>63119</v>
      </c>
      <c r="C1098">
        <v>5601237400257</v>
      </c>
      <c r="D1098">
        <v>59.9</v>
      </c>
      <c r="E1098">
        <v>25.66</v>
      </c>
      <c r="F1098">
        <v>37.56</v>
      </c>
      <c r="G1098">
        <v>16.8874</v>
      </c>
      <c r="H1098">
        <v>2.2999999999999998</v>
      </c>
      <c r="K1098">
        <v>63119</v>
      </c>
      <c r="L1098" t="s">
        <v>8043</v>
      </c>
      <c r="M1098">
        <v>0.23300000000000001</v>
      </c>
    </row>
    <row r="1099" spans="1:13" x14ac:dyDescent="0.25">
      <c r="A1099" t="s">
        <v>8044</v>
      </c>
      <c r="B1099">
        <v>2991</v>
      </c>
      <c r="C1099">
        <v>3263289998520</v>
      </c>
      <c r="D1099">
        <v>99.9</v>
      </c>
      <c r="E1099">
        <v>66.17</v>
      </c>
      <c r="F1099">
        <v>22.2</v>
      </c>
      <c r="G1099">
        <v>43.508499999999998</v>
      </c>
      <c r="H1099">
        <v>0</v>
      </c>
      <c r="K1099">
        <v>2991</v>
      </c>
      <c r="L1099" t="s">
        <v>8044</v>
      </c>
      <c r="M1099">
        <v>0</v>
      </c>
    </row>
    <row r="1100" spans="1:13" x14ac:dyDescent="0.25">
      <c r="A1100" t="s">
        <v>8045</v>
      </c>
      <c r="B1100">
        <v>29988</v>
      </c>
      <c r="C1100">
        <v>7798127630226</v>
      </c>
      <c r="D1100">
        <v>549.9</v>
      </c>
      <c r="E1100">
        <v>384.83</v>
      </c>
      <c r="F1100">
        <v>19.73</v>
      </c>
      <c r="G1100">
        <v>253.0796</v>
      </c>
      <c r="H1100">
        <v>3.3000000000000002E-2</v>
      </c>
      <c r="K1100">
        <v>29988</v>
      </c>
      <c r="L1100" t="s">
        <v>8045</v>
      </c>
      <c r="M1100">
        <v>3.3000000000000002E-2</v>
      </c>
    </row>
    <row r="1101" spans="1:13" x14ac:dyDescent="0.25">
      <c r="A1101" t="s">
        <v>8046</v>
      </c>
      <c r="B1101">
        <v>60208</v>
      </c>
      <c r="C1101">
        <v>7804303001640</v>
      </c>
      <c r="D1101">
        <v>79.900000000000006</v>
      </c>
      <c r="E1101">
        <v>50.1</v>
      </c>
      <c r="F1101">
        <v>24.49</v>
      </c>
      <c r="G1101">
        <v>32.964700000000001</v>
      </c>
      <c r="H1101">
        <v>0</v>
      </c>
      <c r="K1101">
        <v>60208</v>
      </c>
      <c r="L1101" t="s">
        <v>8046</v>
      </c>
      <c r="M1101">
        <v>0</v>
      </c>
    </row>
    <row r="1102" spans="1:13" x14ac:dyDescent="0.25">
      <c r="A1102" t="s">
        <v>8047</v>
      </c>
      <c r="B1102">
        <v>65076</v>
      </c>
      <c r="C1102">
        <v>9318094140504</v>
      </c>
      <c r="D1102">
        <v>129.9</v>
      </c>
      <c r="E1102">
        <v>80.849999999999994</v>
      </c>
      <c r="F1102">
        <v>24.83</v>
      </c>
      <c r="G1102">
        <v>53.159399999999998</v>
      </c>
      <c r="H1102">
        <v>0</v>
      </c>
      <c r="K1102">
        <v>65076</v>
      </c>
      <c r="L1102" t="s">
        <v>8047</v>
      </c>
      <c r="M1102">
        <v>0</v>
      </c>
    </row>
    <row r="1103" spans="1:13" x14ac:dyDescent="0.25">
      <c r="A1103" t="s">
        <v>8048</v>
      </c>
      <c r="B1103">
        <v>65075</v>
      </c>
      <c r="C1103">
        <v>9318094140511</v>
      </c>
      <c r="D1103">
        <v>129.9</v>
      </c>
      <c r="E1103">
        <v>80.849999999999994</v>
      </c>
      <c r="F1103">
        <v>24.83</v>
      </c>
      <c r="G1103">
        <v>53.159799999999997</v>
      </c>
      <c r="H1103">
        <v>0</v>
      </c>
      <c r="K1103">
        <v>65075</v>
      </c>
      <c r="L1103" t="s">
        <v>8048</v>
      </c>
      <c r="M1103">
        <v>0</v>
      </c>
    </row>
    <row r="1104" spans="1:13" x14ac:dyDescent="0.25">
      <c r="A1104" t="s">
        <v>8049</v>
      </c>
      <c r="B1104">
        <v>64858</v>
      </c>
      <c r="C1104">
        <v>6008561000440</v>
      </c>
      <c r="D1104">
        <v>89.9</v>
      </c>
      <c r="E1104">
        <v>55.58</v>
      </c>
      <c r="F1104">
        <v>25.1</v>
      </c>
      <c r="G1104">
        <v>36.5428</v>
      </c>
      <c r="H1104">
        <v>3.3000000000000002E-2</v>
      </c>
      <c r="K1104">
        <v>64858</v>
      </c>
      <c r="L1104" t="s">
        <v>8049</v>
      </c>
      <c r="M1104">
        <v>3.3000000000000002E-2</v>
      </c>
    </row>
    <row r="1105" spans="1:13" x14ac:dyDescent="0.25">
      <c r="A1105" t="s">
        <v>8050</v>
      </c>
      <c r="B1105">
        <v>64872</v>
      </c>
      <c r="C1105">
        <v>3831002404223</v>
      </c>
      <c r="D1105">
        <v>119.9</v>
      </c>
      <c r="E1105">
        <v>74.36</v>
      </c>
      <c r="F1105">
        <v>24.97</v>
      </c>
      <c r="G1105">
        <v>48.891599999999997</v>
      </c>
      <c r="H1105">
        <v>3.3000000000000002E-2</v>
      </c>
      <c r="K1105">
        <v>64872</v>
      </c>
      <c r="L1105" t="s">
        <v>8050</v>
      </c>
      <c r="M1105">
        <v>3.3000000000000002E-2</v>
      </c>
    </row>
    <row r="1106" spans="1:13" x14ac:dyDescent="0.25">
      <c r="A1106" t="s">
        <v>8051</v>
      </c>
      <c r="B1106">
        <v>65305</v>
      </c>
      <c r="C1106">
        <v>5010134916684</v>
      </c>
      <c r="D1106">
        <v>64.900000000000006</v>
      </c>
      <c r="E1106">
        <v>42.84</v>
      </c>
      <c r="F1106">
        <v>22.34</v>
      </c>
      <c r="G1106">
        <v>28.1708</v>
      </c>
      <c r="H1106">
        <v>0.26700000000000002</v>
      </c>
      <c r="K1106">
        <v>65305</v>
      </c>
      <c r="L1106" t="s">
        <v>8051</v>
      </c>
      <c r="M1106">
        <v>0</v>
      </c>
    </row>
    <row r="1107" spans="1:13" x14ac:dyDescent="0.25">
      <c r="A1107" t="s">
        <v>8052</v>
      </c>
      <c r="B1107">
        <v>65304</v>
      </c>
      <c r="C1107">
        <v>5010134916677</v>
      </c>
      <c r="D1107">
        <v>64.900000000000006</v>
      </c>
      <c r="E1107">
        <v>42.84</v>
      </c>
      <c r="F1107">
        <v>22.34</v>
      </c>
      <c r="G1107">
        <v>28.1708</v>
      </c>
      <c r="H1107">
        <v>0.33300000000000002</v>
      </c>
      <c r="K1107">
        <v>65304</v>
      </c>
      <c r="L1107" t="s">
        <v>8052</v>
      </c>
      <c r="M1107">
        <v>0</v>
      </c>
    </row>
    <row r="1108" spans="1:13" x14ac:dyDescent="0.25">
      <c r="A1108" t="s">
        <v>8053</v>
      </c>
      <c r="B1108">
        <v>67489</v>
      </c>
      <c r="C1108">
        <v>7798141877027</v>
      </c>
      <c r="D1108">
        <v>79.900000000000006</v>
      </c>
      <c r="E1108">
        <v>51.91</v>
      </c>
      <c r="F1108">
        <v>23.03</v>
      </c>
      <c r="G1108">
        <v>34.129600000000003</v>
      </c>
      <c r="H1108">
        <v>0.13300000000000001</v>
      </c>
      <c r="K1108">
        <v>67489</v>
      </c>
      <c r="L1108" t="s">
        <v>8053</v>
      </c>
      <c r="M1108">
        <v>0.13300000000000001</v>
      </c>
    </row>
    <row r="1109" spans="1:13" x14ac:dyDescent="0.25">
      <c r="A1109" t="s">
        <v>8054</v>
      </c>
      <c r="B1109">
        <v>67490</v>
      </c>
      <c r="C1109">
        <v>7798141877058</v>
      </c>
      <c r="D1109">
        <v>79.900000000000006</v>
      </c>
      <c r="E1109">
        <v>51.91</v>
      </c>
      <c r="F1109">
        <v>23.03</v>
      </c>
      <c r="G1109">
        <v>34.130699999999997</v>
      </c>
      <c r="H1109">
        <v>0</v>
      </c>
      <c r="K1109">
        <v>67490</v>
      </c>
      <c r="L1109" t="s">
        <v>8054</v>
      </c>
      <c r="M1109">
        <v>0</v>
      </c>
    </row>
    <row r="1110" spans="1:13" x14ac:dyDescent="0.25">
      <c r="A1110" t="s">
        <v>8055</v>
      </c>
      <c r="B1110">
        <v>67491</v>
      </c>
      <c r="C1110">
        <v>7798141877089</v>
      </c>
      <c r="D1110">
        <v>79.900000000000006</v>
      </c>
      <c r="E1110">
        <v>51.91</v>
      </c>
      <c r="F1110">
        <v>23.03</v>
      </c>
      <c r="G1110">
        <v>34.132100000000001</v>
      </c>
      <c r="H1110">
        <v>6.7000000000000004E-2</v>
      </c>
      <c r="K1110">
        <v>67491</v>
      </c>
      <c r="L1110" t="s">
        <v>8055</v>
      </c>
      <c r="M1110">
        <v>3.3000000000000002E-2</v>
      </c>
    </row>
    <row r="1111" spans="1:13" x14ac:dyDescent="0.25">
      <c r="A1111" t="s">
        <v>8056</v>
      </c>
      <c r="B1111">
        <v>62340</v>
      </c>
      <c r="C1111">
        <v>1000000000894</v>
      </c>
      <c r="D1111">
        <v>599.9</v>
      </c>
      <c r="E1111">
        <v>436.9</v>
      </c>
      <c r="F1111">
        <v>17.87</v>
      </c>
      <c r="G1111">
        <v>287.25810000000001</v>
      </c>
      <c r="H1111">
        <v>0</v>
      </c>
      <c r="K1111">
        <v>62340</v>
      </c>
      <c r="L1111" t="s">
        <v>8056</v>
      </c>
      <c r="M1111">
        <v>0</v>
      </c>
    </row>
    <row r="1112" spans="1:13" x14ac:dyDescent="0.25">
      <c r="A1112" t="s">
        <v>8057</v>
      </c>
      <c r="B1112">
        <v>62317</v>
      </c>
      <c r="C1112">
        <v>3760175853487</v>
      </c>
      <c r="D1112">
        <v>289.89999999999998</v>
      </c>
      <c r="E1112">
        <v>196.43</v>
      </c>
      <c r="F1112">
        <v>21.2</v>
      </c>
      <c r="G1112">
        <v>129.15</v>
      </c>
      <c r="H1112">
        <v>0</v>
      </c>
      <c r="K1112">
        <v>62317</v>
      </c>
      <c r="L1112" t="s">
        <v>8057</v>
      </c>
      <c r="M1112">
        <v>0</v>
      </c>
    </row>
    <row r="1113" spans="1:13" x14ac:dyDescent="0.25">
      <c r="A1113" t="s">
        <v>8058</v>
      </c>
      <c r="B1113">
        <v>68436</v>
      </c>
      <c r="C1113">
        <v>7791203003372</v>
      </c>
      <c r="D1113">
        <v>69.900000000000006</v>
      </c>
      <c r="E1113">
        <v>0</v>
      </c>
      <c r="F1113">
        <v>65.75</v>
      </c>
      <c r="G1113">
        <v>0</v>
      </c>
      <c r="H1113">
        <v>0.1</v>
      </c>
      <c r="K1113">
        <v>68436</v>
      </c>
      <c r="L1113" t="s">
        <v>8058</v>
      </c>
      <c r="M1113">
        <v>6.7000000000000004E-2</v>
      </c>
    </row>
    <row r="1114" spans="1:13" x14ac:dyDescent="0.25">
      <c r="A1114" t="s">
        <v>8059</v>
      </c>
      <c r="B1114">
        <v>69694</v>
      </c>
      <c r="C1114">
        <v>8032758282232</v>
      </c>
      <c r="D1114">
        <v>49.9</v>
      </c>
      <c r="E1114">
        <v>28.35</v>
      </c>
      <c r="F1114">
        <v>28.39</v>
      </c>
      <c r="G1114">
        <v>18.640599999999999</v>
      </c>
      <c r="H1114">
        <v>3.4670000000000001</v>
      </c>
      <c r="K1114">
        <v>69694</v>
      </c>
      <c r="L1114" t="s">
        <v>8059</v>
      </c>
      <c r="M1114">
        <v>3.4670000000000001</v>
      </c>
    </row>
    <row r="1115" spans="1:13" x14ac:dyDescent="0.25">
      <c r="A1115" t="s">
        <v>8060</v>
      </c>
      <c r="B1115">
        <v>29319</v>
      </c>
      <c r="C1115">
        <v>8059916710062</v>
      </c>
      <c r="D1115">
        <v>49.9</v>
      </c>
      <c r="E1115">
        <v>28.35</v>
      </c>
      <c r="F1115">
        <v>28.39</v>
      </c>
      <c r="G1115">
        <v>18.640599999999999</v>
      </c>
      <c r="H1115">
        <v>1.1000000000000001</v>
      </c>
      <c r="K1115">
        <v>29319</v>
      </c>
      <c r="L1115" t="s">
        <v>8060</v>
      </c>
      <c r="M1115">
        <v>1.1000000000000001</v>
      </c>
    </row>
    <row r="1116" spans="1:13" x14ac:dyDescent="0.25">
      <c r="A1116" t="s">
        <v>8061</v>
      </c>
      <c r="B1116">
        <v>60190</v>
      </c>
      <c r="C1116">
        <v>8413529851039</v>
      </c>
      <c r="D1116">
        <v>389.9</v>
      </c>
      <c r="E1116">
        <v>233.41</v>
      </c>
      <c r="F1116">
        <v>26.39</v>
      </c>
      <c r="G1116">
        <v>153.47</v>
      </c>
      <c r="H1116">
        <v>0</v>
      </c>
      <c r="K1116">
        <v>60190</v>
      </c>
      <c r="L1116" t="s">
        <v>8061</v>
      </c>
      <c r="M1116">
        <v>0</v>
      </c>
    </row>
    <row r="1117" spans="1:13" x14ac:dyDescent="0.25">
      <c r="A1117" t="s">
        <v>8062</v>
      </c>
      <c r="B1117">
        <v>60965</v>
      </c>
      <c r="C1117">
        <v>5942093007977</v>
      </c>
      <c r="D1117">
        <v>54.9</v>
      </c>
      <c r="E1117">
        <v>37.64</v>
      </c>
      <c r="F1117">
        <v>20.74</v>
      </c>
      <c r="G1117">
        <v>24.7105</v>
      </c>
      <c r="H1117">
        <v>6.7000000000000004E-2</v>
      </c>
      <c r="K1117">
        <v>60965</v>
      </c>
      <c r="L1117" t="s">
        <v>8062</v>
      </c>
      <c r="M1117">
        <v>6.7000000000000004E-2</v>
      </c>
    </row>
    <row r="1118" spans="1:13" x14ac:dyDescent="0.25">
      <c r="A1118" t="s">
        <v>8063</v>
      </c>
      <c r="B1118">
        <v>60968</v>
      </c>
      <c r="C1118">
        <v>5942093007557</v>
      </c>
      <c r="D1118">
        <v>54.9</v>
      </c>
      <c r="E1118">
        <v>38.090000000000003</v>
      </c>
      <c r="F1118">
        <v>20.37</v>
      </c>
      <c r="G1118">
        <v>24.912299999999998</v>
      </c>
      <c r="H1118">
        <v>0</v>
      </c>
      <c r="K1118">
        <v>60968</v>
      </c>
      <c r="L1118" t="s">
        <v>8063</v>
      </c>
      <c r="M1118">
        <v>0</v>
      </c>
    </row>
    <row r="1119" spans="1:13" x14ac:dyDescent="0.25">
      <c r="A1119" t="s">
        <v>8064</v>
      </c>
      <c r="B1119">
        <v>62329</v>
      </c>
      <c r="C1119">
        <v>1000000000887</v>
      </c>
      <c r="D1119">
        <v>299.89999999999998</v>
      </c>
      <c r="E1119">
        <v>201.04</v>
      </c>
      <c r="F1119">
        <v>21.91</v>
      </c>
      <c r="G1119">
        <v>131.46260000000001</v>
      </c>
      <c r="H1119">
        <v>0</v>
      </c>
      <c r="K1119">
        <v>62329</v>
      </c>
      <c r="L1119" t="s">
        <v>8064</v>
      </c>
      <c r="M1119">
        <v>0</v>
      </c>
    </row>
    <row r="1120" spans="1:13" x14ac:dyDescent="0.25">
      <c r="A1120" t="s">
        <v>8065</v>
      </c>
      <c r="B1120">
        <v>64438</v>
      </c>
      <c r="C1120">
        <v>5606469001210</v>
      </c>
      <c r="D1120">
        <v>48.29</v>
      </c>
      <c r="E1120">
        <v>20.22</v>
      </c>
      <c r="F1120">
        <v>38.32</v>
      </c>
      <c r="G1120">
        <v>13.2468</v>
      </c>
      <c r="H1120">
        <v>5.6669999999999998</v>
      </c>
      <c r="K1120">
        <v>64438</v>
      </c>
      <c r="L1120" t="s">
        <v>8065</v>
      </c>
      <c r="M1120">
        <v>0.3</v>
      </c>
    </row>
    <row r="1121" spans="1:13" x14ac:dyDescent="0.25">
      <c r="A1121" t="s">
        <v>8066</v>
      </c>
      <c r="B1121">
        <v>64437</v>
      </c>
      <c r="C1121">
        <v>5606469001234</v>
      </c>
      <c r="D1121">
        <v>46.59</v>
      </c>
      <c r="E1121">
        <v>20.5</v>
      </c>
      <c r="F1121">
        <v>37.32</v>
      </c>
      <c r="G1121">
        <v>13.244199999999999</v>
      </c>
      <c r="H1121">
        <v>3.8</v>
      </c>
      <c r="K1121">
        <v>64437</v>
      </c>
      <c r="L1121" t="s">
        <v>8066</v>
      </c>
      <c r="M1121">
        <v>0.36699999999999999</v>
      </c>
    </row>
    <row r="1122" spans="1:13" x14ac:dyDescent="0.25">
      <c r="A1122" t="s">
        <v>8067</v>
      </c>
      <c r="B1122">
        <v>3145</v>
      </c>
      <c r="C1122">
        <v>8001929136377</v>
      </c>
      <c r="D1122">
        <v>54.9</v>
      </c>
      <c r="E1122">
        <v>33.78</v>
      </c>
      <c r="F1122">
        <v>25.08</v>
      </c>
      <c r="G1122">
        <v>22.327999999999999</v>
      </c>
      <c r="H1122">
        <v>0.63300000000000001</v>
      </c>
      <c r="K1122">
        <v>3145</v>
      </c>
      <c r="L1122" t="s">
        <v>8067</v>
      </c>
      <c r="M1122">
        <v>0.63300000000000001</v>
      </c>
    </row>
    <row r="1123" spans="1:13" x14ac:dyDescent="0.25">
      <c r="A1123" t="s">
        <v>8068</v>
      </c>
      <c r="B1123">
        <v>3146</v>
      </c>
      <c r="C1123">
        <v>8001929136353</v>
      </c>
      <c r="D1123">
        <v>54.9</v>
      </c>
      <c r="E1123">
        <v>34.119999999999997</v>
      </c>
      <c r="F1123">
        <v>24.19</v>
      </c>
      <c r="G1123">
        <v>22.816099999999999</v>
      </c>
      <c r="H1123">
        <v>0.53300000000000003</v>
      </c>
      <c r="K1123">
        <v>3146</v>
      </c>
      <c r="L1123" t="s">
        <v>8068</v>
      </c>
      <c r="M1123">
        <v>0.46700000000000003</v>
      </c>
    </row>
    <row r="1124" spans="1:13" x14ac:dyDescent="0.25">
      <c r="A1124" t="s">
        <v>8069</v>
      </c>
      <c r="B1124">
        <v>3040</v>
      </c>
      <c r="C1124">
        <v>7897082500213</v>
      </c>
      <c r="D1124">
        <v>34.9</v>
      </c>
      <c r="E1124">
        <v>21.44</v>
      </c>
      <c r="F1124">
        <v>25.36</v>
      </c>
      <c r="G1124">
        <v>14.0961</v>
      </c>
      <c r="H1124">
        <v>3.4</v>
      </c>
      <c r="K1124">
        <v>3040</v>
      </c>
      <c r="L1124" t="s">
        <v>8069</v>
      </c>
      <c r="M1124">
        <v>3.2330000000000001</v>
      </c>
    </row>
    <row r="1125" spans="1:13" x14ac:dyDescent="0.25">
      <c r="A1125" t="s">
        <v>8070</v>
      </c>
      <c r="B1125">
        <v>3043</v>
      </c>
      <c r="C1125">
        <v>7897082500220</v>
      </c>
      <c r="D1125">
        <v>34.9</v>
      </c>
      <c r="E1125">
        <v>21.78</v>
      </c>
      <c r="F1125">
        <v>24.82</v>
      </c>
      <c r="G1125">
        <v>14.2844</v>
      </c>
      <c r="H1125">
        <v>2.4329999999999998</v>
      </c>
      <c r="K1125">
        <v>3043</v>
      </c>
      <c r="L1125" t="s">
        <v>8070</v>
      </c>
      <c r="M1125">
        <v>2.4</v>
      </c>
    </row>
    <row r="1126" spans="1:13" x14ac:dyDescent="0.25">
      <c r="A1126" t="s">
        <v>8071</v>
      </c>
      <c r="B1126">
        <v>65937</v>
      </c>
      <c r="C1126">
        <v>860115002432</v>
      </c>
      <c r="D1126">
        <v>149.9</v>
      </c>
      <c r="E1126">
        <v>102.48</v>
      </c>
      <c r="F1126">
        <v>20.8</v>
      </c>
      <c r="G1126">
        <v>67.381399999999999</v>
      </c>
      <c r="H1126">
        <v>3.3000000000000002E-2</v>
      </c>
      <c r="K1126">
        <v>65937</v>
      </c>
      <c r="L1126" t="s">
        <v>8071</v>
      </c>
      <c r="M1126">
        <v>3.3000000000000002E-2</v>
      </c>
    </row>
    <row r="1127" spans="1:13" x14ac:dyDescent="0.25">
      <c r="A1127" t="s">
        <v>8072</v>
      </c>
      <c r="B1127">
        <v>65935</v>
      </c>
      <c r="C1127">
        <v>860115004245</v>
      </c>
      <c r="D1127">
        <v>149.9</v>
      </c>
      <c r="E1127">
        <v>102.48</v>
      </c>
      <c r="F1127">
        <v>20.8</v>
      </c>
      <c r="G1127">
        <v>67.381500000000003</v>
      </c>
      <c r="H1127">
        <v>0</v>
      </c>
      <c r="K1127">
        <v>65935</v>
      </c>
      <c r="L1127" t="s">
        <v>8072</v>
      </c>
      <c r="M1127">
        <v>0</v>
      </c>
    </row>
    <row r="1128" spans="1:13" x14ac:dyDescent="0.25">
      <c r="A1128" t="s">
        <v>8073</v>
      </c>
      <c r="B1128">
        <v>65936</v>
      </c>
      <c r="C1128">
        <v>860115002463</v>
      </c>
      <c r="D1128">
        <v>149.9</v>
      </c>
      <c r="E1128">
        <v>102.48</v>
      </c>
      <c r="F1128">
        <v>20.8</v>
      </c>
      <c r="G1128">
        <v>67.381500000000003</v>
      </c>
      <c r="H1128">
        <v>0</v>
      </c>
      <c r="K1128">
        <v>65936</v>
      </c>
      <c r="L1128" t="s">
        <v>8073</v>
      </c>
      <c r="M1128">
        <v>0</v>
      </c>
    </row>
    <row r="1129" spans="1:13" x14ac:dyDescent="0.25">
      <c r="A1129" t="s">
        <v>8074</v>
      </c>
      <c r="B1129">
        <v>65934</v>
      </c>
      <c r="C1129">
        <v>860115002449</v>
      </c>
      <c r="D1129">
        <v>149.9</v>
      </c>
      <c r="E1129">
        <v>102.48</v>
      </c>
      <c r="F1129">
        <v>20.8</v>
      </c>
      <c r="G1129">
        <v>67.380600000000001</v>
      </c>
      <c r="H1129">
        <v>0</v>
      </c>
      <c r="K1129">
        <v>65934</v>
      </c>
      <c r="L1129" t="s">
        <v>8074</v>
      </c>
      <c r="M1129">
        <v>0</v>
      </c>
    </row>
    <row r="1130" spans="1:13" x14ac:dyDescent="0.25">
      <c r="A1130" t="s">
        <v>8075</v>
      </c>
      <c r="B1130">
        <v>60937</v>
      </c>
      <c r="C1130">
        <v>8437012547391</v>
      </c>
      <c r="D1130">
        <v>79.900000000000006</v>
      </c>
      <c r="E1130">
        <v>44.84</v>
      </c>
      <c r="F1130">
        <v>28.83</v>
      </c>
      <c r="G1130">
        <v>29.4971</v>
      </c>
      <c r="H1130">
        <v>0</v>
      </c>
      <c r="K1130">
        <v>60937</v>
      </c>
      <c r="L1130" t="s">
        <v>8075</v>
      </c>
      <c r="M1130">
        <v>0</v>
      </c>
    </row>
    <row r="1131" spans="1:13" x14ac:dyDescent="0.25">
      <c r="A1131" t="s">
        <v>8076</v>
      </c>
      <c r="B1131">
        <v>60938</v>
      </c>
      <c r="C1131">
        <v>8437012547513</v>
      </c>
      <c r="D1131">
        <v>79.900000000000006</v>
      </c>
      <c r="E1131">
        <v>45.58</v>
      </c>
      <c r="F1131">
        <v>28.24</v>
      </c>
      <c r="G1131">
        <v>29.972000000000001</v>
      </c>
      <c r="H1131">
        <v>0</v>
      </c>
      <c r="K1131">
        <v>60938</v>
      </c>
      <c r="L1131" t="s">
        <v>8076</v>
      </c>
      <c r="M1131">
        <v>0</v>
      </c>
    </row>
    <row r="1132" spans="1:13" x14ac:dyDescent="0.25">
      <c r="A1132" t="s">
        <v>8077</v>
      </c>
      <c r="B1132">
        <v>59774</v>
      </c>
      <c r="C1132">
        <v>7798123973044</v>
      </c>
      <c r="D1132">
        <v>39.9</v>
      </c>
      <c r="E1132">
        <v>27.05</v>
      </c>
      <c r="F1132">
        <v>21.17</v>
      </c>
      <c r="G1132">
        <v>17.788</v>
      </c>
      <c r="H1132">
        <v>0.96699999999999997</v>
      </c>
      <c r="K1132">
        <v>59774</v>
      </c>
      <c r="L1132" t="s">
        <v>8077</v>
      </c>
      <c r="M1132">
        <v>0.93300000000000005</v>
      </c>
    </row>
    <row r="1133" spans="1:13" x14ac:dyDescent="0.25">
      <c r="A1133" t="s">
        <v>8078</v>
      </c>
      <c r="B1133">
        <v>57673</v>
      </c>
      <c r="C1133">
        <v>7798123971569</v>
      </c>
      <c r="D1133">
        <v>39.9</v>
      </c>
      <c r="E1133">
        <v>27.03</v>
      </c>
      <c r="F1133">
        <v>21.21</v>
      </c>
      <c r="G1133">
        <v>17.770800000000001</v>
      </c>
      <c r="H1133">
        <v>1.633</v>
      </c>
      <c r="K1133">
        <v>57673</v>
      </c>
      <c r="L1133" t="s">
        <v>8078</v>
      </c>
      <c r="M1133">
        <v>1.633</v>
      </c>
    </row>
    <row r="1134" spans="1:13" x14ac:dyDescent="0.25">
      <c r="A1134" t="s">
        <v>8079</v>
      </c>
      <c r="B1134">
        <v>58188</v>
      </c>
      <c r="C1134">
        <v>7798123971606</v>
      </c>
      <c r="D1134">
        <v>39.9</v>
      </c>
      <c r="E1134">
        <v>26.95</v>
      </c>
      <c r="F1134">
        <v>21.28</v>
      </c>
      <c r="G1134">
        <v>17.742799999999999</v>
      </c>
      <c r="H1134">
        <v>1.2330000000000001</v>
      </c>
      <c r="K1134">
        <v>58188</v>
      </c>
      <c r="L1134" t="s">
        <v>8079</v>
      </c>
      <c r="M1134">
        <v>1.2330000000000001</v>
      </c>
    </row>
    <row r="1135" spans="1:13" x14ac:dyDescent="0.25">
      <c r="A1135" t="s">
        <v>8080</v>
      </c>
      <c r="B1135">
        <v>58189</v>
      </c>
      <c r="C1135">
        <v>7798123971583</v>
      </c>
      <c r="D1135">
        <v>39.9</v>
      </c>
      <c r="E1135">
        <v>27.06</v>
      </c>
      <c r="F1135">
        <v>21.16</v>
      </c>
      <c r="G1135">
        <v>17.7895</v>
      </c>
      <c r="H1135">
        <v>1.7669999999999999</v>
      </c>
      <c r="K1135">
        <v>58189</v>
      </c>
      <c r="L1135" t="s">
        <v>8080</v>
      </c>
      <c r="M1135">
        <v>1.633</v>
      </c>
    </row>
    <row r="1136" spans="1:13" x14ac:dyDescent="0.25">
      <c r="A1136" t="s">
        <v>8081</v>
      </c>
      <c r="B1136">
        <v>49520</v>
      </c>
      <c r="C1136">
        <v>7798123970098</v>
      </c>
      <c r="D1136">
        <v>69.900000000000006</v>
      </c>
      <c r="E1136">
        <v>42.9</v>
      </c>
      <c r="F1136">
        <v>24.94</v>
      </c>
      <c r="G1136">
        <v>28.529199999999999</v>
      </c>
      <c r="H1136">
        <v>0.16700000000000001</v>
      </c>
      <c r="K1136">
        <v>49520</v>
      </c>
      <c r="L1136" t="s">
        <v>8081</v>
      </c>
      <c r="M1136">
        <v>0.13300000000000001</v>
      </c>
    </row>
    <row r="1137" spans="1:13" x14ac:dyDescent="0.25">
      <c r="A1137" t="s">
        <v>8082</v>
      </c>
      <c r="B1137">
        <v>49516</v>
      </c>
      <c r="C1137">
        <v>7798123970180</v>
      </c>
      <c r="D1137">
        <v>69.900000000000006</v>
      </c>
      <c r="E1137">
        <v>44.53</v>
      </c>
      <c r="F1137">
        <v>23.86</v>
      </c>
      <c r="G1137">
        <v>29.281400000000001</v>
      </c>
      <c r="H1137">
        <v>0</v>
      </c>
      <c r="K1137">
        <v>49516</v>
      </c>
      <c r="L1137" t="s">
        <v>8082</v>
      </c>
      <c r="M1137">
        <v>0</v>
      </c>
    </row>
    <row r="1138" spans="1:13" x14ac:dyDescent="0.25">
      <c r="A1138" t="s">
        <v>8083</v>
      </c>
      <c r="B1138">
        <v>49505</v>
      </c>
      <c r="C1138">
        <v>7798123970401</v>
      </c>
      <c r="D1138">
        <v>67.5</v>
      </c>
      <c r="E1138">
        <v>41.19</v>
      </c>
      <c r="F1138">
        <v>25.1</v>
      </c>
      <c r="G1138">
        <v>27.438199999999998</v>
      </c>
      <c r="H1138">
        <v>3.3000000000000002E-2</v>
      </c>
      <c r="K1138">
        <v>49505</v>
      </c>
      <c r="L1138" t="s">
        <v>8083</v>
      </c>
      <c r="M1138">
        <v>0</v>
      </c>
    </row>
    <row r="1139" spans="1:13" x14ac:dyDescent="0.25">
      <c r="A1139" t="s">
        <v>8084</v>
      </c>
      <c r="B1139">
        <v>49504</v>
      </c>
      <c r="C1139">
        <v>7798123970197</v>
      </c>
      <c r="D1139">
        <v>69.900000000000006</v>
      </c>
      <c r="E1139">
        <v>44.7</v>
      </c>
      <c r="F1139">
        <v>23.71</v>
      </c>
      <c r="G1139">
        <v>29.388500000000001</v>
      </c>
      <c r="H1139">
        <v>0</v>
      </c>
      <c r="K1139">
        <v>49504</v>
      </c>
      <c r="L1139" t="s">
        <v>8084</v>
      </c>
      <c r="M1139">
        <v>0</v>
      </c>
    </row>
    <row r="1140" spans="1:13" x14ac:dyDescent="0.25">
      <c r="A1140" t="s">
        <v>8085</v>
      </c>
      <c r="B1140">
        <v>23194</v>
      </c>
      <c r="C1140">
        <v>7790975017471</v>
      </c>
      <c r="D1140">
        <v>65.900000000000006</v>
      </c>
      <c r="E1140">
        <v>34.86</v>
      </c>
      <c r="F1140">
        <v>31.99</v>
      </c>
      <c r="G1140">
        <v>22.247900000000001</v>
      </c>
      <c r="H1140">
        <v>6.7000000000000004E-2</v>
      </c>
      <c r="K1140">
        <v>23194</v>
      </c>
      <c r="L1140" t="s">
        <v>8085</v>
      </c>
      <c r="M1140">
        <v>6.7000000000000004E-2</v>
      </c>
    </row>
    <row r="1141" spans="1:13" x14ac:dyDescent="0.25">
      <c r="A1141" t="s">
        <v>8086</v>
      </c>
      <c r="B1141">
        <v>23196</v>
      </c>
      <c r="C1141">
        <v>7790975017495</v>
      </c>
      <c r="D1141">
        <v>65.900000000000006</v>
      </c>
      <c r="E1141">
        <v>33.76</v>
      </c>
      <c r="F1141">
        <v>32.03</v>
      </c>
      <c r="G1141">
        <v>22.2193</v>
      </c>
      <c r="H1141">
        <v>0.16700000000000001</v>
      </c>
      <c r="K1141">
        <v>23196</v>
      </c>
      <c r="L1141" t="s">
        <v>8086</v>
      </c>
      <c r="M1141">
        <v>0.13300000000000001</v>
      </c>
    </row>
    <row r="1142" spans="1:13" x14ac:dyDescent="0.25">
      <c r="A1142" t="s">
        <v>8087</v>
      </c>
      <c r="B1142">
        <v>23195</v>
      </c>
      <c r="C1142">
        <v>7790975017518</v>
      </c>
      <c r="D1142">
        <v>65.900000000000006</v>
      </c>
      <c r="E1142">
        <v>33.549999999999997</v>
      </c>
      <c r="F1142">
        <v>31.91</v>
      </c>
      <c r="G1142">
        <v>22.302600000000002</v>
      </c>
      <c r="H1142">
        <v>3.3000000000000002E-2</v>
      </c>
      <c r="K1142">
        <v>23195</v>
      </c>
      <c r="L1142" t="s">
        <v>8087</v>
      </c>
      <c r="M1142">
        <v>3.3000000000000002E-2</v>
      </c>
    </row>
    <row r="1143" spans="1:13" x14ac:dyDescent="0.25">
      <c r="A1143" t="s">
        <v>8088</v>
      </c>
      <c r="B1143">
        <v>62731</v>
      </c>
      <c r="C1143">
        <v>7790975197791</v>
      </c>
      <c r="D1143">
        <v>65.900000000000006</v>
      </c>
      <c r="E1143">
        <v>32.72</v>
      </c>
      <c r="F1143">
        <v>33.11</v>
      </c>
      <c r="G1143">
        <v>21.511600000000001</v>
      </c>
      <c r="H1143">
        <v>3.3000000000000002E-2</v>
      </c>
      <c r="K1143">
        <v>62731</v>
      </c>
      <c r="L1143" t="s">
        <v>8088</v>
      </c>
      <c r="M1143">
        <v>3.3000000000000002E-2</v>
      </c>
    </row>
    <row r="1144" spans="1:13" x14ac:dyDescent="0.25">
      <c r="A1144" t="s">
        <v>8089</v>
      </c>
      <c r="B1144">
        <v>62757</v>
      </c>
      <c r="C1144">
        <v>7790975017839</v>
      </c>
      <c r="D1144">
        <v>65.900000000000006</v>
      </c>
      <c r="E1144">
        <v>28.9</v>
      </c>
      <c r="F1144">
        <v>36.909999999999997</v>
      </c>
      <c r="G1144">
        <v>19.002500000000001</v>
      </c>
      <c r="H1144">
        <v>3.3000000000000002E-2</v>
      </c>
      <c r="K1144">
        <v>62757</v>
      </c>
      <c r="L1144" t="s">
        <v>8089</v>
      </c>
      <c r="M1144">
        <v>3.3000000000000002E-2</v>
      </c>
    </row>
    <row r="1145" spans="1:13" x14ac:dyDescent="0.25">
      <c r="A1145" t="s">
        <v>8090</v>
      </c>
      <c r="B1145">
        <v>67456</v>
      </c>
      <c r="C1145">
        <v>8002153231272</v>
      </c>
      <c r="D1145">
        <v>99.9</v>
      </c>
      <c r="E1145">
        <v>50.91</v>
      </c>
      <c r="F1145">
        <v>32.25</v>
      </c>
      <c r="G1145">
        <v>33.4709</v>
      </c>
      <c r="H1145">
        <v>0.16700000000000001</v>
      </c>
      <c r="K1145">
        <v>67456</v>
      </c>
      <c r="L1145" t="s">
        <v>8090</v>
      </c>
      <c r="M1145">
        <v>0.16700000000000001</v>
      </c>
    </row>
    <row r="1146" spans="1:13" x14ac:dyDescent="0.25">
      <c r="A1146" t="s">
        <v>8091</v>
      </c>
      <c r="B1146">
        <v>67452</v>
      </c>
      <c r="C1146">
        <v>8002153216415</v>
      </c>
      <c r="D1146">
        <v>99.9</v>
      </c>
      <c r="E1146">
        <v>52.74</v>
      </c>
      <c r="F1146">
        <v>29.29</v>
      </c>
      <c r="G1146">
        <v>36.423499999999997</v>
      </c>
      <c r="H1146">
        <v>0.13300000000000001</v>
      </c>
      <c r="K1146">
        <v>67452</v>
      </c>
      <c r="L1146" t="s">
        <v>8091</v>
      </c>
      <c r="M1146">
        <v>0.13300000000000001</v>
      </c>
    </row>
    <row r="1147" spans="1:13" x14ac:dyDescent="0.25">
      <c r="A1147" t="s">
        <v>8092</v>
      </c>
      <c r="B1147">
        <v>62320</v>
      </c>
      <c r="C1147">
        <v>1000000000849</v>
      </c>
      <c r="D1147">
        <v>359.9</v>
      </c>
      <c r="E1147">
        <v>227.74</v>
      </c>
      <c r="F1147">
        <v>24.14</v>
      </c>
      <c r="G1147">
        <v>149.7388</v>
      </c>
      <c r="H1147">
        <v>0</v>
      </c>
      <c r="K1147">
        <v>62320</v>
      </c>
      <c r="L1147" t="s">
        <v>8092</v>
      </c>
      <c r="M1147">
        <v>0</v>
      </c>
    </row>
    <row r="1148" spans="1:13" x14ac:dyDescent="0.25">
      <c r="A1148" t="s">
        <v>8093</v>
      </c>
      <c r="B1148">
        <v>44461</v>
      </c>
      <c r="C1148">
        <v>5281004011208</v>
      </c>
      <c r="D1148">
        <v>199.9</v>
      </c>
      <c r="E1148">
        <v>100.82</v>
      </c>
      <c r="F1148">
        <v>32.590000000000003</v>
      </c>
      <c r="G1148">
        <v>66.291399999999996</v>
      </c>
      <c r="H1148">
        <v>0</v>
      </c>
      <c r="K1148">
        <v>44461</v>
      </c>
      <c r="L1148" t="s">
        <v>8093</v>
      </c>
      <c r="M1148">
        <v>0</v>
      </c>
    </row>
    <row r="1149" spans="1:13" x14ac:dyDescent="0.25">
      <c r="A1149" t="s">
        <v>8094</v>
      </c>
      <c r="B1149">
        <v>62328</v>
      </c>
      <c r="C1149">
        <v>1000000000870</v>
      </c>
      <c r="D1149">
        <v>999.9</v>
      </c>
      <c r="E1149">
        <v>749.98</v>
      </c>
      <c r="F1149">
        <v>16.43</v>
      </c>
      <c r="G1149">
        <v>493.11</v>
      </c>
      <c r="H1149">
        <v>0</v>
      </c>
      <c r="K1149">
        <v>62328</v>
      </c>
      <c r="L1149" t="s">
        <v>8094</v>
      </c>
      <c r="M1149">
        <v>0</v>
      </c>
    </row>
    <row r="1150" spans="1:13" x14ac:dyDescent="0.25">
      <c r="A1150" t="s">
        <v>8095</v>
      </c>
      <c r="B1150">
        <v>57319</v>
      </c>
      <c r="C1150">
        <v>7808734200122</v>
      </c>
      <c r="D1150">
        <v>109.9</v>
      </c>
      <c r="E1150">
        <v>71.3</v>
      </c>
      <c r="F1150">
        <v>23.1</v>
      </c>
      <c r="G1150">
        <v>46.877800000000001</v>
      </c>
      <c r="H1150">
        <v>0</v>
      </c>
      <c r="K1150">
        <v>57319</v>
      </c>
      <c r="L1150" t="s">
        <v>8095</v>
      </c>
      <c r="M1150">
        <v>0</v>
      </c>
    </row>
    <row r="1151" spans="1:13" x14ac:dyDescent="0.25">
      <c r="A1151" t="s">
        <v>8096</v>
      </c>
      <c r="B1151">
        <v>47951</v>
      </c>
      <c r="C1151">
        <v>7808734200641</v>
      </c>
      <c r="D1151">
        <v>109.9</v>
      </c>
      <c r="E1151">
        <v>65.86</v>
      </c>
      <c r="F1151">
        <v>26.35</v>
      </c>
      <c r="G1151">
        <v>43.305300000000003</v>
      </c>
      <c r="H1151">
        <v>0</v>
      </c>
      <c r="K1151">
        <v>47951</v>
      </c>
      <c r="L1151" t="s">
        <v>8096</v>
      </c>
      <c r="M1151">
        <v>0</v>
      </c>
    </row>
    <row r="1152" spans="1:13" x14ac:dyDescent="0.25">
      <c r="A1152" t="s">
        <v>8097</v>
      </c>
      <c r="B1152">
        <v>63973</v>
      </c>
      <c r="C1152">
        <v>7804300151881</v>
      </c>
      <c r="D1152">
        <v>99.9</v>
      </c>
      <c r="E1152">
        <v>70.78</v>
      </c>
      <c r="F1152">
        <v>19.16</v>
      </c>
      <c r="G1152">
        <v>46.54</v>
      </c>
      <c r="H1152">
        <v>3.3000000000000002E-2</v>
      </c>
      <c r="K1152">
        <v>63973</v>
      </c>
      <c r="L1152" t="s">
        <v>8097</v>
      </c>
      <c r="M1152">
        <v>3.3000000000000002E-2</v>
      </c>
    </row>
    <row r="1153" spans="1:13" x14ac:dyDescent="0.25">
      <c r="A1153" t="s">
        <v>8098</v>
      </c>
      <c r="B1153">
        <v>64950</v>
      </c>
      <c r="C1153">
        <v>8410113072207</v>
      </c>
      <c r="D1153">
        <v>59.9</v>
      </c>
      <c r="E1153">
        <v>35.33</v>
      </c>
      <c r="F1153">
        <v>26.97</v>
      </c>
      <c r="G1153">
        <v>23.227399999999999</v>
      </c>
      <c r="H1153">
        <v>1.2669999999999999</v>
      </c>
      <c r="K1153">
        <v>64950</v>
      </c>
      <c r="L1153" t="s">
        <v>8098</v>
      </c>
      <c r="M1153">
        <v>0.56699999999999995</v>
      </c>
    </row>
    <row r="1154" spans="1:13" x14ac:dyDescent="0.25">
      <c r="A1154" t="s">
        <v>8099</v>
      </c>
      <c r="B1154">
        <v>63187</v>
      </c>
      <c r="C1154">
        <v>7804414012016</v>
      </c>
      <c r="D1154">
        <v>99.9</v>
      </c>
      <c r="E1154">
        <v>58.12</v>
      </c>
      <c r="F1154">
        <v>27.52</v>
      </c>
      <c r="G1154">
        <v>38.1877</v>
      </c>
      <c r="H1154">
        <v>3.3000000000000002E-2</v>
      </c>
      <c r="K1154">
        <v>63187</v>
      </c>
      <c r="L1154" t="s">
        <v>8099</v>
      </c>
      <c r="M1154">
        <v>0</v>
      </c>
    </row>
    <row r="1155" spans="1:13" x14ac:dyDescent="0.25">
      <c r="A1155" t="s">
        <v>8100</v>
      </c>
      <c r="B1155">
        <v>63186</v>
      </c>
      <c r="C1155">
        <v>7804414012009</v>
      </c>
      <c r="D1155">
        <v>99.9</v>
      </c>
      <c r="E1155">
        <v>58.23</v>
      </c>
      <c r="F1155">
        <v>27.54</v>
      </c>
      <c r="G1155">
        <v>38.168199999999999</v>
      </c>
      <c r="H1155">
        <v>0.2</v>
      </c>
      <c r="K1155">
        <v>63186</v>
      </c>
      <c r="L1155" t="s">
        <v>8100</v>
      </c>
      <c r="M1155">
        <v>0.16700000000000001</v>
      </c>
    </row>
    <row r="1156" spans="1:13" x14ac:dyDescent="0.25">
      <c r="A1156" t="s">
        <v>8101</v>
      </c>
      <c r="B1156">
        <v>63188</v>
      </c>
      <c r="C1156">
        <v>7804414013709</v>
      </c>
      <c r="D1156">
        <v>99.9</v>
      </c>
      <c r="E1156">
        <v>58.12</v>
      </c>
      <c r="F1156">
        <v>27.5</v>
      </c>
      <c r="G1156">
        <v>38.211399999999998</v>
      </c>
      <c r="H1156">
        <v>6.7000000000000004E-2</v>
      </c>
      <c r="K1156">
        <v>63188</v>
      </c>
      <c r="L1156" t="s">
        <v>8101</v>
      </c>
      <c r="M1156">
        <v>0</v>
      </c>
    </row>
    <row r="1157" spans="1:13" x14ac:dyDescent="0.25">
      <c r="A1157" t="s">
        <v>8102</v>
      </c>
      <c r="B1157">
        <v>63189</v>
      </c>
      <c r="C1157">
        <v>7804414013686</v>
      </c>
      <c r="D1157">
        <v>99.9</v>
      </c>
      <c r="E1157">
        <v>61.88</v>
      </c>
      <c r="F1157">
        <v>24.77</v>
      </c>
      <c r="G1157">
        <v>40.9407</v>
      </c>
      <c r="H1157">
        <v>0.5</v>
      </c>
      <c r="K1157">
        <v>63189</v>
      </c>
      <c r="L1157" t="s">
        <v>8102</v>
      </c>
      <c r="M1157">
        <v>0.33300000000000002</v>
      </c>
    </row>
    <row r="1158" spans="1:13" x14ac:dyDescent="0.25">
      <c r="A1158" t="s">
        <v>8103</v>
      </c>
      <c r="B1158">
        <v>63185</v>
      </c>
      <c r="C1158">
        <v>7804414013297</v>
      </c>
      <c r="D1158">
        <v>99.9</v>
      </c>
      <c r="E1158">
        <v>64.94</v>
      </c>
      <c r="F1158">
        <v>21.8</v>
      </c>
      <c r="G1158">
        <v>43.903199999999998</v>
      </c>
      <c r="H1158">
        <v>0.16700000000000001</v>
      </c>
      <c r="K1158">
        <v>63185</v>
      </c>
      <c r="L1158" t="s">
        <v>8103</v>
      </c>
      <c r="M1158">
        <v>0.1</v>
      </c>
    </row>
    <row r="1159" spans="1:13" x14ac:dyDescent="0.25">
      <c r="A1159" t="s">
        <v>8104</v>
      </c>
      <c r="B1159">
        <v>63191</v>
      </c>
      <c r="C1159">
        <v>7804414013693</v>
      </c>
      <c r="D1159">
        <v>99.9</v>
      </c>
      <c r="E1159">
        <v>64.12</v>
      </c>
      <c r="F1159">
        <v>22.83</v>
      </c>
      <c r="G1159">
        <v>42.877200000000002</v>
      </c>
      <c r="H1159">
        <v>0.13300000000000001</v>
      </c>
      <c r="K1159">
        <v>63191</v>
      </c>
      <c r="L1159" t="s">
        <v>8104</v>
      </c>
      <c r="M1159">
        <v>3.3000000000000002E-2</v>
      </c>
    </row>
    <row r="1160" spans="1:13" x14ac:dyDescent="0.25">
      <c r="A1160" t="s">
        <v>8105</v>
      </c>
      <c r="B1160">
        <v>63184</v>
      </c>
      <c r="C1160">
        <v>7804414013280</v>
      </c>
      <c r="D1160">
        <v>99.9</v>
      </c>
      <c r="E1160">
        <v>58.63</v>
      </c>
      <c r="F1160">
        <v>27.26</v>
      </c>
      <c r="G1160">
        <v>38.451900000000002</v>
      </c>
      <c r="H1160">
        <v>0.13300000000000001</v>
      </c>
      <c r="K1160">
        <v>63184</v>
      </c>
      <c r="L1160" t="s">
        <v>8105</v>
      </c>
      <c r="M1160">
        <v>0</v>
      </c>
    </row>
    <row r="1161" spans="1:13" x14ac:dyDescent="0.25">
      <c r="A1161" t="s">
        <v>8106</v>
      </c>
      <c r="B1161">
        <v>63190</v>
      </c>
      <c r="C1161">
        <v>7804414013679</v>
      </c>
      <c r="D1161">
        <v>99.9</v>
      </c>
      <c r="E1161">
        <v>65.53</v>
      </c>
      <c r="F1161">
        <v>22.37</v>
      </c>
      <c r="G1161">
        <v>43.339300000000001</v>
      </c>
      <c r="H1161">
        <v>0.13300000000000001</v>
      </c>
      <c r="K1161">
        <v>63190</v>
      </c>
      <c r="L1161" t="s">
        <v>8106</v>
      </c>
      <c r="M1161">
        <v>6.7000000000000004E-2</v>
      </c>
    </row>
    <row r="1162" spans="1:13" x14ac:dyDescent="0.25">
      <c r="A1162" t="s">
        <v>8107</v>
      </c>
      <c r="B1162">
        <v>68822</v>
      </c>
      <c r="C1162">
        <v>7804672420080</v>
      </c>
      <c r="D1162">
        <v>149.9</v>
      </c>
      <c r="E1162">
        <v>95.46</v>
      </c>
      <c r="F1162">
        <v>23.88</v>
      </c>
      <c r="G1162">
        <v>62.7699</v>
      </c>
      <c r="H1162">
        <v>0</v>
      </c>
      <c r="K1162">
        <v>68822</v>
      </c>
      <c r="L1162" t="s">
        <v>8107</v>
      </c>
      <c r="M1162">
        <v>0</v>
      </c>
    </row>
    <row r="1163" spans="1:13" x14ac:dyDescent="0.25">
      <c r="A1163" t="s">
        <v>8108</v>
      </c>
      <c r="B1163">
        <v>35668</v>
      </c>
      <c r="C1163">
        <v>7798090160478</v>
      </c>
      <c r="D1163">
        <v>32.9</v>
      </c>
      <c r="E1163">
        <v>25.04</v>
      </c>
      <c r="F1163">
        <v>25.72</v>
      </c>
      <c r="G1163">
        <v>13.1706</v>
      </c>
      <c r="H1163">
        <v>2.2330000000000001</v>
      </c>
      <c r="K1163">
        <v>35668</v>
      </c>
      <c r="L1163" t="s">
        <v>8108</v>
      </c>
      <c r="M1163">
        <v>0</v>
      </c>
    </row>
    <row r="1164" spans="1:13" x14ac:dyDescent="0.25">
      <c r="A1164" t="s">
        <v>8109</v>
      </c>
      <c r="B1164">
        <v>63383</v>
      </c>
      <c r="C1164">
        <v>7798090163844</v>
      </c>
      <c r="D1164">
        <v>32.9</v>
      </c>
      <c r="E1164">
        <v>19.420000000000002</v>
      </c>
      <c r="F1164">
        <v>27.72</v>
      </c>
      <c r="G1164">
        <v>12.5116</v>
      </c>
      <c r="H1164">
        <v>1.2330000000000001</v>
      </c>
      <c r="K1164">
        <v>63383</v>
      </c>
      <c r="L1164" t="s">
        <v>8109</v>
      </c>
      <c r="M1164">
        <v>0.33300000000000002</v>
      </c>
    </row>
    <row r="1165" spans="1:13" x14ac:dyDescent="0.25">
      <c r="A1165" t="s">
        <v>8110</v>
      </c>
      <c r="B1165">
        <v>63382</v>
      </c>
      <c r="C1165">
        <v>7798090162526</v>
      </c>
      <c r="D1165">
        <v>32.9</v>
      </c>
      <c r="E1165">
        <v>24.51</v>
      </c>
      <c r="F1165">
        <v>20.68</v>
      </c>
      <c r="G1165">
        <v>14.829499999999999</v>
      </c>
      <c r="H1165">
        <v>1.7330000000000001</v>
      </c>
      <c r="K1165">
        <v>63382</v>
      </c>
      <c r="L1165" t="s">
        <v>8110</v>
      </c>
      <c r="M1165">
        <v>3.3000000000000002E-2</v>
      </c>
    </row>
    <row r="1166" spans="1:13" x14ac:dyDescent="0.25">
      <c r="A1166" t="s">
        <v>8111</v>
      </c>
      <c r="B1166">
        <v>45483</v>
      </c>
      <c r="C1166">
        <v>7798090160232</v>
      </c>
      <c r="D1166">
        <v>32.9</v>
      </c>
      <c r="E1166">
        <v>20.85</v>
      </c>
      <c r="F1166">
        <v>25.6</v>
      </c>
      <c r="G1166">
        <v>13.210100000000001</v>
      </c>
      <c r="H1166">
        <v>0.93300000000000005</v>
      </c>
      <c r="K1166">
        <v>45483</v>
      </c>
      <c r="L1166" t="s">
        <v>8111</v>
      </c>
      <c r="M1166">
        <v>0.46700000000000003</v>
      </c>
    </row>
    <row r="1167" spans="1:13" x14ac:dyDescent="0.25">
      <c r="A1167" t="s">
        <v>8112</v>
      </c>
      <c r="B1167">
        <v>65309</v>
      </c>
      <c r="C1167">
        <v>7791540049354</v>
      </c>
      <c r="D1167">
        <v>149.9</v>
      </c>
      <c r="E1167">
        <v>89.42</v>
      </c>
      <c r="F1167">
        <v>26.53</v>
      </c>
      <c r="G1167">
        <v>58.796700000000001</v>
      </c>
      <c r="H1167">
        <v>0</v>
      </c>
      <c r="K1167">
        <v>65309</v>
      </c>
      <c r="L1167" t="s">
        <v>8112</v>
      </c>
      <c r="M1167">
        <v>0</v>
      </c>
    </row>
    <row r="1168" spans="1:13" x14ac:dyDescent="0.25">
      <c r="A1168" t="s">
        <v>8113</v>
      </c>
      <c r="B1168">
        <v>65310</v>
      </c>
      <c r="C1168">
        <v>7791540050831</v>
      </c>
      <c r="D1168">
        <v>149.9</v>
      </c>
      <c r="E1168">
        <v>89.43</v>
      </c>
      <c r="F1168">
        <v>26.53</v>
      </c>
      <c r="G1168">
        <v>58.797899999999998</v>
      </c>
      <c r="H1168">
        <v>0</v>
      </c>
      <c r="K1168">
        <v>65310</v>
      </c>
      <c r="L1168" t="s">
        <v>8113</v>
      </c>
      <c r="M1168">
        <v>0</v>
      </c>
    </row>
    <row r="1169" spans="1:13" x14ac:dyDescent="0.25">
      <c r="A1169" t="s">
        <v>8114</v>
      </c>
      <c r="B1169">
        <v>35666</v>
      </c>
      <c r="C1169">
        <v>7804360111009</v>
      </c>
      <c r="D1169">
        <v>129.9</v>
      </c>
      <c r="E1169">
        <v>96.83</v>
      </c>
      <c r="F1169">
        <v>15.72</v>
      </c>
      <c r="G1169">
        <v>64.993700000000004</v>
      </c>
      <c r="H1169">
        <v>6.7000000000000004E-2</v>
      </c>
      <c r="K1169">
        <v>35666</v>
      </c>
      <c r="L1169" t="s">
        <v>8114</v>
      </c>
      <c r="M1169">
        <v>3.3000000000000002E-2</v>
      </c>
    </row>
    <row r="1170" spans="1:13" x14ac:dyDescent="0.25">
      <c r="A1170" t="s">
        <v>8115</v>
      </c>
      <c r="B1170">
        <v>35667</v>
      </c>
      <c r="C1170">
        <v>7804360311003</v>
      </c>
      <c r="D1170">
        <v>129.9</v>
      </c>
      <c r="E1170">
        <v>102.92</v>
      </c>
      <c r="F1170">
        <v>13.66</v>
      </c>
      <c r="G1170">
        <v>67.666200000000003</v>
      </c>
      <c r="H1170">
        <v>0</v>
      </c>
      <c r="K1170">
        <v>35667</v>
      </c>
      <c r="L1170" t="s">
        <v>8115</v>
      </c>
      <c r="M1170">
        <v>0</v>
      </c>
    </row>
    <row r="1171" spans="1:13" x14ac:dyDescent="0.25">
      <c r="A1171" t="s">
        <v>8116</v>
      </c>
      <c r="B1171">
        <v>67008</v>
      </c>
      <c r="C1171">
        <v>7804360000396</v>
      </c>
      <c r="D1171">
        <v>129.9</v>
      </c>
      <c r="E1171">
        <v>89.9</v>
      </c>
      <c r="F1171">
        <v>20.239999999999998</v>
      </c>
      <c r="G1171">
        <v>59.1113</v>
      </c>
      <c r="H1171">
        <v>0</v>
      </c>
      <c r="K1171">
        <v>67008</v>
      </c>
      <c r="L1171" t="s">
        <v>8116</v>
      </c>
      <c r="M1171">
        <v>3.3000000000000002E-2</v>
      </c>
    </row>
    <row r="1172" spans="1:13" x14ac:dyDescent="0.25">
      <c r="A1172" t="s">
        <v>8117</v>
      </c>
      <c r="B1172">
        <v>67682</v>
      </c>
      <c r="C1172">
        <v>3566921000286</v>
      </c>
      <c r="D1172">
        <v>169.9</v>
      </c>
      <c r="E1172">
        <v>109.97</v>
      </c>
      <c r="F1172">
        <v>23.04</v>
      </c>
      <c r="G1172">
        <v>72.560699999999997</v>
      </c>
      <c r="H1172">
        <v>0</v>
      </c>
      <c r="K1172">
        <v>67682</v>
      </c>
      <c r="L1172" t="s">
        <v>8117</v>
      </c>
      <c r="M1172">
        <v>0</v>
      </c>
    </row>
    <row r="1173" spans="1:13" x14ac:dyDescent="0.25">
      <c r="A1173" t="s">
        <v>8118</v>
      </c>
      <c r="B1173">
        <v>67686</v>
      </c>
      <c r="C1173">
        <v>3566921001177</v>
      </c>
      <c r="D1173">
        <v>226.05</v>
      </c>
      <c r="E1173">
        <v>139.44999999999999</v>
      </c>
      <c r="F1173">
        <v>25.19</v>
      </c>
      <c r="G1173">
        <v>91.690799999999996</v>
      </c>
      <c r="H1173">
        <v>0</v>
      </c>
      <c r="K1173">
        <v>67686</v>
      </c>
      <c r="L1173" t="s">
        <v>8118</v>
      </c>
      <c r="M1173">
        <v>0</v>
      </c>
    </row>
    <row r="1174" spans="1:13" x14ac:dyDescent="0.25">
      <c r="A1174" t="s">
        <v>8119</v>
      </c>
      <c r="B1174">
        <v>57716</v>
      </c>
      <c r="C1174">
        <v>3566921002976</v>
      </c>
      <c r="D1174">
        <v>289.89999999999998</v>
      </c>
      <c r="E1174">
        <v>192.86</v>
      </c>
      <c r="F1174">
        <v>22.01</v>
      </c>
      <c r="G1174">
        <v>126.8032</v>
      </c>
      <c r="H1174">
        <v>0</v>
      </c>
      <c r="K1174">
        <v>57716</v>
      </c>
      <c r="L1174" t="s">
        <v>8119</v>
      </c>
      <c r="M1174">
        <v>0</v>
      </c>
    </row>
    <row r="1175" spans="1:13" x14ac:dyDescent="0.25">
      <c r="A1175" t="s">
        <v>8120</v>
      </c>
      <c r="B1175">
        <v>57715</v>
      </c>
      <c r="C1175">
        <v>3566921000736</v>
      </c>
      <c r="D1175">
        <v>249.9</v>
      </c>
      <c r="E1175">
        <v>172.82</v>
      </c>
      <c r="F1175">
        <v>20.28</v>
      </c>
      <c r="G1175">
        <v>113.63</v>
      </c>
      <c r="H1175">
        <v>0</v>
      </c>
      <c r="K1175">
        <v>57715</v>
      </c>
      <c r="L1175" t="s">
        <v>8120</v>
      </c>
      <c r="M1175">
        <v>0</v>
      </c>
    </row>
    <row r="1176" spans="1:13" x14ac:dyDescent="0.25">
      <c r="A1176" t="s">
        <v>8121</v>
      </c>
      <c r="B1176">
        <v>57717</v>
      </c>
      <c r="C1176">
        <v>3566921003010</v>
      </c>
      <c r="D1176">
        <v>199.9</v>
      </c>
      <c r="E1176">
        <v>104.58</v>
      </c>
      <c r="F1176">
        <v>31.3</v>
      </c>
      <c r="G1176">
        <v>68.860200000000006</v>
      </c>
      <c r="H1176">
        <v>0.26700000000000002</v>
      </c>
      <c r="K1176">
        <v>57717</v>
      </c>
      <c r="L1176" t="s">
        <v>8121</v>
      </c>
      <c r="M1176">
        <v>6.7000000000000004E-2</v>
      </c>
    </row>
    <row r="1177" spans="1:13" x14ac:dyDescent="0.25">
      <c r="A1177" t="s">
        <v>8122</v>
      </c>
      <c r="B1177">
        <v>57713</v>
      </c>
      <c r="C1177">
        <v>3566921002198</v>
      </c>
      <c r="D1177">
        <v>369.9</v>
      </c>
      <c r="E1177">
        <v>258.24</v>
      </c>
      <c r="F1177">
        <v>19.850000000000001</v>
      </c>
      <c r="G1177">
        <v>169.79</v>
      </c>
      <c r="H1177">
        <v>0</v>
      </c>
      <c r="K1177">
        <v>57713</v>
      </c>
      <c r="L1177" t="s">
        <v>8122</v>
      </c>
      <c r="M1177">
        <v>0</v>
      </c>
    </row>
    <row r="1178" spans="1:13" x14ac:dyDescent="0.25">
      <c r="A1178" t="s">
        <v>8123</v>
      </c>
      <c r="B1178">
        <v>57762</v>
      </c>
      <c r="C1178">
        <v>7798126080251</v>
      </c>
      <c r="D1178">
        <v>389.9</v>
      </c>
      <c r="E1178">
        <v>229.3</v>
      </c>
      <c r="F1178">
        <v>27.08</v>
      </c>
      <c r="G1178">
        <v>150.76329999999999</v>
      </c>
      <c r="H1178">
        <v>0</v>
      </c>
      <c r="K1178">
        <v>57762</v>
      </c>
      <c r="L1178" t="s">
        <v>8123</v>
      </c>
      <c r="M1178">
        <v>0</v>
      </c>
    </row>
    <row r="1179" spans="1:13" x14ac:dyDescent="0.25">
      <c r="A1179" t="s">
        <v>8124</v>
      </c>
      <c r="B1179">
        <v>57761</v>
      </c>
      <c r="C1179">
        <v>7798126080237</v>
      </c>
      <c r="D1179">
        <v>389.9</v>
      </c>
      <c r="E1179">
        <v>260.42</v>
      </c>
      <c r="F1179">
        <v>21.84</v>
      </c>
      <c r="G1179">
        <v>171.22450000000001</v>
      </c>
      <c r="H1179">
        <v>0</v>
      </c>
      <c r="K1179">
        <v>57761</v>
      </c>
      <c r="L1179" t="s">
        <v>8124</v>
      </c>
      <c r="M1179">
        <v>0</v>
      </c>
    </row>
    <row r="1180" spans="1:13" x14ac:dyDescent="0.25">
      <c r="A1180" t="s">
        <v>8125</v>
      </c>
      <c r="B1180">
        <v>57763</v>
      </c>
      <c r="C1180">
        <v>7798126082279</v>
      </c>
      <c r="D1180">
        <v>349.9</v>
      </c>
      <c r="E1180">
        <v>222.99</v>
      </c>
      <c r="F1180">
        <v>23.65</v>
      </c>
      <c r="G1180">
        <v>147.30879999999999</v>
      </c>
      <c r="H1180">
        <v>0</v>
      </c>
      <c r="K1180">
        <v>57763</v>
      </c>
      <c r="L1180" t="s">
        <v>8125</v>
      </c>
      <c r="M1180">
        <v>0</v>
      </c>
    </row>
    <row r="1181" spans="1:13" x14ac:dyDescent="0.25">
      <c r="A1181" t="s">
        <v>8126</v>
      </c>
      <c r="B1181">
        <v>23122</v>
      </c>
      <c r="C1181">
        <v>8019873924551</v>
      </c>
      <c r="D1181">
        <v>95.37</v>
      </c>
      <c r="E1181">
        <v>70.17</v>
      </c>
      <c r="F1181">
        <v>17.36</v>
      </c>
      <c r="G1181">
        <v>46.148699999999998</v>
      </c>
      <c r="H1181">
        <v>0.66700000000000004</v>
      </c>
      <c r="K1181">
        <v>23122</v>
      </c>
      <c r="L1181" t="s">
        <v>8126</v>
      </c>
      <c r="M1181">
        <v>0</v>
      </c>
    </row>
    <row r="1182" spans="1:13" x14ac:dyDescent="0.25">
      <c r="A1182" t="s">
        <v>8127</v>
      </c>
      <c r="B1182">
        <v>23121</v>
      </c>
      <c r="C1182">
        <v>8019873924650</v>
      </c>
      <c r="D1182">
        <v>95.67</v>
      </c>
      <c r="E1182">
        <v>64.900000000000006</v>
      </c>
      <c r="F1182">
        <v>21.1</v>
      </c>
      <c r="G1182">
        <v>42.7134</v>
      </c>
      <c r="H1182">
        <v>1.2330000000000001</v>
      </c>
      <c r="K1182">
        <v>23121</v>
      </c>
      <c r="L1182" t="s">
        <v>8127</v>
      </c>
      <c r="M1182">
        <v>0.433</v>
      </c>
    </row>
    <row r="1183" spans="1:13" x14ac:dyDescent="0.25">
      <c r="A1183" t="s">
        <v>8128</v>
      </c>
      <c r="B1183">
        <v>54118</v>
      </c>
      <c r="C1183">
        <v>8019873824585</v>
      </c>
      <c r="D1183">
        <v>89.9</v>
      </c>
      <c r="E1183">
        <v>59.96</v>
      </c>
      <c r="F1183">
        <v>17.559999999999999</v>
      </c>
      <c r="G1183">
        <v>43.321899999999999</v>
      </c>
      <c r="H1183">
        <v>0.1</v>
      </c>
      <c r="K1183">
        <v>54118</v>
      </c>
      <c r="L1183" t="s">
        <v>8128</v>
      </c>
      <c r="M1183">
        <v>0.1</v>
      </c>
    </row>
    <row r="1184" spans="1:13" x14ac:dyDescent="0.25">
      <c r="A1184" t="s">
        <v>8129</v>
      </c>
      <c r="B1184">
        <v>67211</v>
      </c>
      <c r="C1184">
        <v>8019873624284</v>
      </c>
      <c r="D1184">
        <v>289.89999999999998</v>
      </c>
      <c r="E1184">
        <v>180.86</v>
      </c>
      <c r="F1184">
        <v>24.73</v>
      </c>
      <c r="G1184">
        <v>118.9178</v>
      </c>
      <c r="H1184">
        <v>0</v>
      </c>
      <c r="K1184">
        <v>67211</v>
      </c>
      <c r="L1184" t="s">
        <v>8129</v>
      </c>
      <c r="M1184">
        <v>0</v>
      </c>
    </row>
    <row r="1185" spans="1:13" x14ac:dyDescent="0.25">
      <c r="A1185" t="s">
        <v>8130</v>
      </c>
      <c r="B1185">
        <v>48202</v>
      </c>
      <c r="C1185">
        <v>7791203001248</v>
      </c>
      <c r="D1185">
        <v>125.9</v>
      </c>
      <c r="E1185">
        <v>95.43</v>
      </c>
      <c r="F1185">
        <v>15.53</v>
      </c>
      <c r="G1185">
        <v>63.227899999999998</v>
      </c>
      <c r="H1185">
        <v>0.16700000000000001</v>
      </c>
      <c r="K1185">
        <v>48202</v>
      </c>
      <c r="L1185" t="s">
        <v>8130</v>
      </c>
      <c r="M1185">
        <v>3.3000000000000002E-2</v>
      </c>
    </row>
    <row r="1186" spans="1:13" x14ac:dyDescent="0.25">
      <c r="A1186" t="s">
        <v>8131</v>
      </c>
      <c r="B1186">
        <v>48200</v>
      </c>
      <c r="C1186">
        <v>7791203001231</v>
      </c>
      <c r="D1186">
        <v>144.78</v>
      </c>
      <c r="E1186">
        <v>88.16</v>
      </c>
      <c r="F1186">
        <v>26.72</v>
      </c>
      <c r="G1186">
        <v>56.508400000000002</v>
      </c>
      <c r="H1186">
        <v>0.53300000000000003</v>
      </c>
      <c r="K1186">
        <v>48200</v>
      </c>
      <c r="L1186" t="s">
        <v>8131</v>
      </c>
      <c r="M1186">
        <v>0.1</v>
      </c>
    </row>
    <row r="1187" spans="1:13" x14ac:dyDescent="0.25">
      <c r="A1187" t="s">
        <v>8132</v>
      </c>
      <c r="B1187">
        <v>48410</v>
      </c>
      <c r="C1187">
        <v>7791203000142</v>
      </c>
      <c r="D1187">
        <v>221.72</v>
      </c>
      <c r="E1187">
        <v>161.47</v>
      </c>
      <c r="F1187">
        <v>18.21</v>
      </c>
      <c r="G1187">
        <v>105.3964</v>
      </c>
      <c r="H1187">
        <v>3.3000000000000002E-2</v>
      </c>
      <c r="K1187">
        <v>48410</v>
      </c>
      <c r="L1187" t="s">
        <v>8132</v>
      </c>
      <c r="M1187">
        <v>3.3000000000000002E-2</v>
      </c>
    </row>
    <row r="1188" spans="1:13" x14ac:dyDescent="0.25">
      <c r="A1188" t="s">
        <v>8133</v>
      </c>
      <c r="B1188">
        <v>65139</v>
      </c>
      <c r="C1188">
        <v>7908039100773</v>
      </c>
      <c r="D1188">
        <v>99.9</v>
      </c>
      <c r="E1188">
        <v>57.13</v>
      </c>
      <c r="F1188">
        <v>19.8</v>
      </c>
      <c r="G1188">
        <v>45.904499999999999</v>
      </c>
      <c r="H1188">
        <v>0</v>
      </c>
      <c r="K1188">
        <v>65139</v>
      </c>
      <c r="L1188" t="s">
        <v>8133</v>
      </c>
      <c r="M1188">
        <v>0</v>
      </c>
    </row>
    <row r="1189" spans="1:13" x14ac:dyDescent="0.25">
      <c r="A1189" t="s">
        <v>8134</v>
      </c>
      <c r="B1189">
        <v>65141</v>
      </c>
      <c r="C1189">
        <v>7908039100483</v>
      </c>
      <c r="D1189">
        <v>99.9</v>
      </c>
      <c r="E1189">
        <v>56.62</v>
      </c>
      <c r="F1189">
        <v>26.13</v>
      </c>
      <c r="G1189">
        <v>39.582299999999996</v>
      </c>
      <c r="H1189">
        <v>6.7000000000000004E-2</v>
      </c>
      <c r="K1189">
        <v>65141</v>
      </c>
      <c r="L1189" t="s">
        <v>8134</v>
      </c>
      <c r="M1189">
        <v>3.3000000000000002E-2</v>
      </c>
    </row>
    <row r="1190" spans="1:13" x14ac:dyDescent="0.25">
      <c r="A1190" t="s">
        <v>8135</v>
      </c>
      <c r="B1190">
        <v>65140</v>
      </c>
      <c r="C1190">
        <v>7908039100322</v>
      </c>
      <c r="D1190">
        <v>99.9</v>
      </c>
      <c r="E1190">
        <v>54.73</v>
      </c>
      <c r="F1190">
        <v>21.03</v>
      </c>
      <c r="G1190">
        <v>44.676600000000001</v>
      </c>
      <c r="H1190">
        <v>3.3000000000000002E-2</v>
      </c>
      <c r="K1190">
        <v>65140</v>
      </c>
      <c r="L1190" t="s">
        <v>8135</v>
      </c>
      <c r="M1190">
        <v>3.3000000000000002E-2</v>
      </c>
    </row>
    <row r="1191" spans="1:13" x14ac:dyDescent="0.25">
      <c r="A1191" t="s">
        <v>8136</v>
      </c>
      <c r="B1191">
        <v>65142</v>
      </c>
      <c r="C1191">
        <v>7908039100629</v>
      </c>
      <c r="D1191">
        <v>99.9</v>
      </c>
      <c r="E1191">
        <v>53.73</v>
      </c>
      <c r="F1191">
        <v>30.45</v>
      </c>
      <c r="G1191">
        <v>35.2652</v>
      </c>
      <c r="H1191">
        <v>0</v>
      </c>
      <c r="K1191">
        <v>65142</v>
      </c>
      <c r="L1191" t="s">
        <v>8136</v>
      </c>
      <c r="M1191">
        <v>0</v>
      </c>
    </row>
    <row r="1192" spans="1:13" x14ac:dyDescent="0.25">
      <c r="A1192" t="s">
        <v>8137</v>
      </c>
      <c r="B1192">
        <v>65143</v>
      </c>
      <c r="C1192">
        <v>7908039100612</v>
      </c>
      <c r="D1192">
        <v>99.9</v>
      </c>
      <c r="E1192">
        <v>56.15</v>
      </c>
      <c r="F1192">
        <v>25.55</v>
      </c>
      <c r="G1192">
        <v>40.156399999999998</v>
      </c>
      <c r="H1192">
        <v>0</v>
      </c>
      <c r="K1192">
        <v>65143</v>
      </c>
      <c r="L1192" t="s">
        <v>8137</v>
      </c>
      <c r="M1192">
        <v>0</v>
      </c>
    </row>
    <row r="1193" spans="1:13" x14ac:dyDescent="0.25">
      <c r="A1193" t="s">
        <v>8138</v>
      </c>
      <c r="B1193">
        <v>65144</v>
      </c>
      <c r="C1193">
        <v>7908039100346</v>
      </c>
      <c r="D1193">
        <v>99.9</v>
      </c>
      <c r="E1193">
        <v>45.87</v>
      </c>
      <c r="F1193">
        <v>35.5</v>
      </c>
      <c r="G1193">
        <v>30.215</v>
      </c>
      <c r="H1193">
        <v>0</v>
      </c>
      <c r="K1193">
        <v>65144</v>
      </c>
      <c r="L1193" t="s">
        <v>8138</v>
      </c>
      <c r="M1193">
        <v>0</v>
      </c>
    </row>
    <row r="1194" spans="1:13" x14ac:dyDescent="0.25">
      <c r="A1194" t="s">
        <v>8139</v>
      </c>
      <c r="B1194">
        <v>65137</v>
      </c>
      <c r="C1194">
        <v>7908039100278</v>
      </c>
      <c r="D1194">
        <v>169.9</v>
      </c>
      <c r="E1194">
        <v>108.11</v>
      </c>
      <c r="F1194">
        <v>23.07</v>
      </c>
      <c r="G1194">
        <v>72.507999999999996</v>
      </c>
      <c r="H1194">
        <v>0.13300000000000001</v>
      </c>
      <c r="K1194">
        <v>65137</v>
      </c>
      <c r="L1194" t="s">
        <v>8139</v>
      </c>
      <c r="M1194">
        <v>0.13300000000000001</v>
      </c>
    </row>
    <row r="1195" spans="1:13" x14ac:dyDescent="0.25">
      <c r="A1195" t="s">
        <v>8140</v>
      </c>
      <c r="B1195">
        <v>65135</v>
      </c>
      <c r="C1195">
        <v>7908039100568</v>
      </c>
      <c r="D1195">
        <v>119.9</v>
      </c>
      <c r="E1195">
        <v>107.85</v>
      </c>
      <c r="F1195">
        <v>5.48</v>
      </c>
      <c r="G1195">
        <v>72.259500000000003</v>
      </c>
      <c r="H1195">
        <v>0.13300000000000001</v>
      </c>
      <c r="K1195">
        <v>65135</v>
      </c>
      <c r="L1195" t="s">
        <v>8140</v>
      </c>
      <c r="M1195">
        <v>6.7000000000000004E-2</v>
      </c>
    </row>
    <row r="1196" spans="1:13" x14ac:dyDescent="0.25">
      <c r="A1196" t="s">
        <v>8141</v>
      </c>
      <c r="B1196">
        <v>65138</v>
      </c>
      <c r="C1196">
        <v>7898918946717</v>
      </c>
      <c r="D1196">
        <v>119.9</v>
      </c>
      <c r="E1196">
        <v>107.85</v>
      </c>
      <c r="F1196">
        <v>5.63</v>
      </c>
      <c r="G1196">
        <v>72.0869</v>
      </c>
      <c r="H1196">
        <v>0.1</v>
      </c>
      <c r="K1196">
        <v>65138</v>
      </c>
      <c r="L1196" t="s">
        <v>8141</v>
      </c>
      <c r="M1196">
        <v>6.7000000000000004E-2</v>
      </c>
    </row>
    <row r="1197" spans="1:13" x14ac:dyDescent="0.25">
      <c r="A1197" t="s">
        <v>8142</v>
      </c>
      <c r="B1197">
        <v>64862</v>
      </c>
      <c r="C1197">
        <v>7908039100247</v>
      </c>
      <c r="D1197">
        <v>119.9</v>
      </c>
      <c r="E1197">
        <v>107.18</v>
      </c>
      <c r="F1197">
        <v>6.98</v>
      </c>
      <c r="G1197">
        <v>70.47</v>
      </c>
      <c r="H1197">
        <v>0.13300000000000001</v>
      </c>
      <c r="K1197">
        <v>64862</v>
      </c>
      <c r="L1197" t="s">
        <v>8142</v>
      </c>
      <c r="M1197">
        <v>0.1</v>
      </c>
    </row>
    <row r="1198" spans="1:13" x14ac:dyDescent="0.25">
      <c r="A1198" t="s">
        <v>8143</v>
      </c>
      <c r="B1198">
        <v>65136</v>
      </c>
      <c r="C1198">
        <v>7908039100728</v>
      </c>
      <c r="D1198">
        <v>169.9</v>
      </c>
      <c r="E1198">
        <v>107.18</v>
      </c>
      <c r="F1198">
        <v>24.27</v>
      </c>
      <c r="G1198">
        <v>70.469899999999996</v>
      </c>
      <c r="H1198">
        <v>3.3000000000000002E-2</v>
      </c>
      <c r="K1198">
        <v>65136</v>
      </c>
      <c r="L1198" t="s">
        <v>8143</v>
      </c>
      <c r="M1198">
        <v>3.3000000000000002E-2</v>
      </c>
    </row>
    <row r="1199" spans="1:13" x14ac:dyDescent="0.25">
      <c r="A1199" t="s">
        <v>8144</v>
      </c>
      <c r="B1199">
        <v>62009</v>
      </c>
      <c r="C1199">
        <v>3700619330716</v>
      </c>
      <c r="D1199">
        <v>89.9</v>
      </c>
      <c r="E1199">
        <v>62.14</v>
      </c>
      <c r="F1199">
        <v>20.309999999999999</v>
      </c>
      <c r="G1199">
        <v>40.854500000000002</v>
      </c>
      <c r="H1199">
        <v>0</v>
      </c>
      <c r="K1199">
        <v>62009</v>
      </c>
      <c r="L1199" t="s">
        <v>8144</v>
      </c>
      <c r="M1199">
        <v>0</v>
      </c>
    </row>
    <row r="1200" spans="1:13" x14ac:dyDescent="0.25">
      <c r="A1200" t="s">
        <v>8145</v>
      </c>
      <c r="B1200">
        <v>55977</v>
      </c>
      <c r="C1200">
        <v>7896452104617</v>
      </c>
      <c r="D1200">
        <v>39.9</v>
      </c>
      <c r="E1200">
        <v>25.03</v>
      </c>
      <c r="F1200">
        <v>23.31</v>
      </c>
      <c r="G1200">
        <v>16.933599999999998</v>
      </c>
      <c r="H1200">
        <v>1.167</v>
      </c>
      <c r="K1200">
        <v>55977</v>
      </c>
      <c r="L1200" t="s">
        <v>8145</v>
      </c>
      <c r="M1200">
        <v>1.133</v>
      </c>
    </row>
    <row r="1201" spans="1:13" x14ac:dyDescent="0.25">
      <c r="A1201" t="s">
        <v>8146</v>
      </c>
      <c r="B1201">
        <v>55976</v>
      </c>
      <c r="C1201">
        <v>7896452100343</v>
      </c>
      <c r="D1201">
        <v>39.9</v>
      </c>
      <c r="E1201">
        <v>25.65</v>
      </c>
      <c r="F1201">
        <v>22.79</v>
      </c>
      <c r="G1201">
        <v>17.140799999999999</v>
      </c>
      <c r="H1201">
        <v>1.7</v>
      </c>
      <c r="K1201">
        <v>55976</v>
      </c>
      <c r="L1201" t="s">
        <v>8146</v>
      </c>
      <c r="M1201">
        <v>1.5669999999999999</v>
      </c>
    </row>
    <row r="1202" spans="1:13" x14ac:dyDescent="0.25">
      <c r="A1202" t="s">
        <v>8147</v>
      </c>
      <c r="B1202">
        <v>30644</v>
      </c>
      <c r="C1202">
        <v>5601889009495</v>
      </c>
      <c r="D1202">
        <v>169.9</v>
      </c>
      <c r="E1202">
        <v>109.98</v>
      </c>
      <c r="F1202">
        <v>23.19</v>
      </c>
      <c r="G1202">
        <v>72.314999999999998</v>
      </c>
      <c r="H1202">
        <v>0</v>
      </c>
      <c r="K1202">
        <v>30644</v>
      </c>
      <c r="L1202" t="s">
        <v>8147</v>
      </c>
      <c r="M1202">
        <v>0</v>
      </c>
    </row>
    <row r="1203" spans="1:13" x14ac:dyDescent="0.25">
      <c r="A1203" t="s">
        <v>8148</v>
      </c>
      <c r="B1203">
        <v>52636</v>
      </c>
      <c r="C1203">
        <v>5601889009501</v>
      </c>
      <c r="D1203">
        <v>169.9</v>
      </c>
      <c r="E1203">
        <v>109.02</v>
      </c>
      <c r="F1203">
        <v>23.56</v>
      </c>
      <c r="G1203">
        <v>71.677499999999995</v>
      </c>
      <c r="H1203">
        <v>3.3000000000000002E-2</v>
      </c>
      <c r="K1203">
        <v>52636</v>
      </c>
      <c r="L1203" t="s">
        <v>8148</v>
      </c>
      <c r="M1203">
        <v>3.3000000000000002E-2</v>
      </c>
    </row>
    <row r="1204" spans="1:13" x14ac:dyDescent="0.25">
      <c r="A1204" t="s">
        <v>8149</v>
      </c>
      <c r="B1204">
        <v>59907</v>
      </c>
      <c r="C1204">
        <v>3394150046177</v>
      </c>
      <c r="D1204">
        <v>179.9</v>
      </c>
      <c r="E1204">
        <v>106.92</v>
      </c>
      <c r="F1204">
        <v>24.9</v>
      </c>
      <c r="G1204">
        <v>73.486900000000006</v>
      </c>
      <c r="H1204">
        <v>0</v>
      </c>
      <c r="K1204">
        <v>59907</v>
      </c>
      <c r="L1204" t="s">
        <v>8149</v>
      </c>
      <c r="M1204">
        <v>0</v>
      </c>
    </row>
    <row r="1205" spans="1:13" x14ac:dyDescent="0.25">
      <c r="A1205" t="s">
        <v>8150</v>
      </c>
      <c r="B1205">
        <v>59908</v>
      </c>
      <c r="C1205">
        <v>3394150047648</v>
      </c>
      <c r="D1205">
        <v>179.9</v>
      </c>
      <c r="E1205">
        <v>114.61</v>
      </c>
      <c r="F1205">
        <v>24.57</v>
      </c>
      <c r="G1205">
        <v>74.087299999999999</v>
      </c>
      <c r="H1205">
        <v>0</v>
      </c>
      <c r="K1205">
        <v>59908</v>
      </c>
      <c r="L1205" t="s">
        <v>8150</v>
      </c>
      <c r="M1205">
        <v>0</v>
      </c>
    </row>
    <row r="1206" spans="1:13" x14ac:dyDescent="0.25">
      <c r="A1206" t="s">
        <v>8151</v>
      </c>
      <c r="B1206">
        <v>63069</v>
      </c>
      <c r="C1206">
        <v>7898266931519</v>
      </c>
      <c r="D1206">
        <v>49.9</v>
      </c>
      <c r="E1206">
        <v>38.020000000000003</v>
      </c>
      <c r="F1206">
        <v>14.96</v>
      </c>
      <c r="G1206">
        <v>25.345700000000001</v>
      </c>
      <c r="H1206">
        <v>0.3</v>
      </c>
      <c r="K1206">
        <v>63069</v>
      </c>
      <c r="L1206" t="s">
        <v>8151</v>
      </c>
      <c r="M1206">
        <v>0.3</v>
      </c>
    </row>
    <row r="1207" spans="1:13" x14ac:dyDescent="0.25">
      <c r="A1207" t="s">
        <v>8152</v>
      </c>
      <c r="B1207">
        <v>58815</v>
      </c>
      <c r="C1207">
        <v>5604123005291</v>
      </c>
      <c r="D1207" s="1">
        <v>3499.9</v>
      </c>
      <c r="E1207" s="1">
        <v>1688.27</v>
      </c>
      <c r="F1207">
        <v>34.03</v>
      </c>
      <c r="G1207" s="1">
        <v>1110.04</v>
      </c>
      <c r="H1207">
        <v>0</v>
      </c>
      <c r="K1207">
        <v>58815</v>
      </c>
      <c r="L1207" t="s">
        <v>8152</v>
      </c>
      <c r="M1207">
        <v>0</v>
      </c>
    </row>
    <row r="1208" spans="1:13" x14ac:dyDescent="0.25">
      <c r="A1208" t="s">
        <v>8153</v>
      </c>
      <c r="B1208">
        <v>64696</v>
      </c>
      <c r="C1208">
        <v>5600314040102</v>
      </c>
      <c r="D1208">
        <v>99.24</v>
      </c>
      <c r="E1208">
        <v>69.010000000000005</v>
      </c>
      <c r="F1208">
        <v>21.83</v>
      </c>
      <c r="G1208">
        <v>43.585700000000003</v>
      </c>
      <c r="H1208">
        <v>0.26700000000000002</v>
      </c>
      <c r="K1208">
        <v>64696</v>
      </c>
      <c r="L1208" t="s">
        <v>8153</v>
      </c>
      <c r="M1208">
        <v>0.2</v>
      </c>
    </row>
    <row r="1209" spans="1:13" x14ac:dyDescent="0.25">
      <c r="A1209" t="s">
        <v>8154</v>
      </c>
      <c r="B1209">
        <v>64697</v>
      </c>
      <c r="C1209">
        <v>5600314042168</v>
      </c>
      <c r="D1209">
        <v>98.27</v>
      </c>
      <c r="E1209">
        <v>70.25</v>
      </c>
      <c r="F1209">
        <v>20.83</v>
      </c>
      <c r="G1209">
        <v>44.138199999999998</v>
      </c>
      <c r="H1209">
        <v>6.7000000000000004E-2</v>
      </c>
      <c r="K1209">
        <v>64697</v>
      </c>
      <c r="L1209" t="s">
        <v>8154</v>
      </c>
      <c r="M1209">
        <v>0.1</v>
      </c>
    </row>
    <row r="1210" spans="1:13" x14ac:dyDescent="0.25">
      <c r="A1210" t="s">
        <v>8155</v>
      </c>
      <c r="B1210">
        <v>64864</v>
      </c>
      <c r="C1210">
        <v>7730563000072</v>
      </c>
      <c r="D1210">
        <v>79.900000000000006</v>
      </c>
      <c r="E1210">
        <v>55.13</v>
      </c>
      <c r="F1210">
        <v>20.38</v>
      </c>
      <c r="G1210">
        <v>36.248699999999999</v>
      </c>
      <c r="H1210">
        <v>0</v>
      </c>
      <c r="K1210">
        <v>64864</v>
      </c>
      <c r="L1210" t="s">
        <v>8155</v>
      </c>
      <c r="M1210">
        <v>0</v>
      </c>
    </row>
    <row r="1211" spans="1:13" x14ac:dyDescent="0.25">
      <c r="A1211" t="s">
        <v>8156</v>
      </c>
      <c r="B1211">
        <v>64863</v>
      </c>
      <c r="C1211">
        <v>7730563020087</v>
      </c>
      <c r="D1211">
        <v>79.900000000000006</v>
      </c>
      <c r="E1211">
        <v>42.74</v>
      </c>
      <c r="F1211">
        <v>30.58</v>
      </c>
      <c r="G1211">
        <v>28.102699999999999</v>
      </c>
      <c r="H1211">
        <v>0.13300000000000001</v>
      </c>
      <c r="K1211">
        <v>64863</v>
      </c>
      <c r="L1211" t="s">
        <v>8156</v>
      </c>
      <c r="M1211">
        <v>0.13300000000000001</v>
      </c>
    </row>
    <row r="1212" spans="1:13" x14ac:dyDescent="0.25">
      <c r="A1212" t="s">
        <v>8157</v>
      </c>
      <c r="B1212">
        <v>62258</v>
      </c>
      <c r="C1212">
        <v>8437012547414</v>
      </c>
      <c r="D1212">
        <v>99.9</v>
      </c>
      <c r="E1212">
        <v>45.37</v>
      </c>
      <c r="F1212">
        <v>35.89</v>
      </c>
      <c r="G1212">
        <v>29.830500000000001</v>
      </c>
      <c r="H1212">
        <v>0</v>
      </c>
      <c r="K1212">
        <v>62258</v>
      </c>
      <c r="L1212" t="s">
        <v>8157</v>
      </c>
      <c r="M1212">
        <v>0</v>
      </c>
    </row>
    <row r="1213" spans="1:13" x14ac:dyDescent="0.25">
      <c r="A1213" t="s">
        <v>8158</v>
      </c>
      <c r="B1213">
        <v>64695</v>
      </c>
      <c r="C1213">
        <v>3391180015579</v>
      </c>
      <c r="D1213">
        <v>129.9</v>
      </c>
      <c r="E1213">
        <v>78.709999999999994</v>
      </c>
      <c r="F1213">
        <v>25.91</v>
      </c>
      <c r="G1213">
        <v>51.750100000000003</v>
      </c>
      <c r="H1213">
        <v>3.3000000000000002E-2</v>
      </c>
      <c r="K1213">
        <v>64695</v>
      </c>
      <c r="L1213" t="s">
        <v>8158</v>
      </c>
      <c r="M1213">
        <v>3.3000000000000002E-2</v>
      </c>
    </row>
    <row r="1214" spans="1:13" x14ac:dyDescent="0.25">
      <c r="A1214" t="s">
        <v>8159</v>
      </c>
      <c r="B1214">
        <v>64694</v>
      </c>
      <c r="C1214">
        <v>3391180015357</v>
      </c>
      <c r="D1214">
        <v>129.9</v>
      </c>
      <c r="E1214">
        <v>78.599999999999994</v>
      </c>
      <c r="F1214">
        <v>26.03</v>
      </c>
      <c r="G1214">
        <v>51.601199999999999</v>
      </c>
      <c r="H1214">
        <v>0</v>
      </c>
      <c r="K1214">
        <v>64694</v>
      </c>
      <c r="L1214" t="s">
        <v>8159</v>
      </c>
      <c r="M1214">
        <v>0</v>
      </c>
    </row>
    <row r="1215" spans="1:13" x14ac:dyDescent="0.25">
      <c r="A1215" t="s">
        <v>8160</v>
      </c>
      <c r="B1215">
        <v>18087</v>
      </c>
      <c r="C1215">
        <v>7804320411149</v>
      </c>
      <c r="D1215">
        <v>169.9</v>
      </c>
      <c r="E1215">
        <v>75.45</v>
      </c>
      <c r="F1215">
        <v>36.35</v>
      </c>
      <c r="G1215">
        <v>49.953600000000002</v>
      </c>
      <c r="H1215">
        <v>0</v>
      </c>
      <c r="K1215">
        <v>18087</v>
      </c>
      <c r="L1215" t="s">
        <v>8160</v>
      </c>
      <c r="M1215">
        <v>0</v>
      </c>
    </row>
    <row r="1216" spans="1:13" x14ac:dyDescent="0.25">
      <c r="A1216" t="s">
        <v>8161</v>
      </c>
      <c r="B1216">
        <v>3221</v>
      </c>
      <c r="C1216">
        <v>7804320333175</v>
      </c>
      <c r="D1216">
        <v>169.9</v>
      </c>
      <c r="E1216">
        <v>101.63</v>
      </c>
      <c r="F1216">
        <v>25.64</v>
      </c>
      <c r="G1216">
        <v>68.142200000000003</v>
      </c>
      <c r="H1216">
        <v>3.3000000000000002E-2</v>
      </c>
      <c r="K1216">
        <v>3221</v>
      </c>
      <c r="L1216" t="s">
        <v>8161</v>
      </c>
      <c r="M1216">
        <v>3.3000000000000002E-2</v>
      </c>
    </row>
    <row r="1217" spans="1:13" x14ac:dyDescent="0.25">
      <c r="A1217" t="s">
        <v>8162</v>
      </c>
      <c r="B1217">
        <v>18090</v>
      </c>
      <c r="C1217">
        <v>7804320483559</v>
      </c>
      <c r="D1217">
        <v>169.9</v>
      </c>
      <c r="E1217">
        <v>84.12</v>
      </c>
      <c r="F1217">
        <v>33.200000000000003</v>
      </c>
      <c r="G1217">
        <v>55.307400000000001</v>
      </c>
      <c r="H1217">
        <v>3.3000000000000002E-2</v>
      </c>
      <c r="K1217">
        <v>18090</v>
      </c>
      <c r="L1217" t="s">
        <v>8162</v>
      </c>
      <c r="M1217">
        <v>3.3000000000000002E-2</v>
      </c>
    </row>
    <row r="1218" spans="1:13" x14ac:dyDescent="0.25">
      <c r="A1218" t="s">
        <v>8163</v>
      </c>
      <c r="B1218">
        <v>67403</v>
      </c>
      <c r="C1218">
        <v>8411509182029</v>
      </c>
      <c r="D1218">
        <v>479.9</v>
      </c>
      <c r="E1218">
        <v>300.08999999999997</v>
      </c>
      <c r="F1218">
        <v>24.64</v>
      </c>
      <c r="G1218">
        <v>197.30670000000001</v>
      </c>
      <c r="H1218">
        <v>0</v>
      </c>
      <c r="K1218">
        <v>67403</v>
      </c>
      <c r="L1218" t="s">
        <v>8163</v>
      </c>
      <c r="M1218">
        <v>0</v>
      </c>
    </row>
    <row r="1219" spans="1:13" x14ac:dyDescent="0.25">
      <c r="A1219" t="s">
        <v>8164</v>
      </c>
      <c r="B1219">
        <v>59174</v>
      </c>
      <c r="C1219">
        <v>8427894021324</v>
      </c>
      <c r="D1219">
        <v>119.9</v>
      </c>
      <c r="E1219">
        <v>72.040000000000006</v>
      </c>
      <c r="F1219">
        <v>26.24</v>
      </c>
      <c r="G1219">
        <v>47.366799999999998</v>
      </c>
      <c r="H1219">
        <v>0</v>
      </c>
      <c r="K1219">
        <v>59174</v>
      </c>
      <c r="L1219" t="s">
        <v>8164</v>
      </c>
      <c r="M1219">
        <v>0</v>
      </c>
    </row>
    <row r="1220" spans="1:13" x14ac:dyDescent="0.25">
      <c r="A1220" t="s">
        <v>8165</v>
      </c>
      <c r="B1220">
        <v>62690</v>
      </c>
      <c r="C1220">
        <v>8437008928531</v>
      </c>
      <c r="D1220">
        <v>189.9</v>
      </c>
      <c r="E1220">
        <v>106.52</v>
      </c>
      <c r="F1220">
        <v>28.87</v>
      </c>
      <c r="G1220">
        <v>70.040199999999999</v>
      </c>
      <c r="H1220">
        <v>0</v>
      </c>
      <c r="K1220">
        <v>62690</v>
      </c>
      <c r="L1220" t="s">
        <v>8165</v>
      </c>
      <c r="M1220">
        <v>0</v>
      </c>
    </row>
    <row r="1221" spans="1:13" x14ac:dyDescent="0.25">
      <c r="A1221" t="s">
        <v>8166</v>
      </c>
      <c r="B1221">
        <v>30641</v>
      </c>
      <c r="C1221">
        <v>8009495204759</v>
      </c>
      <c r="D1221">
        <v>169.9</v>
      </c>
      <c r="E1221">
        <v>143.38999999999999</v>
      </c>
      <c r="F1221">
        <v>10.26</v>
      </c>
      <c r="G1221">
        <v>94.281700000000001</v>
      </c>
      <c r="H1221">
        <v>6.7000000000000004E-2</v>
      </c>
      <c r="K1221">
        <v>30641</v>
      </c>
      <c r="L1221" t="s">
        <v>8166</v>
      </c>
      <c r="M1221">
        <v>6.7000000000000004E-2</v>
      </c>
    </row>
    <row r="1222" spans="1:13" x14ac:dyDescent="0.25">
      <c r="A1222" t="s">
        <v>8167</v>
      </c>
      <c r="B1222">
        <v>26975</v>
      </c>
      <c r="C1222">
        <v>5601012021509</v>
      </c>
      <c r="D1222">
        <v>59.9</v>
      </c>
      <c r="E1222">
        <v>31.61</v>
      </c>
      <c r="F1222">
        <v>31.05</v>
      </c>
      <c r="G1222">
        <v>20.782900000000001</v>
      </c>
      <c r="H1222">
        <v>0.16700000000000001</v>
      </c>
      <c r="K1222">
        <v>26975</v>
      </c>
      <c r="L1222" t="s">
        <v>8167</v>
      </c>
      <c r="M1222">
        <v>0.13300000000000001</v>
      </c>
    </row>
    <row r="1223" spans="1:13" x14ac:dyDescent="0.25">
      <c r="A1223" t="s">
        <v>8168</v>
      </c>
      <c r="B1223">
        <v>63100</v>
      </c>
      <c r="C1223">
        <v>5601012011104</v>
      </c>
      <c r="D1223">
        <v>19.899999999999999</v>
      </c>
      <c r="E1223">
        <v>10.4</v>
      </c>
      <c r="F1223">
        <v>31.38</v>
      </c>
      <c r="G1223">
        <v>6.8388999999999998</v>
      </c>
      <c r="H1223">
        <v>1.9</v>
      </c>
      <c r="K1223">
        <v>63100</v>
      </c>
      <c r="L1223" t="s">
        <v>8168</v>
      </c>
      <c r="M1223">
        <v>1.833</v>
      </c>
    </row>
    <row r="1224" spans="1:13" x14ac:dyDescent="0.25">
      <c r="A1224" t="s">
        <v>8169</v>
      </c>
      <c r="B1224">
        <v>3179</v>
      </c>
      <c r="C1224">
        <v>5601012011500</v>
      </c>
      <c r="D1224">
        <v>54.9</v>
      </c>
      <c r="E1224">
        <v>31.61</v>
      </c>
      <c r="F1224">
        <v>27.9</v>
      </c>
      <c r="G1224">
        <v>20.7804</v>
      </c>
      <c r="H1224">
        <v>3.5</v>
      </c>
      <c r="K1224">
        <v>3179</v>
      </c>
      <c r="L1224" t="s">
        <v>8169</v>
      </c>
      <c r="M1224">
        <v>2.3330000000000002</v>
      </c>
    </row>
    <row r="1225" spans="1:13" x14ac:dyDescent="0.25">
      <c r="A1225" t="s">
        <v>8170</v>
      </c>
      <c r="B1225">
        <v>58377</v>
      </c>
      <c r="C1225">
        <v>7804304101004</v>
      </c>
      <c r="D1225">
        <v>149.9</v>
      </c>
      <c r="E1225">
        <v>57.65</v>
      </c>
      <c r="F1225">
        <v>40.43</v>
      </c>
      <c r="G1225">
        <v>37.956800000000001</v>
      </c>
      <c r="H1225">
        <v>0.1</v>
      </c>
      <c r="K1225">
        <v>58377</v>
      </c>
      <c r="L1225" t="s">
        <v>8170</v>
      </c>
      <c r="M1225">
        <v>6.7000000000000004E-2</v>
      </c>
    </row>
    <row r="1226" spans="1:13" x14ac:dyDescent="0.25">
      <c r="A1226" t="s">
        <v>8171</v>
      </c>
      <c r="B1226">
        <v>68027</v>
      </c>
      <c r="C1226">
        <v>7804304001229</v>
      </c>
      <c r="D1226">
        <v>149.9</v>
      </c>
      <c r="E1226">
        <v>57.41</v>
      </c>
      <c r="F1226">
        <v>40.57</v>
      </c>
      <c r="G1226">
        <v>37.748699999999999</v>
      </c>
      <c r="H1226">
        <v>0</v>
      </c>
      <c r="K1226">
        <v>68027</v>
      </c>
      <c r="L1226" t="s">
        <v>8171</v>
      </c>
      <c r="M1226">
        <v>0</v>
      </c>
    </row>
    <row r="1227" spans="1:13" x14ac:dyDescent="0.25">
      <c r="A1227" t="s">
        <v>8172</v>
      </c>
      <c r="B1227">
        <v>68036</v>
      </c>
      <c r="C1227">
        <v>7804304104517</v>
      </c>
      <c r="D1227">
        <v>149.9</v>
      </c>
      <c r="E1227">
        <v>57.41</v>
      </c>
      <c r="F1227">
        <v>40.57</v>
      </c>
      <c r="G1227">
        <v>37.747799999999998</v>
      </c>
      <c r="H1227">
        <v>3.3000000000000002E-2</v>
      </c>
      <c r="K1227">
        <v>68036</v>
      </c>
      <c r="L1227" t="s">
        <v>8172</v>
      </c>
      <c r="M1227">
        <v>0</v>
      </c>
    </row>
    <row r="1228" spans="1:13" x14ac:dyDescent="0.25">
      <c r="A1228" t="s">
        <v>8173</v>
      </c>
      <c r="B1228">
        <v>68030</v>
      </c>
      <c r="C1228">
        <v>7804304104982</v>
      </c>
      <c r="D1228">
        <v>149.9</v>
      </c>
      <c r="E1228">
        <v>57.41</v>
      </c>
      <c r="F1228">
        <v>40.57</v>
      </c>
      <c r="G1228">
        <v>37.747399999999999</v>
      </c>
      <c r="H1228">
        <v>0.16700000000000001</v>
      </c>
      <c r="K1228">
        <v>68030</v>
      </c>
      <c r="L1228" t="s">
        <v>8173</v>
      </c>
      <c r="M1228">
        <v>3.3000000000000002E-2</v>
      </c>
    </row>
    <row r="1229" spans="1:13" x14ac:dyDescent="0.25">
      <c r="A1229" t="s">
        <v>8174</v>
      </c>
      <c r="B1229">
        <v>68028</v>
      </c>
      <c r="C1229">
        <v>7804304104913</v>
      </c>
      <c r="D1229">
        <v>149.9</v>
      </c>
      <c r="E1229">
        <v>57.41</v>
      </c>
      <c r="F1229">
        <v>40.57</v>
      </c>
      <c r="G1229">
        <v>37.747500000000002</v>
      </c>
      <c r="H1229">
        <v>0</v>
      </c>
      <c r="K1229">
        <v>68028</v>
      </c>
      <c r="L1229" t="s">
        <v>8174</v>
      </c>
      <c r="M1229">
        <v>0</v>
      </c>
    </row>
    <row r="1230" spans="1:13" x14ac:dyDescent="0.25">
      <c r="A1230" t="s">
        <v>8175</v>
      </c>
      <c r="B1230">
        <v>68720</v>
      </c>
      <c r="C1230">
        <v>3800200681705</v>
      </c>
      <c r="D1230">
        <v>199.9</v>
      </c>
      <c r="E1230">
        <v>137.66999999999999</v>
      </c>
      <c r="F1230">
        <v>20.47</v>
      </c>
      <c r="G1230">
        <v>90.521699999999996</v>
      </c>
      <c r="H1230">
        <v>0</v>
      </c>
      <c r="K1230">
        <v>68720</v>
      </c>
      <c r="L1230" t="s">
        <v>8175</v>
      </c>
      <c r="M1230">
        <v>0</v>
      </c>
    </row>
    <row r="1231" spans="1:13" x14ac:dyDescent="0.25">
      <c r="A1231" t="s">
        <v>8176</v>
      </c>
      <c r="B1231">
        <v>65077</v>
      </c>
      <c r="C1231">
        <v>3256817007627</v>
      </c>
      <c r="D1231">
        <v>129.9</v>
      </c>
      <c r="E1231">
        <v>88.62</v>
      </c>
      <c r="F1231">
        <v>20.89</v>
      </c>
      <c r="G1231">
        <v>58.2669</v>
      </c>
      <c r="H1231">
        <v>0</v>
      </c>
      <c r="K1231">
        <v>65077</v>
      </c>
      <c r="L1231" t="s">
        <v>8176</v>
      </c>
      <c r="M1231">
        <v>0</v>
      </c>
    </row>
    <row r="1232" spans="1:13" x14ac:dyDescent="0.25">
      <c r="A1232" t="s">
        <v>8177</v>
      </c>
      <c r="B1232">
        <v>67307</v>
      </c>
      <c r="C1232">
        <v>3262850047230</v>
      </c>
      <c r="D1232">
        <v>79.900000000000006</v>
      </c>
      <c r="E1232">
        <v>36.630000000000003</v>
      </c>
      <c r="F1232">
        <v>35.61</v>
      </c>
      <c r="G1232">
        <v>24.082699999999999</v>
      </c>
      <c r="H1232">
        <v>2.6</v>
      </c>
      <c r="K1232">
        <v>67307</v>
      </c>
      <c r="L1232" t="s">
        <v>8177</v>
      </c>
      <c r="M1232">
        <v>0.13300000000000001</v>
      </c>
    </row>
    <row r="1233" spans="1:13" x14ac:dyDescent="0.25">
      <c r="A1233" t="s">
        <v>8178</v>
      </c>
      <c r="B1233">
        <v>67009</v>
      </c>
      <c r="C1233">
        <v>8002793007442</v>
      </c>
      <c r="D1233">
        <v>149.9</v>
      </c>
      <c r="E1233">
        <v>106.73</v>
      </c>
      <c r="F1233">
        <v>18.93</v>
      </c>
      <c r="G1233">
        <v>70.177400000000006</v>
      </c>
      <c r="H1233">
        <v>6.7000000000000004E-2</v>
      </c>
      <c r="K1233">
        <v>67009</v>
      </c>
      <c r="L1233" t="s">
        <v>8178</v>
      </c>
      <c r="M1233">
        <v>6.7000000000000004E-2</v>
      </c>
    </row>
    <row r="1234" spans="1:13" x14ac:dyDescent="0.25">
      <c r="A1234" t="s">
        <v>8179</v>
      </c>
      <c r="B1234">
        <v>59085</v>
      </c>
      <c r="C1234">
        <v>999880713936</v>
      </c>
      <c r="D1234">
        <v>153.43</v>
      </c>
      <c r="E1234">
        <v>96.8</v>
      </c>
      <c r="F1234">
        <v>24.27</v>
      </c>
      <c r="G1234">
        <v>63.648499999999999</v>
      </c>
      <c r="H1234">
        <v>0</v>
      </c>
      <c r="K1234">
        <v>59085</v>
      </c>
      <c r="L1234" t="s">
        <v>8179</v>
      </c>
      <c r="M1234">
        <v>0</v>
      </c>
    </row>
    <row r="1235" spans="1:13" x14ac:dyDescent="0.25">
      <c r="A1235" t="s">
        <v>8180</v>
      </c>
      <c r="B1235">
        <v>59086</v>
      </c>
      <c r="C1235">
        <v>999880714308</v>
      </c>
      <c r="D1235">
        <v>186.69</v>
      </c>
      <c r="E1235">
        <v>87.78</v>
      </c>
      <c r="F1235">
        <v>35.340000000000003</v>
      </c>
      <c r="G1235">
        <v>56.772799999999997</v>
      </c>
      <c r="H1235">
        <v>6.7000000000000004E-2</v>
      </c>
      <c r="K1235">
        <v>59086</v>
      </c>
      <c r="L1235" t="s">
        <v>8180</v>
      </c>
      <c r="M1235">
        <v>3.3000000000000002E-2</v>
      </c>
    </row>
    <row r="1236" spans="1:13" x14ac:dyDescent="0.25">
      <c r="A1236" t="s">
        <v>8181</v>
      </c>
      <c r="B1236">
        <v>59083</v>
      </c>
      <c r="C1236">
        <v>999880712946</v>
      </c>
      <c r="D1236">
        <v>157.29</v>
      </c>
      <c r="E1236">
        <v>115.54</v>
      </c>
      <c r="F1236">
        <v>17.45</v>
      </c>
      <c r="G1236">
        <v>75.968699999999998</v>
      </c>
      <c r="H1236">
        <v>0.13300000000000001</v>
      </c>
      <c r="K1236">
        <v>59083</v>
      </c>
      <c r="L1236" t="s">
        <v>8181</v>
      </c>
      <c r="M1236">
        <v>0</v>
      </c>
    </row>
    <row r="1237" spans="1:13" x14ac:dyDescent="0.25">
      <c r="A1237" t="s">
        <v>8182</v>
      </c>
      <c r="B1237">
        <v>57303</v>
      </c>
      <c r="C1237">
        <v>999880716210</v>
      </c>
      <c r="D1237">
        <v>175.67</v>
      </c>
      <c r="E1237">
        <v>99.39</v>
      </c>
      <c r="F1237">
        <v>28.55</v>
      </c>
      <c r="G1237">
        <v>65.348100000000002</v>
      </c>
      <c r="H1237">
        <v>0.3</v>
      </c>
      <c r="K1237">
        <v>57303</v>
      </c>
      <c r="L1237" t="s">
        <v>8182</v>
      </c>
      <c r="M1237">
        <v>6.7000000000000004E-2</v>
      </c>
    </row>
    <row r="1238" spans="1:13" x14ac:dyDescent="0.25">
      <c r="A1238" t="s">
        <v>8183</v>
      </c>
      <c r="B1238">
        <v>67933</v>
      </c>
      <c r="C1238">
        <v>7804679292826</v>
      </c>
      <c r="D1238">
        <v>34.9</v>
      </c>
      <c r="E1238">
        <v>21.53</v>
      </c>
      <c r="F1238">
        <v>25.19</v>
      </c>
      <c r="G1238">
        <v>14.157</v>
      </c>
      <c r="H1238">
        <v>1.0669999999999999</v>
      </c>
      <c r="K1238">
        <v>67933</v>
      </c>
      <c r="L1238" t="s">
        <v>8183</v>
      </c>
      <c r="M1238">
        <v>0.5</v>
      </c>
    </row>
    <row r="1239" spans="1:13" x14ac:dyDescent="0.25">
      <c r="A1239" t="s">
        <v>8184</v>
      </c>
      <c r="B1239">
        <v>67941</v>
      </c>
      <c r="C1239">
        <v>7804679292833</v>
      </c>
      <c r="D1239">
        <v>34.9</v>
      </c>
      <c r="E1239">
        <v>21.53</v>
      </c>
      <c r="F1239">
        <v>25.19</v>
      </c>
      <c r="G1239">
        <v>14.1569</v>
      </c>
      <c r="H1239">
        <v>1.4</v>
      </c>
      <c r="K1239">
        <v>67941</v>
      </c>
      <c r="L1239" t="s">
        <v>8184</v>
      </c>
      <c r="M1239">
        <v>0.46700000000000003</v>
      </c>
    </row>
    <row r="1240" spans="1:13" x14ac:dyDescent="0.25">
      <c r="A1240" t="s">
        <v>8185</v>
      </c>
      <c r="B1240">
        <v>67943</v>
      </c>
      <c r="C1240">
        <v>7804679292840</v>
      </c>
      <c r="D1240">
        <v>34.9</v>
      </c>
      <c r="E1240">
        <v>21.53</v>
      </c>
      <c r="F1240">
        <v>25.18</v>
      </c>
      <c r="G1240">
        <v>14.1586</v>
      </c>
      <c r="H1240">
        <v>0.93300000000000005</v>
      </c>
      <c r="K1240">
        <v>67943</v>
      </c>
      <c r="L1240" t="s">
        <v>8185</v>
      </c>
      <c r="M1240">
        <v>0.46700000000000003</v>
      </c>
    </row>
    <row r="1241" spans="1:13" x14ac:dyDescent="0.25">
      <c r="A1241" t="s">
        <v>8186</v>
      </c>
      <c r="B1241">
        <v>67942</v>
      </c>
      <c r="C1241">
        <v>7804679292857</v>
      </c>
      <c r="D1241">
        <v>34.9</v>
      </c>
      <c r="E1241">
        <v>21.53</v>
      </c>
      <c r="F1241">
        <v>25.18</v>
      </c>
      <c r="G1241">
        <v>14.159700000000001</v>
      </c>
      <c r="H1241">
        <v>0.7</v>
      </c>
      <c r="K1241">
        <v>67942</v>
      </c>
      <c r="L1241" t="s">
        <v>8186</v>
      </c>
      <c r="M1241">
        <v>0.6</v>
      </c>
    </row>
    <row r="1242" spans="1:13" x14ac:dyDescent="0.25">
      <c r="A1242" t="s">
        <v>8187</v>
      </c>
      <c r="B1242">
        <v>59912</v>
      </c>
      <c r="C1242">
        <v>8031303001175</v>
      </c>
      <c r="D1242">
        <v>99.9</v>
      </c>
      <c r="E1242">
        <v>56.18</v>
      </c>
      <c r="F1242">
        <v>28.78</v>
      </c>
      <c r="G1242">
        <v>36.936700000000002</v>
      </c>
      <c r="H1242">
        <v>0</v>
      </c>
      <c r="K1242">
        <v>59912</v>
      </c>
      <c r="L1242" t="s">
        <v>8187</v>
      </c>
      <c r="M1242">
        <v>0</v>
      </c>
    </row>
    <row r="1243" spans="1:13" x14ac:dyDescent="0.25">
      <c r="A1243" t="s">
        <v>8188</v>
      </c>
      <c r="B1243">
        <v>62299</v>
      </c>
      <c r="C1243">
        <v>5600366890137</v>
      </c>
      <c r="D1243" s="1">
        <v>6999.9</v>
      </c>
      <c r="E1243" s="1">
        <v>2314.5</v>
      </c>
      <c r="F1243">
        <v>44.12</v>
      </c>
      <c r="G1243" s="1">
        <v>1514.2484999999999</v>
      </c>
      <c r="H1243">
        <v>0</v>
      </c>
      <c r="K1243">
        <v>62299</v>
      </c>
      <c r="L1243" t="s">
        <v>8188</v>
      </c>
      <c r="M1243">
        <v>0</v>
      </c>
    </row>
    <row r="1244" spans="1:13" x14ac:dyDescent="0.25">
      <c r="A1244" t="s">
        <v>8189</v>
      </c>
      <c r="B1244">
        <v>61854</v>
      </c>
      <c r="C1244">
        <v>7896756800468</v>
      </c>
      <c r="D1244">
        <v>239.9</v>
      </c>
      <c r="E1244">
        <v>157.1</v>
      </c>
      <c r="F1244">
        <v>22.69</v>
      </c>
      <c r="G1244">
        <v>103.2933</v>
      </c>
      <c r="H1244">
        <v>0</v>
      </c>
      <c r="K1244">
        <v>61854</v>
      </c>
      <c r="L1244" t="s">
        <v>8189</v>
      </c>
      <c r="M1244">
        <v>0</v>
      </c>
    </row>
    <row r="1245" spans="1:13" x14ac:dyDescent="0.25">
      <c r="A1245" t="s">
        <v>8190</v>
      </c>
      <c r="B1245">
        <v>61855</v>
      </c>
      <c r="C1245">
        <v>7896756800987</v>
      </c>
      <c r="D1245">
        <v>219.9</v>
      </c>
      <c r="E1245">
        <v>128.71</v>
      </c>
      <c r="F1245">
        <v>28.55</v>
      </c>
      <c r="G1245">
        <v>81.811700000000002</v>
      </c>
      <c r="H1245">
        <v>0</v>
      </c>
      <c r="K1245">
        <v>61855</v>
      </c>
      <c r="L1245" t="s">
        <v>8190</v>
      </c>
      <c r="M1245">
        <v>0</v>
      </c>
    </row>
    <row r="1246" spans="1:13" x14ac:dyDescent="0.25">
      <c r="A1246" t="s">
        <v>8191</v>
      </c>
      <c r="B1246">
        <v>8529</v>
      </c>
      <c r="C1246">
        <v>7896756800116</v>
      </c>
      <c r="D1246">
        <v>69.900000000000006</v>
      </c>
      <c r="E1246">
        <v>41.9</v>
      </c>
      <c r="F1246">
        <v>26.33</v>
      </c>
      <c r="G1246">
        <v>27.551300000000001</v>
      </c>
      <c r="H1246">
        <v>0</v>
      </c>
      <c r="K1246">
        <v>8529</v>
      </c>
      <c r="L1246" t="s">
        <v>8191</v>
      </c>
      <c r="M1246">
        <v>0</v>
      </c>
    </row>
    <row r="1247" spans="1:13" x14ac:dyDescent="0.25">
      <c r="A1247" t="s">
        <v>8192</v>
      </c>
      <c r="B1247">
        <v>8540</v>
      </c>
      <c r="C1247">
        <v>7896756803032</v>
      </c>
      <c r="D1247">
        <v>69.900000000000006</v>
      </c>
      <c r="E1247">
        <v>39.89</v>
      </c>
      <c r="F1247">
        <v>28.23</v>
      </c>
      <c r="G1247">
        <v>26.226700000000001</v>
      </c>
      <c r="H1247">
        <v>3.3000000000000002E-2</v>
      </c>
      <c r="K1247">
        <v>8540</v>
      </c>
      <c r="L1247" t="s">
        <v>8192</v>
      </c>
      <c r="M1247">
        <v>3.3000000000000002E-2</v>
      </c>
    </row>
    <row r="1248" spans="1:13" x14ac:dyDescent="0.25">
      <c r="A1248" t="s">
        <v>8193</v>
      </c>
      <c r="B1248">
        <v>8505</v>
      </c>
      <c r="C1248">
        <v>7896756800888</v>
      </c>
      <c r="D1248">
        <v>49.9</v>
      </c>
      <c r="E1248">
        <v>28.52</v>
      </c>
      <c r="F1248">
        <v>28.24</v>
      </c>
      <c r="G1248">
        <v>18.7179</v>
      </c>
      <c r="H1248">
        <v>0</v>
      </c>
      <c r="K1248">
        <v>8505</v>
      </c>
      <c r="L1248" t="s">
        <v>8193</v>
      </c>
      <c r="M1248">
        <v>0</v>
      </c>
    </row>
    <row r="1249" spans="1:13" x14ac:dyDescent="0.25">
      <c r="A1249" t="s">
        <v>8194</v>
      </c>
      <c r="B1249">
        <v>62315</v>
      </c>
      <c r="C1249">
        <v>5601917040216</v>
      </c>
      <c r="D1249">
        <v>39.9</v>
      </c>
      <c r="E1249">
        <v>27.93</v>
      </c>
      <c r="F1249">
        <v>19.45</v>
      </c>
      <c r="G1249">
        <v>18.474499999999999</v>
      </c>
      <c r="H1249">
        <v>6.7000000000000004E-2</v>
      </c>
      <c r="K1249">
        <v>62315</v>
      </c>
      <c r="L1249" t="s">
        <v>8194</v>
      </c>
      <c r="M1249">
        <v>6.7000000000000004E-2</v>
      </c>
    </row>
    <row r="1250" spans="1:13" x14ac:dyDescent="0.25">
      <c r="A1250" t="s">
        <v>8195</v>
      </c>
      <c r="B1250">
        <v>59913</v>
      </c>
      <c r="C1250">
        <v>8031303000147</v>
      </c>
      <c r="D1250">
        <v>79.900000000000006</v>
      </c>
      <c r="E1250">
        <v>50.92</v>
      </c>
      <c r="F1250">
        <v>23.83</v>
      </c>
      <c r="G1250">
        <v>33.4923</v>
      </c>
      <c r="H1250">
        <v>0.23300000000000001</v>
      </c>
      <c r="K1250">
        <v>59913</v>
      </c>
      <c r="L1250" t="s">
        <v>8195</v>
      </c>
      <c r="M1250">
        <v>0.23300000000000001</v>
      </c>
    </row>
    <row r="1251" spans="1:13" x14ac:dyDescent="0.25">
      <c r="A1251" t="s">
        <v>8196</v>
      </c>
      <c r="B1251">
        <v>68979</v>
      </c>
      <c r="C1251">
        <v>86003780033</v>
      </c>
      <c r="D1251">
        <v>179.9</v>
      </c>
      <c r="E1251">
        <v>109.28</v>
      </c>
      <c r="F1251">
        <v>25.81</v>
      </c>
      <c r="G1251">
        <v>71.848699999999994</v>
      </c>
      <c r="H1251">
        <v>0</v>
      </c>
      <c r="K1251">
        <v>68979</v>
      </c>
      <c r="L1251" t="s">
        <v>8196</v>
      </c>
      <c r="M1251">
        <v>0</v>
      </c>
    </row>
    <row r="1252" spans="1:13" x14ac:dyDescent="0.25">
      <c r="A1252" t="s">
        <v>8197</v>
      </c>
      <c r="B1252">
        <v>19675</v>
      </c>
      <c r="C1252">
        <v>5601377339080</v>
      </c>
      <c r="D1252">
        <v>89.9</v>
      </c>
      <c r="E1252">
        <v>54.29</v>
      </c>
      <c r="F1252">
        <v>26.34</v>
      </c>
      <c r="G1252">
        <v>35.433399999999999</v>
      </c>
      <c r="H1252">
        <v>0</v>
      </c>
      <c r="K1252">
        <v>19675</v>
      </c>
      <c r="L1252" t="s">
        <v>8197</v>
      </c>
      <c r="M1252">
        <v>0</v>
      </c>
    </row>
    <row r="1253" spans="1:13" x14ac:dyDescent="0.25">
      <c r="A1253" t="s">
        <v>8198</v>
      </c>
      <c r="B1253">
        <v>51301</v>
      </c>
      <c r="C1253">
        <v>5601237172291</v>
      </c>
      <c r="D1253">
        <v>59.9</v>
      </c>
      <c r="E1253">
        <v>31.74</v>
      </c>
      <c r="F1253">
        <v>30.91</v>
      </c>
      <c r="G1253">
        <v>20.871600000000001</v>
      </c>
      <c r="H1253">
        <v>0.1</v>
      </c>
      <c r="K1253">
        <v>51301</v>
      </c>
      <c r="L1253" t="s">
        <v>8198</v>
      </c>
      <c r="M1253">
        <v>0.1</v>
      </c>
    </row>
    <row r="1254" spans="1:13" x14ac:dyDescent="0.25">
      <c r="A1254" t="s">
        <v>8199</v>
      </c>
      <c r="B1254">
        <v>63048</v>
      </c>
      <c r="C1254">
        <v>5602720094199</v>
      </c>
      <c r="D1254">
        <v>59.9</v>
      </c>
      <c r="E1254">
        <v>38.49</v>
      </c>
      <c r="F1254">
        <v>23.57</v>
      </c>
      <c r="G1254">
        <v>25.263000000000002</v>
      </c>
      <c r="H1254">
        <v>0.13300000000000001</v>
      </c>
      <c r="K1254">
        <v>63048</v>
      </c>
      <c r="L1254" t="s">
        <v>8199</v>
      </c>
      <c r="M1254">
        <v>0.13300000000000001</v>
      </c>
    </row>
    <row r="1255" spans="1:13" x14ac:dyDescent="0.25">
      <c r="A1255" t="s">
        <v>8200</v>
      </c>
      <c r="B1255">
        <v>66603</v>
      </c>
      <c r="C1255">
        <v>5603238473919</v>
      </c>
      <c r="D1255">
        <v>119.9</v>
      </c>
      <c r="E1255">
        <v>53.71</v>
      </c>
      <c r="F1255">
        <v>36.29</v>
      </c>
      <c r="G1255">
        <v>35.317399999999999</v>
      </c>
      <c r="H1255">
        <v>6.7000000000000004E-2</v>
      </c>
      <c r="K1255">
        <v>66603</v>
      </c>
      <c r="L1255" t="s">
        <v>8200</v>
      </c>
      <c r="M1255">
        <v>6.7000000000000004E-2</v>
      </c>
    </row>
    <row r="1256" spans="1:13" x14ac:dyDescent="0.25">
      <c r="A1256" t="s">
        <v>8201</v>
      </c>
      <c r="B1256">
        <v>66879</v>
      </c>
      <c r="C1256">
        <v>5604098010443</v>
      </c>
      <c r="D1256">
        <v>99.9</v>
      </c>
      <c r="E1256">
        <v>86.77</v>
      </c>
      <c r="F1256">
        <v>8.64</v>
      </c>
      <c r="G1256">
        <v>57.053100000000001</v>
      </c>
      <c r="H1256">
        <v>6.7000000000000004E-2</v>
      </c>
      <c r="K1256">
        <v>66879</v>
      </c>
      <c r="L1256" t="s">
        <v>8201</v>
      </c>
      <c r="M1256">
        <v>0</v>
      </c>
    </row>
    <row r="1257" spans="1:13" x14ac:dyDescent="0.25">
      <c r="A1257" t="s">
        <v>8202</v>
      </c>
      <c r="B1257">
        <v>66880</v>
      </c>
      <c r="C1257">
        <v>5604098010450</v>
      </c>
      <c r="D1257">
        <v>99.9</v>
      </c>
      <c r="E1257">
        <v>79.08</v>
      </c>
      <c r="F1257">
        <v>15.16</v>
      </c>
      <c r="G1257">
        <v>57.5306</v>
      </c>
      <c r="H1257">
        <v>3.3000000000000002E-2</v>
      </c>
      <c r="K1257">
        <v>66880</v>
      </c>
      <c r="L1257" t="s">
        <v>8202</v>
      </c>
      <c r="M1257">
        <v>0</v>
      </c>
    </row>
    <row r="1258" spans="1:13" x14ac:dyDescent="0.25">
      <c r="A1258" t="s">
        <v>8203</v>
      </c>
      <c r="B1258">
        <v>68546</v>
      </c>
      <c r="C1258">
        <v>5604098011266</v>
      </c>
      <c r="D1258">
        <v>99.9</v>
      </c>
      <c r="E1258">
        <v>87.7</v>
      </c>
      <c r="F1258">
        <v>8.0299999999999994</v>
      </c>
      <c r="G1258">
        <v>57.660200000000003</v>
      </c>
      <c r="H1258">
        <v>3.3000000000000002E-2</v>
      </c>
      <c r="K1258">
        <v>68546</v>
      </c>
      <c r="L1258" t="s">
        <v>8203</v>
      </c>
      <c r="M1258">
        <v>0</v>
      </c>
    </row>
    <row r="1259" spans="1:13" x14ac:dyDescent="0.25">
      <c r="A1259" t="s">
        <v>8204</v>
      </c>
      <c r="B1259">
        <v>66872</v>
      </c>
      <c r="C1259">
        <v>5604098010436</v>
      </c>
      <c r="D1259">
        <v>169.9</v>
      </c>
      <c r="E1259">
        <v>109.56</v>
      </c>
      <c r="F1259">
        <v>23.35</v>
      </c>
      <c r="G1259">
        <v>72.038700000000006</v>
      </c>
      <c r="H1259">
        <v>3.3000000000000002E-2</v>
      </c>
      <c r="K1259">
        <v>66872</v>
      </c>
      <c r="L1259" t="s">
        <v>8204</v>
      </c>
      <c r="M1259">
        <v>3.3000000000000002E-2</v>
      </c>
    </row>
    <row r="1260" spans="1:13" x14ac:dyDescent="0.25">
      <c r="A1260" t="s">
        <v>8205</v>
      </c>
      <c r="B1260">
        <v>3226</v>
      </c>
      <c r="C1260">
        <v>5601989001566</v>
      </c>
      <c r="D1260">
        <v>69.900000000000006</v>
      </c>
      <c r="E1260">
        <v>43.12</v>
      </c>
      <c r="F1260">
        <v>25.28</v>
      </c>
      <c r="G1260">
        <v>28.288699999999999</v>
      </c>
      <c r="H1260">
        <v>0.3</v>
      </c>
      <c r="K1260">
        <v>3226</v>
      </c>
      <c r="L1260" t="s">
        <v>8205</v>
      </c>
      <c r="M1260">
        <v>0.3</v>
      </c>
    </row>
    <row r="1261" spans="1:13" x14ac:dyDescent="0.25">
      <c r="A1261" t="s">
        <v>8206</v>
      </c>
      <c r="B1261">
        <v>62287</v>
      </c>
      <c r="C1261">
        <v>5601989952929</v>
      </c>
      <c r="D1261">
        <v>99.9</v>
      </c>
      <c r="E1261">
        <v>60.36</v>
      </c>
      <c r="F1261">
        <v>26.03</v>
      </c>
      <c r="G1261">
        <v>39.6845</v>
      </c>
      <c r="H1261">
        <v>3.3000000000000002E-2</v>
      </c>
      <c r="K1261">
        <v>62287</v>
      </c>
      <c r="L1261" t="s">
        <v>8206</v>
      </c>
      <c r="M1261">
        <v>3.3000000000000002E-2</v>
      </c>
    </row>
    <row r="1262" spans="1:13" x14ac:dyDescent="0.25">
      <c r="A1262" t="s">
        <v>8207</v>
      </c>
      <c r="B1262">
        <v>64035</v>
      </c>
      <c r="C1262">
        <v>5601989950086</v>
      </c>
      <c r="D1262">
        <v>69.900000000000006</v>
      </c>
      <c r="E1262">
        <v>45.6</v>
      </c>
      <c r="F1262">
        <v>22.39</v>
      </c>
      <c r="G1262">
        <v>30.309100000000001</v>
      </c>
      <c r="H1262">
        <v>3.3000000000000002E-2</v>
      </c>
      <c r="K1262">
        <v>64035</v>
      </c>
      <c r="L1262" t="s">
        <v>8207</v>
      </c>
      <c r="M1262">
        <v>3.3000000000000002E-2</v>
      </c>
    </row>
    <row r="1263" spans="1:13" x14ac:dyDescent="0.25">
      <c r="A1263" t="s">
        <v>8208</v>
      </c>
      <c r="B1263">
        <v>3227</v>
      </c>
      <c r="C1263">
        <v>5601989001412</v>
      </c>
      <c r="D1263">
        <v>69.900000000000006</v>
      </c>
      <c r="E1263">
        <v>42.14</v>
      </c>
      <c r="F1263">
        <v>26.13</v>
      </c>
      <c r="G1263">
        <v>27.697800000000001</v>
      </c>
      <c r="H1263">
        <v>1.3</v>
      </c>
      <c r="K1263">
        <v>3227</v>
      </c>
      <c r="L1263" t="s">
        <v>8208</v>
      </c>
      <c r="M1263">
        <v>0.73299999999999998</v>
      </c>
    </row>
    <row r="1264" spans="1:13" x14ac:dyDescent="0.25">
      <c r="A1264" t="s">
        <v>8209</v>
      </c>
      <c r="B1264">
        <v>15395</v>
      </c>
      <c r="C1264">
        <v>7899413373268</v>
      </c>
      <c r="D1264">
        <v>185.45</v>
      </c>
      <c r="E1264">
        <v>127.29</v>
      </c>
      <c r="F1264">
        <v>23.6</v>
      </c>
      <c r="G1264">
        <v>78.162499999999994</v>
      </c>
      <c r="H1264">
        <v>6.7000000000000004E-2</v>
      </c>
      <c r="K1264">
        <v>15395</v>
      </c>
      <c r="L1264" t="s">
        <v>8209</v>
      </c>
      <c r="M1264">
        <v>3.3000000000000002E-2</v>
      </c>
    </row>
    <row r="1265" spans="1:13" x14ac:dyDescent="0.25">
      <c r="A1265" t="s">
        <v>8210</v>
      </c>
      <c r="B1265">
        <v>25341</v>
      </c>
      <c r="C1265">
        <v>7899413340581</v>
      </c>
      <c r="D1265">
        <v>195.39</v>
      </c>
      <c r="E1265">
        <v>125.12</v>
      </c>
      <c r="F1265">
        <v>25.57</v>
      </c>
      <c r="G1265">
        <v>78.503699999999995</v>
      </c>
      <c r="H1265">
        <v>3.3000000000000002E-2</v>
      </c>
      <c r="K1265">
        <v>25341</v>
      </c>
      <c r="L1265" t="s">
        <v>8210</v>
      </c>
      <c r="M1265">
        <v>0</v>
      </c>
    </row>
    <row r="1266" spans="1:13" x14ac:dyDescent="0.25">
      <c r="A1266" t="s">
        <v>8211</v>
      </c>
      <c r="B1266">
        <v>68441</v>
      </c>
      <c r="C1266">
        <v>715126000123</v>
      </c>
      <c r="D1266">
        <v>169.9</v>
      </c>
      <c r="E1266">
        <v>106.37</v>
      </c>
      <c r="F1266">
        <v>24.59</v>
      </c>
      <c r="G1266">
        <v>69.938400000000001</v>
      </c>
      <c r="H1266">
        <v>3.3000000000000002E-2</v>
      </c>
      <c r="K1266">
        <v>68441</v>
      </c>
      <c r="L1266" t="s">
        <v>8211</v>
      </c>
      <c r="M1266">
        <v>0</v>
      </c>
    </row>
    <row r="1267" spans="1:13" x14ac:dyDescent="0.25">
      <c r="A1267" t="s">
        <v>8212</v>
      </c>
      <c r="B1267">
        <v>68508</v>
      </c>
      <c r="C1267">
        <v>715126000130</v>
      </c>
      <c r="D1267">
        <v>164.45</v>
      </c>
      <c r="E1267">
        <v>106.37</v>
      </c>
      <c r="F1267">
        <v>23.22</v>
      </c>
      <c r="G1267">
        <v>69.937600000000003</v>
      </c>
      <c r="H1267">
        <v>6.7000000000000004E-2</v>
      </c>
      <c r="K1267">
        <v>68508</v>
      </c>
      <c r="L1267" t="s">
        <v>8212</v>
      </c>
      <c r="M1267">
        <v>0</v>
      </c>
    </row>
    <row r="1268" spans="1:13" x14ac:dyDescent="0.25">
      <c r="A1268" t="s">
        <v>8213</v>
      </c>
      <c r="B1268">
        <v>68509</v>
      </c>
      <c r="C1268">
        <v>715126900133</v>
      </c>
      <c r="D1268">
        <v>171.48</v>
      </c>
      <c r="E1268">
        <v>106.37</v>
      </c>
      <c r="F1268">
        <v>24.96</v>
      </c>
      <c r="G1268">
        <v>69.938599999999994</v>
      </c>
      <c r="H1268">
        <v>6.7000000000000004E-2</v>
      </c>
      <c r="K1268">
        <v>68509</v>
      </c>
      <c r="L1268" t="s">
        <v>8213</v>
      </c>
      <c r="M1268">
        <v>0</v>
      </c>
    </row>
    <row r="1269" spans="1:13" x14ac:dyDescent="0.25">
      <c r="A1269" t="s">
        <v>8214</v>
      </c>
      <c r="B1269">
        <v>68510</v>
      </c>
      <c r="C1269">
        <v>715126001786</v>
      </c>
      <c r="D1269">
        <v>159.9</v>
      </c>
      <c r="E1269">
        <v>106.37</v>
      </c>
      <c r="F1269">
        <v>22.01</v>
      </c>
      <c r="G1269">
        <v>69.937899999999999</v>
      </c>
      <c r="H1269">
        <v>0</v>
      </c>
      <c r="K1269">
        <v>68510</v>
      </c>
      <c r="L1269" t="s">
        <v>8214</v>
      </c>
      <c r="M1269">
        <v>0</v>
      </c>
    </row>
    <row r="1270" spans="1:13" x14ac:dyDescent="0.25">
      <c r="A1270" t="s">
        <v>8215</v>
      </c>
      <c r="B1270">
        <v>54197</v>
      </c>
      <c r="C1270">
        <v>715126900423</v>
      </c>
      <c r="D1270">
        <v>89.9</v>
      </c>
      <c r="E1270">
        <v>52.96</v>
      </c>
      <c r="F1270">
        <v>27.41</v>
      </c>
      <c r="G1270">
        <v>34.464300000000001</v>
      </c>
      <c r="H1270">
        <v>0.2</v>
      </c>
      <c r="K1270">
        <v>54197</v>
      </c>
      <c r="L1270" t="s">
        <v>8215</v>
      </c>
      <c r="M1270">
        <v>3.3000000000000002E-2</v>
      </c>
    </row>
    <row r="1271" spans="1:13" x14ac:dyDescent="0.25">
      <c r="A1271" t="s">
        <v>8216</v>
      </c>
      <c r="B1271">
        <v>58653</v>
      </c>
      <c r="C1271">
        <v>715126000017</v>
      </c>
      <c r="D1271">
        <v>89.9</v>
      </c>
      <c r="E1271">
        <v>52.4</v>
      </c>
      <c r="F1271">
        <v>27.51</v>
      </c>
      <c r="G1271">
        <v>34.376100000000001</v>
      </c>
      <c r="H1271">
        <v>0.433</v>
      </c>
      <c r="K1271">
        <v>58653</v>
      </c>
      <c r="L1271" t="s">
        <v>8216</v>
      </c>
      <c r="M1271">
        <v>0.26700000000000002</v>
      </c>
    </row>
    <row r="1272" spans="1:13" x14ac:dyDescent="0.25">
      <c r="A1272" t="s">
        <v>8217</v>
      </c>
      <c r="B1272">
        <v>68442</v>
      </c>
      <c r="C1272">
        <v>715126011228</v>
      </c>
      <c r="D1272">
        <v>87.46</v>
      </c>
      <c r="E1272">
        <v>53.12</v>
      </c>
      <c r="F1272">
        <v>25.81</v>
      </c>
      <c r="G1272">
        <v>34.9298</v>
      </c>
      <c r="H1272">
        <v>0.1</v>
      </c>
      <c r="K1272">
        <v>68442</v>
      </c>
      <c r="L1272" t="s">
        <v>8217</v>
      </c>
      <c r="M1272">
        <v>6.7000000000000004E-2</v>
      </c>
    </row>
    <row r="1273" spans="1:13" x14ac:dyDescent="0.25">
      <c r="A1273" t="s">
        <v>8218</v>
      </c>
      <c r="B1273">
        <v>68511</v>
      </c>
      <c r="C1273">
        <v>715126200035</v>
      </c>
      <c r="D1273">
        <v>89.9</v>
      </c>
      <c r="E1273">
        <v>53.12</v>
      </c>
      <c r="F1273">
        <v>26.9</v>
      </c>
      <c r="G1273">
        <v>34.9283</v>
      </c>
      <c r="H1273">
        <v>0.4</v>
      </c>
      <c r="K1273">
        <v>68511</v>
      </c>
      <c r="L1273" t="s">
        <v>8218</v>
      </c>
      <c r="M1273">
        <v>0.13300000000000001</v>
      </c>
    </row>
    <row r="1274" spans="1:13" x14ac:dyDescent="0.25">
      <c r="A1274" t="s">
        <v>8219</v>
      </c>
      <c r="B1274">
        <v>68512</v>
      </c>
      <c r="C1274">
        <v>715126022125</v>
      </c>
      <c r="D1274">
        <v>89.9</v>
      </c>
      <c r="E1274">
        <v>53.12</v>
      </c>
      <c r="F1274">
        <v>26.9</v>
      </c>
      <c r="G1274">
        <v>34.9298</v>
      </c>
      <c r="H1274">
        <v>0.26700000000000002</v>
      </c>
      <c r="K1274">
        <v>68512</v>
      </c>
      <c r="L1274" t="s">
        <v>8219</v>
      </c>
      <c r="M1274">
        <v>0.13300000000000001</v>
      </c>
    </row>
    <row r="1275" spans="1:13" x14ac:dyDescent="0.25">
      <c r="A1275" t="s">
        <v>8220</v>
      </c>
      <c r="B1275">
        <v>68443</v>
      </c>
      <c r="C1275">
        <v>715126272001</v>
      </c>
      <c r="D1275">
        <v>999.9</v>
      </c>
      <c r="E1275">
        <v>567.01</v>
      </c>
      <c r="F1275">
        <v>28.47</v>
      </c>
      <c r="G1275">
        <v>372.81110000000001</v>
      </c>
      <c r="H1275">
        <v>0</v>
      </c>
      <c r="K1275">
        <v>68443</v>
      </c>
      <c r="L1275" t="s">
        <v>8220</v>
      </c>
      <c r="M1275">
        <v>0</v>
      </c>
    </row>
    <row r="1276" spans="1:13" x14ac:dyDescent="0.25">
      <c r="A1276" t="s">
        <v>8221</v>
      </c>
      <c r="B1276">
        <v>32166</v>
      </c>
      <c r="C1276">
        <v>7730910250112</v>
      </c>
      <c r="D1276">
        <v>59.9</v>
      </c>
      <c r="E1276">
        <v>32.69</v>
      </c>
      <c r="F1276">
        <v>29.88</v>
      </c>
      <c r="G1276">
        <v>21.487300000000001</v>
      </c>
      <c r="H1276">
        <v>6.7000000000000004E-2</v>
      </c>
      <c r="K1276">
        <v>32166</v>
      </c>
      <c r="L1276" t="s">
        <v>8221</v>
      </c>
      <c r="M1276">
        <v>6.7000000000000004E-2</v>
      </c>
    </row>
    <row r="1277" spans="1:13" x14ac:dyDescent="0.25">
      <c r="A1277" t="s">
        <v>8222</v>
      </c>
      <c r="B1277">
        <v>29738</v>
      </c>
      <c r="C1277">
        <v>7730910250297</v>
      </c>
      <c r="D1277">
        <v>69.900000000000006</v>
      </c>
      <c r="E1277">
        <v>45.89</v>
      </c>
      <c r="F1277">
        <v>22.58</v>
      </c>
      <c r="G1277">
        <v>30.172999999999998</v>
      </c>
      <c r="H1277">
        <v>0.433</v>
      </c>
      <c r="K1277">
        <v>29738</v>
      </c>
      <c r="L1277" t="s">
        <v>8222</v>
      </c>
      <c r="M1277">
        <v>0.3</v>
      </c>
    </row>
    <row r="1278" spans="1:13" x14ac:dyDescent="0.25">
      <c r="A1278" t="s">
        <v>8223</v>
      </c>
      <c r="B1278">
        <v>57996</v>
      </c>
      <c r="C1278">
        <v>7730910250358</v>
      </c>
      <c r="D1278">
        <v>69.900000000000006</v>
      </c>
      <c r="E1278">
        <v>45.89</v>
      </c>
      <c r="F1278">
        <v>22.58</v>
      </c>
      <c r="G1278">
        <v>30.173500000000001</v>
      </c>
      <c r="H1278">
        <v>0</v>
      </c>
      <c r="K1278">
        <v>57996</v>
      </c>
      <c r="L1278" t="s">
        <v>8223</v>
      </c>
      <c r="M1278">
        <v>0</v>
      </c>
    </row>
    <row r="1279" spans="1:13" x14ac:dyDescent="0.25">
      <c r="A1279" t="s">
        <v>8224</v>
      </c>
      <c r="B1279">
        <v>55757</v>
      </c>
      <c r="C1279">
        <v>715126000000</v>
      </c>
      <c r="D1279">
        <v>129.9</v>
      </c>
      <c r="E1279">
        <v>79.86</v>
      </c>
      <c r="F1279">
        <v>25.33</v>
      </c>
      <c r="G1279">
        <v>52.507199999999997</v>
      </c>
      <c r="H1279">
        <v>6.7000000000000004E-2</v>
      </c>
      <c r="K1279">
        <v>55757</v>
      </c>
      <c r="L1279" t="s">
        <v>8224</v>
      </c>
      <c r="M1279">
        <v>6.7000000000000004E-2</v>
      </c>
    </row>
    <row r="1280" spans="1:13" x14ac:dyDescent="0.25">
      <c r="A1280" t="s">
        <v>8225</v>
      </c>
      <c r="B1280">
        <v>67304</v>
      </c>
      <c r="C1280">
        <v>3271360040037</v>
      </c>
      <c r="D1280">
        <v>79.900000000000006</v>
      </c>
      <c r="E1280">
        <v>37.19</v>
      </c>
      <c r="F1280">
        <v>35.15</v>
      </c>
      <c r="G1280">
        <v>24.451899999999998</v>
      </c>
      <c r="H1280">
        <v>0.5</v>
      </c>
      <c r="K1280">
        <v>67304</v>
      </c>
      <c r="L1280" t="s">
        <v>8225</v>
      </c>
      <c r="M1280">
        <v>0.1</v>
      </c>
    </row>
    <row r="1281" spans="1:13" x14ac:dyDescent="0.25">
      <c r="A1281" t="s">
        <v>8226</v>
      </c>
      <c r="B1281">
        <v>67305</v>
      </c>
      <c r="C1281">
        <v>3271360039727</v>
      </c>
      <c r="D1281">
        <v>79.900000000000006</v>
      </c>
      <c r="E1281">
        <v>37.19</v>
      </c>
      <c r="F1281">
        <v>35.15</v>
      </c>
      <c r="G1281">
        <v>24.452999999999999</v>
      </c>
      <c r="H1281">
        <v>1</v>
      </c>
      <c r="K1281">
        <v>67305</v>
      </c>
      <c r="L1281" t="s">
        <v>8226</v>
      </c>
      <c r="M1281">
        <v>0.36699999999999999</v>
      </c>
    </row>
    <row r="1282" spans="1:13" x14ac:dyDescent="0.25">
      <c r="A1282" t="s">
        <v>8227</v>
      </c>
      <c r="B1282">
        <v>61748</v>
      </c>
      <c r="C1282">
        <v>3500610096600</v>
      </c>
      <c r="D1282">
        <v>59.9</v>
      </c>
      <c r="E1282">
        <v>47.61</v>
      </c>
      <c r="F1282">
        <v>14.1</v>
      </c>
      <c r="G1282">
        <v>30.9404</v>
      </c>
      <c r="H1282">
        <v>3.3000000000000002E-2</v>
      </c>
      <c r="K1282">
        <v>61748</v>
      </c>
      <c r="L1282" t="s">
        <v>8227</v>
      </c>
      <c r="M1282">
        <v>3.3000000000000002E-2</v>
      </c>
    </row>
    <row r="1283" spans="1:13" x14ac:dyDescent="0.25">
      <c r="A1283" t="s">
        <v>8228</v>
      </c>
      <c r="B1283">
        <v>61747</v>
      </c>
      <c r="C1283">
        <v>3500610096624</v>
      </c>
      <c r="D1283">
        <v>59.9</v>
      </c>
      <c r="E1283">
        <v>37.450000000000003</v>
      </c>
      <c r="F1283">
        <v>24.64</v>
      </c>
      <c r="G1283">
        <v>24.6266</v>
      </c>
      <c r="H1283">
        <v>0</v>
      </c>
      <c r="K1283">
        <v>61747</v>
      </c>
      <c r="L1283" t="s">
        <v>8228</v>
      </c>
      <c r="M1283">
        <v>0</v>
      </c>
    </row>
    <row r="1284" spans="1:13" x14ac:dyDescent="0.25">
      <c r="A1284" t="s">
        <v>8229</v>
      </c>
      <c r="B1284">
        <v>27698</v>
      </c>
      <c r="C1284">
        <v>5609450101128</v>
      </c>
      <c r="D1284">
        <v>89.9</v>
      </c>
      <c r="E1284">
        <v>56.38</v>
      </c>
      <c r="F1284">
        <v>24.51</v>
      </c>
      <c r="G1284">
        <v>37.072200000000002</v>
      </c>
      <c r="H1284">
        <v>6.7000000000000004E-2</v>
      </c>
      <c r="K1284">
        <v>27698</v>
      </c>
      <c r="L1284" t="s">
        <v>8229</v>
      </c>
      <c r="M1284">
        <v>6.7000000000000004E-2</v>
      </c>
    </row>
    <row r="1285" spans="1:13" x14ac:dyDescent="0.25">
      <c r="A1285" t="s">
        <v>8230</v>
      </c>
      <c r="B1285">
        <v>58496</v>
      </c>
      <c r="C1285">
        <v>8026143001782</v>
      </c>
      <c r="D1285">
        <v>299.89999999999998</v>
      </c>
      <c r="E1285">
        <v>198.43</v>
      </c>
      <c r="F1285">
        <v>22.25</v>
      </c>
      <c r="G1285">
        <v>130.46619999999999</v>
      </c>
      <c r="H1285">
        <v>0</v>
      </c>
      <c r="K1285">
        <v>58496</v>
      </c>
      <c r="L1285" t="s">
        <v>8230</v>
      </c>
      <c r="M1285">
        <v>0</v>
      </c>
    </row>
    <row r="1286" spans="1:13" x14ac:dyDescent="0.25">
      <c r="A1286" t="s">
        <v>8231</v>
      </c>
      <c r="B1286">
        <v>64123</v>
      </c>
      <c r="C1286">
        <v>5609655142155</v>
      </c>
      <c r="D1286">
        <v>499.9</v>
      </c>
      <c r="E1286">
        <v>401.8</v>
      </c>
      <c r="F1286">
        <v>12.9</v>
      </c>
      <c r="G1286">
        <v>264.18939999999998</v>
      </c>
      <c r="H1286">
        <v>0</v>
      </c>
      <c r="K1286">
        <v>64123</v>
      </c>
      <c r="L1286" t="s">
        <v>8231</v>
      </c>
      <c r="M1286">
        <v>0</v>
      </c>
    </row>
    <row r="1287" spans="1:13" x14ac:dyDescent="0.25">
      <c r="A1287" t="s">
        <v>8232</v>
      </c>
      <c r="B1287">
        <v>62178</v>
      </c>
      <c r="C1287">
        <v>3262152116757</v>
      </c>
      <c r="D1287">
        <v>139.9</v>
      </c>
      <c r="E1287">
        <v>87.29</v>
      </c>
      <c r="F1287">
        <v>24.72</v>
      </c>
      <c r="G1287">
        <v>57.395499999999998</v>
      </c>
      <c r="H1287">
        <v>6.7000000000000004E-2</v>
      </c>
      <c r="K1287">
        <v>62178</v>
      </c>
      <c r="L1287" t="s">
        <v>8232</v>
      </c>
      <c r="M1287">
        <v>6.7000000000000004E-2</v>
      </c>
    </row>
    <row r="1288" spans="1:13" x14ac:dyDescent="0.25">
      <c r="A1288" t="s">
        <v>8233</v>
      </c>
      <c r="B1288">
        <v>62179</v>
      </c>
      <c r="C1288">
        <v>3262153108751</v>
      </c>
      <c r="D1288">
        <v>139.9</v>
      </c>
      <c r="E1288">
        <v>87.31</v>
      </c>
      <c r="F1288">
        <v>24.74</v>
      </c>
      <c r="G1288">
        <v>57.376399999999997</v>
      </c>
      <c r="H1288">
        <v>3.3000000000000002E-2</v>
      </c>
      <c r="K1288">
        <v>62179</v>
      </c>
      <c r="L1288" t="s">
        <v>8233</v>
      </c>
      <c r="M1288">
        <v>3.3000000000000002E-2</v>
      </c>
    </row>
    <row r="1289" spans="1:13" x14ac:dyDescent="0.25">
      <c r="A1289" t="s">
        <v>8234</v>
      </c>
      <c r="B1289">
        <v>27518</v>
      </c>
      <c r="C1289">
        <v>3262151001757</v>
      </c>
      <c r="D1289">
        <v>169.9</v>
      </c>
      <c r="E1289">
        <v>98.81</v>
      </c>
      <c r="F1289">
        <v>27.51</v>
      </c>
      <c r="G1289">
        <v>64.9709</v>
      </c>
      <c r="H1289">
        <v>0</v>
      </c>
      <c r="K1289">
        <v>27518</v>
      </c>
      <c r="L1289" t="s">
        <v>8234</v>
      </c>
      <c r="M1289">
        <v>0</v>
      </c>
    </row>
    <row r="1290" spans="1:13" x14ac:dyDescent="0.25">
      <c r="A1290" t="s">
        <v>8235</v>
      </c>
      <c r="B1290">
        <v>27519</v>
      </c>
      <c r="C1290">
        <v>3262152098756</v>
      </c>
      <c r="D1290">
        <v>359.9</v>
      </c>
      <c r="E1290">
        <v>232.27</v>
      </c>
      <c r="F1290">
        <v>23.32</v>
      </c>
      <c r="G1290">
        <v>152.72</v>
      </c>
      <c r="H1290">
        <v>0</v>
      </c>
      <c r="K1290">
        <v>27519</v>
      </c>
      <c r="L1290" t="s">
        <v>8235</v>
      </c>
      <c r="M1290">
        <v>0</v>
      </c>
    </row>
    <row r="1291" spans="1:13" x14ac:dyDescent="0.25">
      <c r="A1291" t="s">
        <v>8236</v>
      </c>
      <c r="B1291">
        <v>58659</v>
      </c>
      <c r="C1291">
        <v>8414542020051</v>
      </c>
      <c r="D1291">
        <v>999.9</v>
      </c>
      <c r="E1291">
        <v>689.31</v>
      </c>
      <c r="F1291">
        <v>20.420000000000002</v>
      </c>
      <c r="G1291">
        <v>453.22</v>
      </c>
      <c r="H1291">
        <v>0</v>
      </c>
      <c r="K1291">
        <v>58659</v>
      </c>
      <c r="L1291" t="s">
        <v>8236</v>
      </c>
      <c r="M1291">
        <v>0</v>
      </c>
    </row>
    <row r="1292" spans="1:13" x14ac:dyDescent="0.25">
      <c r="A1292" t="s">
        <v>8237</v>
      </c>
      <c r="B1292">
        <v>23518</v>
      </c>
      <c r="C1292">
        <v>5601531101119</v>
      </c>
      <c r="D1292">
        <v>124.9</v>
      </c>
      <c r="E1292">
        <v>86.57</v>
      </c>
      <c r="F1292">
        <v>23.08</v>
      </c>
      <c r="G1292">
        <v>53.291499999999999</v>
      </c>
      <c r="H1292">
        <v>0.3</v>
      </c>
      <c r="K1292">
        <v>23518</v>
      </c>
      <c r="L1292" t="s">
        <v>8237</v>
      </c>
      <c r="M1292">
        <v>0</v>
      </c>
    </row>
    <row r="1293" spans="1:13" x14ac:dyDescent="0.25">
      <c r="A1293" t="s">
        <v>8238</v>
      </c>
      <c r="B1293">
        <v>59904</v>
      </c>
      <c r="C1293">
        <v>8031303000666</v>
      </c>
      <c r="D1293">
        <v>69.900000000000006</v>
      </c>
      <c r="E1293">
        <v>40.57</v>
      </c>
      <c r="F1293">
        <v>28.08</v>
      </c>
      <c r="G1293">
        <v>26.334700000000002</v>
      </c>
      <c r="H1293">
        <v>0.23300000000000001</v>
      </c>
      <c r="K1293">
        <v>59904</v>
      </c>
      <c r="L1293" t="s">
        <v>8238</v>
      </c>
      <c r="M1293">
        <v>0.23300000000000001</v>
      </c>
    </row>
    <row r="1294" spans="1:13" x14ac:dyDescent="0.25">
      <c r="A1294" t="s">
        <v>8239</v>
      </c>
      <c r="B1294">
        <v>59905</v>
      </c>
      <c r="C1294">
        <v>6004442003715</v>
      </c>
      <c r="D1294">
        <v>69.900000000000006</v>
      </c>
      <c r="E1294">
        <v>40</v>
      </c>
      <c r="F1294">
        <v>28.13</v>
      </c>
      <c r="G1294">
        <v>26.299099999999999</v>
      </c>
      <c r="H1294">
        <v>0.1</v>
      </c>
      <c r="K1294">
        <v>59905</v>
      </c>
      <c r="L1294" t="s">
        <v>8239</v>
      </c>
      <c r="M1294">
        <v>0.1</v>
      </c>
    </row>
    <row r="1295" spans="1:13" x14ac:dyDescent="0.25">
      <c r="A1295" t="s">
        <v>8240</v>
      </c>
      <c r="B1295">
        <v>59903</v>
      </c>
      <c r="C1295">
        <v>6004442003302</v>
      </c>
      <c r="D1295">
        <v>69.900000000000006</v>
      </c>
      <c r="E1295">
        <v>40.35</v>
      </c>
      <c r="F1295">
        <v>27.71</v>
      </c>
      <c r="G1295">
        <v>26.592300000000002</v>
      </c>
      <c r="H1295">
        <v>0.1</v>
      </c>
      <c r="K1295">
        <v>59903</v>
      </c>
      <c r="L1295" t="s">
        <v>8240</v>
      </c>
      <c r="M1295">
        <v>0.1</v>
      </c>
    </row>
    <row r="1296" spans="1:13" x14ac:dyDescent="0.25">
      <c r="A1296" t="s">
        <v>8241</v>
      </c>
      <c r="B1296">
        <v>59906</v>
      </c>
      <c r="C1296">
        <v>6004442003319</v>
      </c>
      <c r="D1296">
        <v>69.900000000000006</v>
      </c>
      <c r="E1296">
        <v>39.83</v>
      </c>
      <c r="F1296">
        <v>28.48</v>
      </c>
      <c r="G1296">
        <v>26.052099999999999</v>
      </c>
      <c r="H1296">
        <v>0</v>
      </c>
      <c r="K1296">
        <v>59906</v>
      </c>
      <c r="L1296" t="s">
        <v>8241</v>
      </c>
      <c r="M1296">
        <v>0</v>
      </c>
    </row>
    <row r="1297" spans="1:13" x14ac:dyDescent="0.25">
      <c r="A1297" t="s">
        <v>8242</v>
      </c>
      <c r="B1297">
        <v>23374</v>
      </c>
      <c r="C1297">
        <v>7898276970102</v>
      </c>
      <c r="D1297">
        <v>49.9</v>
      </c>
      <c r="E1297">
        <v>27.41</v>
      </c>
      <c r="F1297">
        <v>29.66</v>
      </c>
      <c r="G1297">
        <v>18.007400000000001</v>
      </c>
      <c r="H1297">
        <v>1.9330000000000001</v>
      </c>
      <c r="K1297">
        <v>23374</v>
      </c>
      <c r="L1297" t="s">
        <v>8242</v>
      </c>
      <c r="M1297">
        <v>1.0329999999999999</v>
      </c>
    </row>
    <row r="1298" spans="1:13" x14ac:dyDescent="0.25">
      <c r="A1298" t="s">
        <v>8243</v>
      </c>
      <c r="B1298">
        <v>59614</v>
      </c>
      <c r="C1298">
        <v>7898276972908</v>
      </c>
      <c r="D1298">
        <v>89.9</v>
      </c>
      <c r="E1298">
        <v>29.16</v>
      </c>
      <c r="F1298">
        <v>44.39</v>
      </c>
      <c r="G1298">
        <v>19.201899999999998</v>
      </c>
      <c r="H1298">
        <v>0.2</v>
      </c>
      <c r="K1298">
        <v>59614</v>
      </c>
      <c r="L1298" t="s">
        <v>8243</v>
      </c>
      <c r="M1298">
        <v>0.16700000000000001</v>
      </c>
    </row>
    <row r="1299" spans="1:13" x14ac:dyDescent="0.25">
      <c r="A1299" t="s">
        <v>8244</v>
      </c>
      <c r="B1299">
        <v>65495</v>
      </c>
      <c r="C1299">
        <v>7898276971161</v>
      </c>
      <c r="D1299">
        <v>54.9</v>
      </c>
      <c r="E1299">
        <v>32.840000000000003</v>
      </c>
      <c r="F1299">
        <v>26.42</v>
      </c>
      <c r="G1299">
        <v>21.591899999999999</v>
      </c>
      <c r="H1299">
        <v>2.4329999999999998</v>
      </c>
      <c r="K1299">
        <v>65495</v>
      </c>
      <c r="L1299" t="s">
        <v>8244</v>
      </c>
      <c r="M1299">
        <v>0.86699999999999999</v>
      </c>
    </row>
    <row r="1300" spans="1:13" x14ac:dyDescent="0.25">
      <c r="A1300" t="s">
        <v>8245</v>
      </c>
      <c r="B1300">
        <v>23372</v>
      </c>
      <c r="C1300">
        <v>7898276970119</v>
      </c>
      <c r="D1300">
        <v>39.9</v>
      </c>
      <c r="E1300">
        <v>32.659999999999997</v>
      </c>
      <c r="F1300">
        <v>11.95</v>
      </c>
      <c r="G1300">
        <v>21.4679</v>
      </c>
      <c r="H1300">
        <v>6.3</v>
      </c>
      <c r="K1300">
        <v>23372</v>
      </c>
      <c r="L1300" t="s">
        <v>8245</v>
      </c>
      <c r="M1300">
        <v>1.9670000000000001</v>
      </c>
    </row>
    <row r="1301" spans="1:13" x14ac:dyDescent="0.25">
      <c r="A1301" t="s">
        <v>8246</v>
      </c>
      <c r="B1301">
        <v>10472</v>
      </c>
      <c r="C1301">
        <v>6001108098344</v>
      </c>
      <c r="D1301">
        <v>58.87</v>
      </c>
      <c r="E1301">
        <v>42.76</v>
      </c>
      <c r="F1301">
        <v>17.989999999999998</v>
      </c>
      <c r="G1301">
        <v>28.112300000000001</v>
      </c>
      <c r="H1301">
        <v>0.23300000000000001</v>
      </c>
      <c r="K1301">
        <v>10472</v>
      </c>
      <c r="L1301" t="s">
        <v>8246</v>
      </c>
      <c r="M1301">
        <v>0.16700000000000001</v>
      </c>
    </row>
    <row r="1302" spans="1:13" x14ac:dyDescent="0.25">
      <c r="A1302" t="s">
        <v>8247</v>
      </c>
      <c r="B1302">
        <v>30985</v>
      </c>
      <c r="C1302">
        <v>6001108098269</v>
      </c>
      <c r="D1302">
        <v>59.37</v>
      </c>
      <c r="E1302">
        <v>42.9</v>
      </c>
      <c r="F1302">
        <v>18.3</v>
      </c>
      <c r="G1302">
        <v>28.1723</v>
      </c>
      <c r="H1302">
        <v>0.26700000000000002</v>
      </c>
      <c r="K1302">
        <v>30985</v>
      </c>
      <c r="L1302" t="s">
        <v>8247</v>
      </c>
      <c r="M1302">
        <v>0.23300000000000001</v>
      </c>
    </row>
    <row r="1303" spans="1:13" x14ac:dyDescent="0.25">
      <c r="A1303" t="s">
        <v>8248</v>
      </c>
      <c r="B1303">
        <v>23963</v>
      </c>
      <c r="C1303">
        <v>6001108098405</v>
      </c>
      <c r="D1303">
        <v>58.07</v>
      </c>
      <c r="E1303">
        <v>42.76</v>
      </c>
      <c r="F1303">
        <v>17.37</v>
      </c>
      <c r="G1303">
        <v>28.098099999999999</v>
      </c>
      <c r="H1303">
        <v>0.23300000000000001</v>
      </c>
      <c r="K1303">
        <v>23963</v>
      </c>
      <c r="L1303" t="s">
        <v>8248</v>
      </c>
      <c r="M1303">
        <v>0.1</v>
      </c>
    </row>
    <row r="1304" spans="1:13" x14ac:dyDescent="0.25">
      <c r="A1304" t="s">
        <v>8249</v>
      </c>
      <c r="B1304">
        <v>61044</v>
      </c>
      <c r="C1304">
        <v>8437013349062</v>
      </c>
      <c r="D1304">
        <v>249.9</v>
      </c>
      <c r="E1304">
        <v>141.78</v>
      </c>
      <c r="F1304">
        <v>28.45</v>
      </c>
      <c r="G1304">
        <v>93.218299999999999</v>
      </c>
      <c r="H1304">
        <v>0</v>
      </c>
      <c r="K1304">
        <v>61044</v>
      </c>
      <c r="L1304" t="s">
        <v>8249</v>
      </c>
      <c r="M1304">
        <v>0</v>
      </c>
    </row>
    <row r="1305" spans="1:13" x14ac:dyDescent="0.25">
      <c r="A1305" t="s">
        <v>8250</v>
      </c>
      <c r="B1305">
        <v>61043</v>
      </c>
      <c r="C1305">
        <v>8437013349017</v>
      </c>
      <c r="D1305">
        <v>199.9</v>
      </c>
      <c r="E1305">
        <v>110.6</v>
      </c>
      <c r="F1305">
        <v>29.45</v>
      </c>
      <c r="G1305">
        <v>72.573499999999996</v>
      </c>
      <c r="H1305">
        <v>0</v>
      </c>
      <c r="K1305">
        <v>61043</v>
      </c>
      <c r="L1305" t="s">
        <v>8250</v>
      </c>
      <c r="M1305">
        <v>0</v>
      </c>
    </row>
    <row r="1306" spans="1:13" x14ac:dyDescent="0.25">
      <c r="A1306" t="s">
        <v>8251</v>
      </c>
      <c r="B1306">
        <v>57760</v>
      </c>
      <c r="C1306">
        <v>7794450092083</v>
      </c>
      <c r="D1306" s="1">
        <v>1299.9000000000001</v>
      </c>
      <c r="E1306">
        <v>833.31</v>
      </c>
      <c r="F1306">
        <v>23.6</v>
      </c>
      <c r="G1306">
        <v>547.9</v>
      </c>
      <c r="H1306">
        <v>0</v>
      </c>
      <c r="K1306">
        <v>57760</v>
      </c>
      <c r="L1306" t="s">
        <v>8251</v>
      </c>
      <c r="M1306">
        <v>0</v>
      </c>
    </row>
    <row r="1307" spans="1:13" x14ac:dyDescent="0.25">
      <c r="A1307" t="s">
        <v>8252</v>
      </c>
      <c r="B1307">
        <v>2948</v>
      </c>
      <c r="C1307">
        <v>7793440704876</v>
      </c>
      <c r="D1307">
        <v>89.9</v>
      </c>
      <c r="E1307">
        <v>59.44</v>
      </c>
      <c r="F1307">
        <v>22.28</v>
      </c>
      <c r="G1307">
        <v>39.0822</v>
      </c>
      <c r="H1307">
        <v>0</v>
      </c>
      <c r="K1307">
        <v>2948</v>
      </c>
      <c r="L1307" t="s">
        <v>8252</v>
      </c>
      <c r="M1307">
        <v>0</v>
      </c>
    </row>
    <row r="1308" spans="1:13" x14ac:dyDescent="0.25">
      <c r="A1308" t="s">
        <v>8253</v>
      </c>
      <c r="B1308">
        <v>51781</v>
      </c>
      <c r="C1308">
        <v>7792319009906</v>
      </c>
      <c r="D1308">
        <v>119.9</v>
      </c>
      <c r="E1308">
        <v>70.400000000000006</v>
      </c>
      <c r="F1308">
        <v>26.78</v>
      </c>
      <c r="G1308">
        <v>46.722000000000001</v>
      </c>
      <c r="H1308">
        <v>6.7000000000000004E-2</v>
      </c>
      <c r="K1308">
        <v>51781</v>
      </c>
      <c r="L1308" t="s">
        <v>8253</v>
      </c>
      <c r="M1308">
        <v>6.7000000000000004E-2</v>
      </c>
    </row>
    <row r="1309" spans="1:13" x14ac:dyDescent="0.25">
      <c r="A1309" t="s">
        <v>8254</v>
      </c>
      <c r="B1309">
        <v>51777</v>
      </c>
      <c r="C1309">
        <v>7792319676351</v>
      </c>
      <c r="D1309">
        <v>89.9</v>
      </c>
      <c r="E1309">
        <v>55.16</v>
      </c>
      <c r="F1309">
        <v>26.1</v>
      </c>
      <c r="G1309">
        <v>35.641300000000001</v>
      </c>
      <c r="H1309">
        <v>0.13300000000000001</v>
      </c>
      <c r="K1309">
        <v>51777</v>
      </c>
      <c r="L1309" t="s">
        <v>8254</v>
      </c>
      <c r="M1309">
        <v>0.1</v>
      </c>
    </row>
    <row r="1310" spans="1:13" x14ac:dyDescent="0.25">
      <c r="A1310" t="s">
        <v>8255</v>
      </c>
      <c r="B1310">
        <v>51780</v>
      </c>
      <c r="C1310">
        <v>7792319677792</v>
      </c>
      <c r="D1310">
        <v>89.9</v>
      </c>
      <c r="E1310">
        <v>50.41</v>
      </c>
      <c r="F1310">
        <v>28.82</v>
      </c>
      <c r="G1310">
        <v>33.198</v>
      </c>
      <c r="H1310">
        <v>0</v>
      </c>
      <c r="K1310">
        <v>51780</v>
      </c>
      <c r="L1310" t="s">
        <v>8255</v>
      </c>
      <c r="M1310">
        <v>0</v>
      </c>
    </row>
    <row r="1311" spans="1:13" x14ac:dyDescent="0.25">
      <c r="A1311" t="s">
        <v>8256</v>
      </c>
      <c r="B1311">
        <v>67210</v>
      </c>
      <c r="C1311">
        <v>7792319002518</v>
      </c>
      <c r="D1311">
        <v>89.9</v>
      </c>
      <c r="E1311">
        <v>59.29</v>
      </c>
      <c r="F1311">
        <v>22.39</v>
      </c>
      <c r="G1311">
        <v>38.980699999999999</v>
      </c>
      <c r="H1311">
        <v>6.7000000000000004E-2</v>
      </c>
      <c r="K1311">
        <v>67210</v>
      </c>
      <c r="L1311" t="s">
        <v>8256</v>
      </c>
      <c r="M1311">
        <v>6.7000000000000004E-2</v>
      </c>
    </row>
    <row r="1312" spans="1:13" x14ac:dyDescent="0.25">
      <c r="A1312" t="s">
        <v>8257</v>
      </c>
      <c r="B1312">
        <v>67205</v>
      </c>
      <c r="C1312">
        <v>7792319971807</v>
      </c>
      <c r="D1312">
        <v>59.9</v>
      </c>
      <c r="E1312">
        <v>39.43</v>
      </c>
      <c r="F1312">
        <v>22.47</v>
      </c>
      <c r="G1312">
        <v>25.927600000000002</v>
      </c>
      <c r="H1312">
        <v>6.7000000000000004E-2</v>
      </c>
      <c r="K1312">
        <v>67205</v>
      </c>
      <c r="L1312" t="s">
        <v>8257</v>
      </c>
      <c r="M1312">
        <v>6.7000000000000004E-2</v>
      </c>
    </row>
    <row r="1313" spans="1:13" x14ac:dyDescent="0.25">
      <c r="A1313" t="s">
        <v>8258</v>
      </c>
      <c r="B1313">
        <v>67206</v>
      </c>
      <c r="C1313">
        <v>7792319971241</v>
      </c>
      <c r="D1313">
        <v>59.9</v>
      </c>
      <c r="E1313">
        <v>39.43</v>
      </c>
      <c r="F1313">
        <v>22.46</v>
      </c>
      <c r="G1313">
        <v>25.927800000000001</v>
      </c>
      <c r="H1313">
        <v>0</v>
      </c>
      <c r="K1313">
        <v>67206</v>
      </c>
      <c r="L1313" t="s">
        <v>8258</v>
      </c>
      <c r="M1313">
        <v>0</v>
      </c>
    </row>
    <row r="1314" spans="1:13" x14ac:dyDescent="0.25">
      <c r="A1314" t="s">
        <v>8259</v>
      </c>
      <c r="B1314">
        <v>67207</v>
      </c>
      <c r="C1314">
        <v>7792319971234</v>
      </c>
      <c r="D1314">
        <v>59.9</v>
      </c>
      <c r="E1314">
        <v>39.43</v>
      </c>
      <c r="F1314">
        <v>22.47</v>
      </c>
      <c r="G1314">
        <v>25.927399999999999</v>
      </c>
      <c r="H1314">
        <v>3.3000000000000002E-2</v>
      </c>
      <c r="K1314">
        <v>67207</v>
      </c>
      <c r="L1314" t="s">
        <v>8259</v>
      </c>
      <c r="M1314">
        <v>3.3000000000000002E-2</v>
      </c>
    </row>
    <row r="1315" spans="1:13" x14ac:dyDescent="0.25">
      <c r="A1315" t="s">
        <v>8260</v>
      </c>
      <c r="B1315">
        <v>67208</v>
      </c>
      <c r="C1315">
        <v>7792319972057</v>
      </c>
      <c r="D1315">
        <v>59.9</v>
      </c>
      <c r="E1315">
        <v>39.43</v>
      </c>
      <c r="F1315">
        <v>22.46</v>
      </c>
      <c r="G1315">
        <v>25.928000000000001</v>
      </c>
      <c r="H1315">
        <v>6.7000000000000004E-2</v>
      </c>
      <c r="K1315">
        <v>67208</v>
      </c>
      <c r="L1315" t="s">
        <v>8260</v>
      </c>
      <c r="M1315">
        <v>6.7000000000000004E-2</v>
      </c>
    </row>
    <row r="1316" spans="1:13" x14ac:dyDescent="0.25">
      <c r="A1316" t="s">
        <v>8261</v>
      </c>
      <c r="B1316">
        <v>54803</v>
      </c>
      <c r="C1316">
        <v>82896001453</v>
      </c>
      <c r="D1316">
        <v>249.9</v>
      </c>
      <c r="E1316">
        <v>143.18</v>
      </c>
      <c r="F1316">
        <v>28.08</v>
      </c>
      <c r="G1316">
        <v>94.14</v>
      </c>
      <c r="H1316">
        <v>0</v>
      </c>
      <c r="K1316">
        <v>54803</v>
      </c>
      <c r="L1316" t="s">
        <v>8261</v>
      </c>
      <c r="M1316">
        <v>0</v>
      </c>
    </row>
    <row r="1317" spans="1:13" x14ac:dyDescent="0.25">
      <c r="A1317" t="s">
        <v>8262</v>
      </c>
      <c r="B1317">
        <v>14788</v>
      </c>
      <c r="C1317">
        <v>5601377001000</v>
      </c>
      <c r="D1317">
        <v>49.9</v>
      </c>
      <c r="E1317">
        <v>26.54</v>
      </c>
      <c r="F1317">
        <v>30.65</v>
      </c>
      <c r="G1317">
        <v>17.513400000000001</v>
      </c>
      <c r="H1317">
        <v>1.2669999999999999</v>
      </c>
      <c r="K1317">
        <v>14788</v>
      </c>
      <c r="L1317" t="s">
        <v>8262</v>
      </c>
      <c r="M1317">
        <v>1.2</v>
      </c>
    </row>
    <row r="1318" spans="1:13" x14ac:dyDescent="0.25">
      <c r="A1318" t="s">
        <v>8263</v>
      </c>
      <c r="B1318">
        <v>67209</v>
      </c>
      <c r="C1318">
        <v>5601377001321</v>
      </c>
      <c r="D1318">
        <v>39.9</v>
      </c>
      <c r="E1318">
        <v>26.41</v>
      </c>
      <c r="F1318">
        <v>22.24</v>
      </c>
      <c r="G1318">
        <v>17.361599999999999</v>
      </c>
      <c r="H1318">
        <v>0.26700000000000002</v>
      </c>
      <c r="K1318">
        <v>67209</v>
      </c>
      <c r="L1318" t="s">
        <v>8263</v>
      </c>
      <c r="M1318">
        <v>0.26700000000000002</v>
      </c>
    </row>
    <row r="1319" spans="1:13" x14ac:dyDescent="0.25">
      <c r="A1319" t="s">
        <v>8264</v>
      </c>
      <c r="B1319">
        <v>62894</v>
      </c>
      <c r="C1319">
        <v>7730931132930</v>
      </c>
      <c r="D1319">
        <v>59.9</v>
      </c>
      <c r="E1319">
        <v>36.75</v>
      </c>
      <c r="F1319">
        <v>25.41</v>
      </c>
      <c r="G1319">
        <v>24.164999999999999</v>
      </c>
      <c r="H1319">
        <v>0</v>
      </c>
      <c r="K1319">
        <v>62894</v>
      </c>
      <c r="L1319" t="s">
        <v>8264</v>
      </c>
      <c r="M1319">
        <v>0</v>
      </c>
    </row>
    <row r="1320" spans="1:13" x14ac:dyDescent="0.25">
      <c r="A1320" t="s">
        <v>8265</v>
      </c>
      <c r="B1320">
        <v>60600</v>
      </c>
      <c r="C1320">
        <v>7730931132688</v>
      </c>
      <c r="D1320">
        <v>39.9</v>
      </c>
      <c r="E1320">
        <v>22.02</v>
      </c>
      <c r="F1320">
        <v>29.46</v>
      </c>
      <c r="G1320">
        <v>14.480700000000001</v>
      </c>
      <c r="H1320">
        <v>0</v>
      </c>
      <c r="K1320">
        <v>60600</v>
      </c>
      <c r="L1320" t="s">
        <v>8265</v>
      </c>
      <c r="M1320">
        <v>0</v>
      </c>
    </row>
    <row r="1321" spans="1:13" x14ac:dyDescent="0.25">
      <c r="A1321" t="s">
        <v>8266</v>
      </c>
      <c r="B1321">
        <v>67663</v>
      </c>
      <c r="C1321">
        <v>5604816000657</v>
      </c>
      <c r="D1321">
        <v>89.9</v>
      </c>
      <c r="E1321">
        <v>51.61</v>
      </c>
      <c r="F1321">
        <v>26.51</v>
      </c>
      <c r="G1321">
        <v>35.281199999999998</v>
      </c>
      <c r="H1321">
        <v>6.7000000000000004E-2</v>
      </c>
      <c r="K1321">
        <v>67663</v>
      </c>
      <c r="L1321" t="s">
        <v>8266</v>
      </c>
      <c r="M1321">
        <v>3.3000000000000002E-2</v>
      </c>
    </row>
    <row r="1322" spans="1:13" x14ac:dyDescent="0.25">
      <c r="A1322" t="s">
        <v>8267</v>
      </c>
      <c r="B1322">
        <v>30814</v>
      </c>
      <c r="C1322">
        <v>7898276971796</v>
      </c>
      <c r="D1322">
        <v>49.9</v>
      </c>
      <c r="E1322">
        <v>37.090000000000003</v>
      </c>
      <c r="F1322">
        <v>18.25</v>
      </c>
      <c r="G1322">
        <v>23.700399999999998</v>
      </c>
      <c r="H1322">
        <v>0.33300000000000002</v>
      </c>
      <c r="K1322">
        <v>30814</v>
      </c>
      <c r="L1322" t="s">
        <v>8267</v>
      </c>
      <c r="M1322">
        <v>0.2</v>
      </c>
    </row>
    <row r="1323" spans="1:13" x14ac:dyDescent="0.25">
      <c r="A1323" t="s">
        <v>8268</v>
      </c>
      <c r="B1323">
        <v>30813</v>
      </c>
      <c r="C1323">
        <v>7898276972892</v>
      </c>
      <c r="D1323">
        <v>49.9</v>
      </c>
      <c r="E1323">
        <v>37.28</v>
      </c>
      <c r="F1323">
        <v>17.43</v>
      </c>
      <c r="G1323">
        <v>24.1098</v>
      </c>
      <c r="H1323">
        <v>0.6</v>
      </c>
      <c r="K1323">
        <v>30813</v>
      </c>
      <c r="L1323" t="s">
        <v>8268</v>
      </c>
      <c r="M1323">
        <v>0.33300000000000002</v>
      </c>
    </row>
    <row r="1324" spans="1:13" x14ac:dyDescent="0.25">
      <c r="A1324" t="s">
        <v>8269</v>
      </c>
      <c r="B1324">
        <v>48596</v>
      </c>
      <c r="C1324">
        <v>7898276973042</v>
      </c>
      <c r="D1324">
        <v>49.9</v>
      </c>
      <c r="E1324">
        <v>36.590000000000003</v>
      </c>
      <c r="F1324">
        <v>18</v>
      </c>
      <c r="G1324">
        <v>23.827000000000002</v>
      </c>
      <c r="H1324">
        <v>0.433</v>
      </c>
      <c r="K1324">
        <v>48596</v>
      </c>
      <c r="L1324" t="s">
        <v>8269</v>
      </c>
      <c r="M1324">
        <v>0.23300000000000001</v>
      </c>
    </row>
    <row r="1325" spans="1:13" x14ac:dyDescent="0.25">
      <c r="A1325" t="s">
        <v>8270</v>
      </c>
      <c r="B1325">
        <v>59910</v>
      </c>
      <c r="C1325">
        <v>8031303000789</v>
      </c>
      <c r="D1325">
        <v>289.89999999999998</v>
      </c>
      <c r="E1325">
        <v>195.49</v>
      </c>
      <c r="F1325">
        <v>21.76</v>
      </c>
      <c r="G1325">
        <v>127.5254</v>
      </c>
      <c r="H1325">
        <v>3.3000000000000002E-2</v>
      </c>
      <c r="K1325">
        <v>59910</v>
      </c>
      <c r="L1325" t="s">
        <v>8270</v>
      </c>
      <c r="M1325">
        <v>3.3000000000000002E-2</v>
      </c>
    </row>
    <row r="1326" spans="1:13" x14ac:dyDescent="0.25">
      <c r="A1326" t="s">
        <v>8271</v>
      </c>
      <c r="B1326">
        <v>59911</v>
      </c>
      <c r="C1326">
        <v>8031303000123</v>
      </c>
      <c r="D1326">
        <v>169.9</v>
      </c>
      <c r="E1326">
        <v>102.08</v>
      </c>
      <c r="F1326">
        <v>26.25</v>
      </c>
      <c r="G1326">
        <v>67.115899999999996</v>
      </c>
      <c r="H1326">
        <v>0</v>
      </c>
      <c r="K1326">
        <v>59911</v>
      </c>
      <c r="L1326" t="s">
        <v>8271</v>
      </c>
      <c r="M1326">
        <v>0</v>
      </c>
    </row>
    <row r="1327" spans="1:13" x14ac:dyDescent="0.25">
      <c r="A1327" t="s">
        <v>8272</v>
      </c>
      <c r="B1327">
        <v>61151</v>
      </c>
      <c r="C1327">
        <v>7898464250092</v>
      </c>
      <c r="D1327">
        <v>49.9</v>
      </c>
      <c r="E1327">
        <v>20.93</v>
      </c>
      <c r="F1327">
        <v>38.17</v>
      </c>
      <c r="G1327">
        <v>13.7608</v>
      </c>
      <c r="H1327">
        <v>0.16700000000000001</v>
      </c>
      <c r="K1327">
        <v>61151</v>
      </c>
      <c r="L1327" t="s">
        <v>8272</v>
      </c>
      <c r="M1327">
        <v>0.16700000000000001</v>
      </c>
    </row>
    <row r="1328" spans="1:13" x14ac:dyDescent="0.25">
      <c r="A1328" t="s">
        <v>8273</v>
      </c>
      <c r="B1328">
        <v>66066</v>
      </c>
      <c r="C1328">
        <v>5600233181870</v>
      </c>
      <c r="D1328">
        <v>64.900000000000006</v>
      </c>
      <c r="E1328">
        <v>25.51</v>
      </c>
      <c r="F1328">
        <v>39.4</v>
      </c>
      <c r="G1328">
        <v>17.099</v>
      </c>
      <c r="H1328">
        <v>0.16700000000000001</v>
      </c>
      <c r="K1328">
        <v>66066</v>
      </c>
      <c r="L1328" t="s">
        <v>8273</v>
      </c>
      <c r="M1328">
        <v>0.13300000000000001</v>
      </c>
    </row>
    <row r="1329" spans="1:13" x14ac:dyDescent="0.25">
      <c r="A1329" t="s">
        <v>8274</v>
      </c>
      <c r="B1329">
        <v>66069</v>
      </c>
      <c r="C1329">
        <v>5600233182136</v>
      </c>
      <c r="D1329">
        <v>64.900000000000006</v>
      </c>
      <c r="E1329">
        <v>24.24</v>
      </c>
      <c r="F1329">
        <v>41.19</v>
      </c>
      <c r="G1329">
        <v>15.940799999999999</v>
      </c>
      <c r="H1329">
        <v>0.1</v>
      </c>
      <c r="K1329">
        <v>66069</v>
      </c>
      <c r="L1329" t="s">
        <v>8274</v>
      </c>
      <c r="M1329">
        <v>0.1</v>
      </c>
    </row>
    <row r="1330" spans="1:13" x14ac:dyDescent="0.25">
      <c r="A1330" t="s">
        <v>8275</v>
      </c>
      <c r="B1330">
        <v>66067</v>
      </c>
      <c r="C1330">
        <v>5600233182327</v>
      </c>
      <c r="D1330">
        <v>139.9</v>
      </c>
      <c r="E1330">
        <v>60.25</v>
      </c>
      <c r="F1330">
        <v>37.22</v>
      </c>
      <c r="G1330">
        <v>39.915500000000002</v>
      </c>
      <c r="H1330">
        <v>0</v>
      </c>
      <c r="K1330">
        <v>66067</v>
      </c>
      <c r="L1330" t="s">
        <v>8275</v>
      </c>
      <c r="M1330">
        <v>0</v>
      </c>
    </row>
    <row r="1331" spans="1:13" x14ac:dyDescent="0.25">
      <c r="A1331" t="s">
        <v>8276</v>
      </c>
      <c r="B1331">
        <v>66065</v>
      </c>
      <c r="C1331">
        <v>5600233181887</v>
      </c>
      <c r="D1331">
        <v>95.7</v>
      </c>
      <c r="E1331">
        <v>42.31</v>
      </c>
      <c r="F1331">
        <v>35.979999999999997</v>
      </c>
      <c r="G1331">
        <v>28.489899999999999</v>
      </c>
      <c r="H1331">
        <v>0.46700000000000003</v>
      </c>
      <c r="K1331">
        <v>66065</v>
      </c>
      <c r="L1331" t="s">
        <v>8276</v>
      </c>
      <c r="M1331">
        <v>3.3000000000000002E-2</v>
      </c>
    </row>
    <row r="1332" spans="1:13" x14ac:dyDescent="0.25">
      <c r="A1332" t="s">
        <v>8277</v>
      </c>
      <c r="B1332">
        <v>2950</v>
      </c>
      <c r="C1332">
        <v>8410415588826</v>
      </c>
      <c r="D1332">
        <v>129.21</v>
      </c>
      <c r="E1332">
        <v>82.89</v>
      </c>
      <c r="F1332">
        <v>24.23</v>
      </c>
      <c r="G1332">
        <v>53.642699999999998</v>
      </c>
      <c r="H1332">
        <v>0.36699999999999999</v>
      </c>
      <c r="K1332">
        <v>2950</v>
      </c>
      <c r="L1332" t="s">
        <v>8277</v>
      </c>
      <c r="M1332">
        <v>0.2</v>
      </c>
    </row>
    <row r="1333" spans="1:13" x14ac:dyDescent="0.25">
      <c r="A1333" t="s">
        <v>8278</v>
      </c>
      <c r="B1333">
        <v>2952</v>
      </c>
      <c r="C1333">
        <v>8410415580776</v>
      </c>
      <c r="D1333">
        <v>39.9</v>
      </c>
      <c r="E1333">
        <v>31.77</v>
      </c>
      <c r="F1333">
        <v>13.41</v>
      </c>
      <c r="G1333">
        <v>20.882400000000001</v>
      </c>
      <c r="H1333">
        <v>4.1669999999999998</v>
      </c>
      <c r="K1333">
        <v>2952</v>
      </c>
      <c r="L1333" t="s">
        <v>8278</v>
      </c>
      <c r="M1333">
        <v>1</v>
      </c>
    </row>
    <row r="1334" spans="1:13" x14ac:dyDescent="0.25">
      <c r="A1334" t="s">
        <v>8279</v>
      </c>
      <c r="B1334">
        <v>61745</v>
      </c>
      <c r="C1334">
        <v>8410261111124</v>
      </c>
      <c r="D1334">
        <v>79.900000000000006</v>
      </c>
      <c r="E1334">
        <v>52.77</v>
      </c>
      <c r="F1334">
        <v>22.4</v>
      </c>
      <c r="G1334">
        <v>34.639200000000002</v>
      </c>
      <c r="H1334">
        <v>0.16700000000000001</v>
      </c>
      <c r="K1334">
        <v>61745</v>
      </c>
      <c r="L1334" t="s">
        <v>8279</v>
      </c>
      <c r="M1334">
        <v>0.1</v>
      </c>
    </row>
    <row r="1335" spans="1:13" x14ac:dyDescent="0.25">
      <c r="A1335" t="s">
        <v>8280</v>
      </c>
      <c r="B1335">
        <v>59182</v>
      </c>
      <c r="C1335">
        <v>3760040420301</v>
      </c>
      <c r="D1335">
        <v>89.9</v>
      </c>
      <c r="E1335">
        <v>57.78</v>
      </c>
      <c r="F1335">
        <v>23.52</v>
      </c>
      <c r="G1335">
        <v>37.966500000000003</v>
      </c>
      <c r="H1335">
        <v>0.13300000000000001</v>
      </c>
      <c r="K1335">
        <v>59182</v>
      </c>
      <c r="L1335" t="s">
        <v>8280</v>
      </c>
      <c r="M1335">
        <v>0.13300000000000001</v>
      </c>
    </row>
    <row r="1336" spans="1:13" x14ac:dyDescent="0.25">
      <c r="A1336" t="s">
        <v>8281</v>
      </c>
      <c r="B1336">
        <v>55793</v>
      </c>
      <c r="C1336">
        <v>3760040420820</v>
      </c>
      <c r="D1336">
        <v>89.9</v>
      </c>
      <c r="E1336">
        <v>55.7</v>
      </c>
      <c r="F1336">
        <v>25.02</v>
      </c>
      <c r="G1336">
        <v>36.6205</v>
      </c>
      <c r="H1336">
        <v>0.1</v>
      </c>
      <c r="K1336">
        <v>55793</v>
      </c>
      <c r="L1336" t="s">
        <v>8281</v>
      </c>
      <c r="M1336">
        <v>6.7000000000000004E-2</v>
      </c>
    </row>
    <row r="1337" spans="1:13" x14ac:dyDescent="0.25">
      <c r="A1337" t="s">
        <v>8282</v>
      </c>
      <c r="B1337">
        <v>59178</v>
      </c>
      <c r="C1337">
        <v>3760040420295</v>
      </c>
      <c r="D1337">
        <v>89.9</v>
      </c>
      <c r="E1337">
        <v>57.05</v>
      </c>
      <c r="F1337">
        <v>24</v>
      </c>
      <c r="G1337">
        <v>37.535200000000003</v>
      </c>
      <c r="H1337">
        <v>0.16700000000000001</v>
      </c>
      <c r="K1337">
        <v>59178</v>
      </c>
      <c r="L1337" t="s">
        <v>8282</v>
      </c>
      <c r="M1337">
        <v>0.16700000000000001</v>
      </c>
    </row>
    <row r="1338" spans="1:13" x14ac:dyDescent="0.25">
      <c r="A1338" t="s">
        <v>8283</v>
      </c>
      <c r="B1338">
        <v>66743</v>
      </c>
      <c r="C1338">
        <v>5605699001281</v>
      </c>
      <c r="D1338">
        <v>179.9</v>
      </c>
      <c r="E1338">
        <v>122.46</v>
      </c>
      <c r="F1338">
        <v>20.99</v>
      </c>
      <c r="G1338">
        <v>80.52</v>
      </c>
      <c r="H1338">
        <v>0</v>
      </c>
      <c r="K1338">
        <v>66743</v>
      </c>
      <c r="L1338" t="s">
        <v>8283</v>
      </c>
      <c r="M1338">
        <v>0</v>
      </c>
    </row>
    <row r="1339" spans="1:13" x14ac:dyDescent="0.25">
      <c r="A1339" t="s">
        <v>8284</v>
      </c>
      <c r="B1339">
        <v>66741</v>
      </c>
      <c r="C1339">
        <v>5600813190070</v>
      </c>
      <c r="D1339">
        <v>79.900000000000006</v>
      </c>
      <c r="E1339">
        <v>52.71</v>
      </c>
      <c r="F1339">
        <v>22.37</v>
      </c>
      <c r="G1339">
        <v>34.656999999999996</v>
      </c>
      <c r="H1339">
        <v>0.2</v>
      </c>
      <c r="K1339">
        <v>66741</v>
      </c>
      <c r="L1339" t="s">
        <v>8284</v>
      </c>
      <c r="M1339">
        <v>0.16700000000000001</v>
      </c>
    </row>
    <row r="1340" spans="1:13" x14ac:dyDescent="0.25">
      <c r="A1340" t="s">
        <v>8285</v>
      </c>
      <c r="B1340">
        <v>66742</v>
      </c>
      <c r="C1340">
        <v>5600813190100</v>
      </c>
      <c r="D1340">
        <v>79.900000000000006</v>
      </c>
      <c r="E1340">
        <v>42.57</v>
      </c>
      <c r="F1340">
        <v>30.72</v>
      </c>
      <c r="G1340">
        <v>27.990400000000001</v>
      </c>
      <c r="H1340">
        <v>0.13300000000000001</v>
      </c>
      <c r="K1340">
        <v>66742</v>
      </c>
      <c r="L1340" t="s">
        <v>8285</v>
      </c>
      <c r="M1340">
        <v>0.13300000000000001</v>
      </c>
    </row>
    <row r="1341" spans="1:13" x14ac:dyDescent="0.25">
      <c r="A1341" t="s">
        <v>8286</v>
      </c>
      <c r="B1341">
        <v>27699</v>
      </c>
      <c r="C1341">
        <v>5605699090629</v>
      </c>
      <c r="D1341">
        <v>49.9</v>
      </c>
      <c r="E1341">
        <v>37.270000000000003</v>
      </c>
      <c r="F1341">
        <v>16.64</v>
      </c>
      <c r="G1341">
        <v>24.504100000000001</v>
      </c>
      <c r="H1341">
        <v>0</v>
      </c>
      <c r="K1341">
        <v>27699</v>
      </c>
      <c r="L1341" t="s">
        <v>8286</v>
      </c>
      <c r="M1341">
        <v>0</v>
      </c>
    </row>
    <row r="1342" spans="1:13" x14ac:dyDescent="0.25">
      <c r="A1342" t="s">
        <v>8287</v>
      </c>
      <c r="B1342">
        <v>27700</v>
      </c>
      <c r="C1342">
        <v>5605699108652</v>
      </c>
      <c r="D1342">
        <v>49.9</v>
      </c>
      <c r="E1342">
        <v>41.05</v>
      </c>
      <c r="F1342">
        <v>11.65</v>
      </c>
      <c r="G1342">
        <v>26.998200000000001</v>
      </c>
      <c r="H1342">
        <v>0.46700000000000003</v>
      </c>
      <c r="K1342">
        <v>27700</v>
      </c>
      <c r="L1342" t="s">
        <v>8287</v>
      </c>
      <c r="M1342">
        <v>6.7000000000000004E-2</v>
      </c>
    </row>
    <row r="1343" spans="1:13" x14ac:dyDescent="0.25">
      <c r="A1343" t="s">
        <v>8288</v>
      </c>
      <c r="B1343">
        <v>27701</v>
      </c>
      <c r="C1343">
        <v>5605699081726</v>
      </c>
      <c r="D1343">
        <v>129.9</v>
      </c>
      <c r="E1343">
        <v>68.88</v>
      </c>
      <c r="F1343">
        <v>30.88</v>
      </c>
      <c r="G1343">
        <v>45.291200000000003</v>
      </c>
      <c r="H1343">
        <v>0</v>
      </c>
      <c r="K1343">
        <v>27701</v>
      </c>
      <c r="L1343" t="s">
        <v>8288</v>
      </c>
      <c r="M1343">
        <v>0</v>
      </c>
    </row>
    <row r="1344" spans="1:13" x14ac:dyDescent="0.25">
      <c r="A1344" t="s">
        <v>8289</v>
      </c>
      <c r="B1344">
        <v>27702</v>
      </c>
      <c r="C1344">
        <v>5605699109437</v>
      </c>
      <c r="D1344">
        <v>129.9</v>
      </c>
      <c r="E1344">
        <v>92.55</v>
      </c>
      <c r="F1344">
        <v>18.91</v>
      </c>
      <c r="G1344">
        <v>60.849499999999999</v>
      </c>
      <c r="H1344">
        <v>3.3000000000000002E-2</v>
      </c>
      <c r="K1344">
        <v>27702</v>
      </c>
      <c r="L1344" t="s">
        <v>8289</v>
      </c>
      <c r="M1344">
        <v>3.3000000000000002E-2</v>
      </c>
    </row>
    <row r="1345" spans="1:13" x14ac:dyDescent="0.25">
      <c r="A1345" t="s">
        <v>8290</v>
      </c>
      <c r="B1345">
        <v>58883</v>
      </c>
      <c r="C1345">
        <v>3700619304823</v>
      </c>
      <c r="D1345">
        <v>49.9</v>
      </c>
      <c r="E1345">
        <v>63.98</v>
      </c>
      <c r="F1345">
        <v>-18.55</v>
      </c>
      <c r="G1345">
        <v>42.065800000000003</v>
      </c>
      <c r="H1345">
        <v>0.2</v>
      </c>
      <c r="K1345">
        <v>58883</v>
      </c>
      <c r="L1345" t="s">
        <v>8290</v>
      </c>
      <c r="M1345">
        <v>0</v>
      </c>
    </row>
    <row r="1346" spans="1:13" x14ac:dyDescent="0.25">
      <c r="A1346" t="s">
        <v>8291</v>
      </c>
      <c r="B1346">
        <v>61752</v>
      </c>
      <c r="C1346">
        <v>3700619313474</v>
      </c>
      <c r="D1346">
        <v>29.9</v>
      </c>
      <c r="E1346">
        <v>71.34</v>
      </c>
      <c r="F1346">
        <v>-91.12</v>
      </c>
      <c r="G1346">
        <v>46.905000000000001</v>
      </c>
      <c r="H1346">
        <v>6.7000000000000004E-2</v>
      </c>
      <c r="K1346">
        <v>61752</v>
      </c>
      <c r="L1346" t="s">
        <v>8291</v>
      </c>
      <c r="M1346">
        <v>0</v>
      </c>
    </row>
    <row r="1347" spans="1:13" x14ac:dyDescent="0.25">
      <c r="A1347" t="s">
        <v>8292</v>
      </c>
      <c r="B1347">
        <v>62028</v>
      </c>
      <c r="C1347">
        <v>5603238473704</v>
      </c>
      <c r="D1347">
        <v>59.9</v>
      </c>
      <c r="E1347">
        <v>22.78</v>
      </c>
      <c r="F1347">
        <v>41.13</v>
      </c>
      <c r="G1347">
        <v>14.7501</v>
      </c>
      <c r="H1347">
        <v>1.2</v>
      </c>
      <c r="K1347">
        <v>62028</v>
      </c>
      <c r="L1347" t="s">
        <v>8292</v>
      </c>
      <c r="M1347">
        <v>0.16700000000000001</v>
      </c>
    </row>
    <row r="1348" spans="1:13" x14ac:dyDescent="0.25">
      <c r="A1348" t="s">
        <v>8293</v>
      </c>
      <c r="B1348">
        <v>62030</v>
      </c>
      <c r="C1348">
        <v>5603238473834</v>
      </c>
      <c r="D1348">
        <v>75.180000000000007</v>
      </c>
      <c r="E1348">
        <v>33.200000000000003</v>
      </c>
      <c r="F1348">
        <v>36.93</v>
      </c>
      <c r="G1348">
        <v>21.667999999999999</v>
      </c>
      <c r="H1348">
        <v>1.3</v>
      </c>
      <c r="K1348">
        <v>62030</v>
      </c>
      <c r="L1348" t="s">
        <v>8293</v>
      </c>
      <c r="M1348">
        <v>0</v>
      </c>
    </row>
    <row r="1349" spans="1:13" x14ac:dyDescent="0.25">
      <c r="A1349" t="s">
        <v>8294</v>
      </c>
      <c r="B1349">
        <v>62029</v>
      </c>
      <c r="C1349">
        <v>5603238473766</v>
      </c>
      <c r="D1349">
        <v>59.9</v>
      </c>
      <c r="E1349">
        <v>23.69</v>
      </c>
      <c r="F1349">
        <v>40.630000000000003</v>
      </c>
      <c r="G1349">
        <v>15.0451</v>
      </c>
      <c r="H1349">
        <v>2.6</v>
      </c>
      <c r="K1349">
        <v>62029</v>
      </c>
      <c r="L1349" t="s">
        <v>8294</v>
      </c>
      <c r="M1349">
        <v>0.1</v>
      </c>
    </row>
    <row r="1350" spans="1:13" x14ac:dyDescent="0.25">
      <c r="A1350" t="s">
        <v>8295</v>
      </c>
      <c r="B1350">
        <v>61621</v>
      </c>
      <c r="C1350">
        <v>5602720154763</v>
      </c>
      <c r="D1350" s="1">
        <v>1499.9</v>
      </c>
      <c r="E1350">
        <v>836.18</v>
      </c>
      <c r="F1350">
        <v>29.09</v>
      </c>
      <c r="G1350">
        <v>549.79129999999998</v>
      </c>
      <c r="H1350">
        <v>0</v>
      </c>
      <c r="K1350">
        <v>61621</v>
      </c>
      <c r="L1350" t="s">
        <v>8295</v>
      </c>
      <c r="M1350">
        <v>0</v>
      </c>
    </row>
    <row r="1351" spans="1:13" x14ac:dyDescent="0.25">
      <c r="A1351" t="s">
        <v>8296</v>
      </c>
      <c r="B1351">
        <v>28002</v>
      </c>
      <c r="C1351">
        <v>5602720154060</v>
      </c>
      <c r="D1351">
        <v>699.9</v>
      </c>
      <c r="E1351">
        <v>461.42</v>
      </c>
      <c r="F1351">
        <v>15.45</v>
      </c>
      <c r="G1351">
        <v>352.07639999999998</v>
      </c>
      <c r="H1351">
        <v>0</v>
      </c>
      <c r="K1351">
        <v>28002</v>
      </c>
      <c r="L1351" t="s">
        <v>8296</v>
      </c>
      <c r="M1351">
        <v>0</v>
      </c>
    </row>
    <row r="1352" spans="1:13" x14ac:dyDescent="0.25">
      <c r="A1352" t="s">
        <v>8297</v>
      </c>
      <c r="B1352">
        <v>63532</v>
      </c>
      <c r="C1352">
        <v>5602720054070</v>
      </c>
      <c r="D1352" s="1">
        <v>5499.9</v>
      </c>
      <c r="E1352" s="1">
        <v>2671.59</v>
      </c>
      <c r="F1352">
        <v>33.81</v>
      </c>
      <c r="G1352" s="1">
        <v>1756.57</v>
      </c>
      <c r="H1352">
        <v>0</v>
      </c>
      <c r="K1352">
        <v>63532</v>
      </c>
      <c r="L1352" t="s">
        <v>8297</v>
      </c>
      <c r="M1352">
        <v>0</v>
      </c>
    </row>
    <row r="1353" spans="1:13" x14ac:dyDescent="0.25">
      <c r="A1353" t="s">
        <v>8298</v>
      </c>
      <c r="B1353">
        <v>63531</v>
      </c>
      <c r="C1353">
        <v>5602720050003</v>
      </c>
      <c r="D1353" s="1">
        <v>5499.9</v>
      </c>
      <c r="E1353" s="1">
        <v>2675.24</v>
      </c>
      <c r="F1353">
        <v>33.770000000000003</v>
      </c>
      <c r="G1353" s="1">
        <v>1758.97</v>
      </c>
      <c r="H1353">
        <v>0</v>
      </c>
      <c r="K1353">
        <v>63531</v>
      </c>
      <c r="L1353" t="s">
        <v>8298</v>
      </c>
      <c r="M1353">
        <v>0</v>
      </c>
    </row>
    <row r="1354" spans="1:13" x14ac:dyDescent="0.25">
      <c r="A1354" t="s">
        <v>8299</v>
      </c>
      <c r="B1354">
        <v>63530</v>
      </c>
      <c r="C1354">
        <v>1000000001488</v>
      </c>
      <c r="D1354" s="1">
        <v>5499.9</v>
      </c>
      <c r="E1354" s="1">
        <v>2666.89</v>
      </c>
      <c r="F1354">
        <v>33.85</v>
      </c>
      <c r="G1354" s="1">
        <v>1754.395</v>
      </c>
      <c r="H1354">
        <v>0</v>
      </c>
      <c r="K1354">
        <v>63530</v>
      </c>
      <c r="L1354" t="s">
        <v>8299</v>
      </c>
      <c r="M1354">
        <v>0</v>
      </c>
    </row>
    <row r="1355" spans="1:13" x14ac:dyDescent="0.25">
      <c r="A1355" t="s">
        <v>8300</v>
      </c>
      <c r="B1355">
        <v>68541</v>
      </c>
      <c r="C1355">
        <v>1000000003895</v>
      </c>
      <c r="D1355" s="1">
        <v>5499.9</v>
      </c>
      <c r="E1355" s="1">
        <v>3254.12</v>
      </c>
      <c r="F1355">
        <v>26.85</v>
      </c>
      <c r="G1355" s="1">
        <v>2139.585</v>
      </c>
      <c r="H1355">
        <v>0</v>
      </c>
      <c r="K1355">
        <v>68541</v>
      </c>
      <c r="L1355" t="s">
        <v>8300</v>
      </c>
      <c r="M1355">
        <v>0</v>
      </c>
    </row>
    <row r="1356" spans="1:13" x14ac:dyDescent="0.25">
      <c r="A1356" t="s">
        <v>8301</v>
      </c>
      <c r="B1356">
        <v>23566</v>
      </c>
      <c r="C1356">
        <v>5601174205007</v>
      </c>
      <c r="D1356">
        <v>99.9</v>
      </c>
      <c r="E1356">
        <v>62.44</v>
      </c>
      <c r="F1356">
        <v>24.65</v>
      </c>
      <c r="G1356">
        <v>41.058700000000002</v>
      </c>
      <c r="H1356">
        <v>6.7000000000000004E-2</v>
      </c>
      <c r="K1356">
        <v>23566</v>
      </c>
      <c r="L1356" t="s">
        <v>8301</v>
      </c>
      <c r="M1356">
        <v>3.3000000000000002E-2</v>
      </c>
    </row>
    <row r="1357" spans="1:13" x14ac:dyDescent="0.25">
      <c r="A1357" t="s">
        <v>8302</v>
      </c>
      <c r="B1357">
        <v>60237</v>
      </c>
      <c r="C1357">
        <v>5601174205403</v>
      </c>
      <c r="D1357">
        <v>62.54</v>
      </c>
      <c r="E1357">
        <v>27.5</v>
      </c>
      <c r="F1357">
        <v>26.94</v>
      </c>
      <c r="G1357">
        <v>24.271000000000001</v>
      </c>
      <c r="H1357">
        <v>6.7000000000000004E-2</v>
      </c>
      <c r="K1357">
        <v>60237</v>
      </c>
      <c r="L1357" t="s">
        <v>8302</v>
      </c>
      <c r="M1357">
        <v>6.7000000000000004E-2</v>
      </c>
    </row>
    <row r="1358" spans="1:13" x14ac:dyDescent="0.25">
      <c r="A1358" t="s">
        <v>8303</v>
      </c>
      <c r="B1358">
        <v>2959</v>
      </c>
      <c r="C1358">
        <v>5601174204000</v>
      </c>
      <c r="D1358">
        <v>89.9</v>
      </c>
      <c r="E1358">
        <v>50.56</v>
      </c>
      <c r="F1358">
        <v>26.22</v>
      </c>
      <c r="G1358">
        <v>35.539299999999997</v>
      </c>
      <c r="H1358">
        <v>0.26700000000000002</v>
      </c>
      <c r="K1358">
        <v>2959</v>
      </c>
      <c r="L1358" t="s">
        <v>8303</v>
      </c>
      <c r="M1358">
        <v>0.1</v>
      </c>
    </row>
    <row r="1359" spans="1:13" x14ac:dyDescent="0.25">
      <c r="A1359" t="s">
        <v>8304</v>
      </c>
      <c r="B1359">
        <v>60807</v>
      </c>
      <c r="C1359">
        <v>7898967894007</v>
      </c>
      <c r="D1359">
        <v>159.9</v>
      </c>
      <c r="E1359">
        <v>92.15</v>
      </c>
      <c r="F1359">
        <v>27.7</v>
      </c>
      <c r="G1359">
        <v>60.845700000000001</v>
      </c>
      <c r="H1359">
        <v>0</v>
      </c>
      <c r="K1359">
        <v>60807</v>
      </c>
      <c r="L1359" t="s">
        <v>8304</v>
      </c>
      <c r="M1359">
        <v>0</v>
      </c>
    </row>
    <row r="1360" spans="1:13" x14ac:dyDescent="0.25">
      <c r="A1360" t="s">
        <v>8305</v>
      </c>
      <c r="B1360">
        <v>60643</v>
      </c>
      <c r="C1360">
        <v>852000274222</v>
      </c>
      <c r="D1360">
        <v>259.89999999999998</v>
      </c>
      <c r="E1360">
        <v>130.94999999999999</v>
      </c>
      <c r="F1360">
        <v>31.46</v>
      </c>
      <c r="G1360">
        <v>89.127099999999999</v>
      </c>
      <c r="H1360">
        <v>0</v>
      </c>
      <c r="K1360">
        <v>60643</v>
      </c>
      <c r="L1360" t="s">
        <v>8305</v>
      </c>
      <c r="M1360">
        <v>0</v>
      </c>
    </row>
    <row r="1361" spans="1:13" x14ac:dyDescent="0.25">
      <c r="A1361" t="s">
        <v>8306</v>
      </c>
      <c r="B1361">
        <v>60642</v>
      </c>
      <c r="C1361">
        <v>9311910105862</v>
      </c>
      <c r="D1361">
        <v>315.89999999999998</v>
      </c>
      <c r="E1361">
        <v>201.98</v>
      </c>
      <c r="F1361">
        <v>23.25</v>
      </c>
      <c r="G1361">
        <v>134.24789999999999</v>
      </c>
      <c r="H1361">
        <v>0</v>
      </c>
      <c r="K1361">
        <v>60642</v>
      </c>
      <c r="L1361" t="s">
        <v>8306</v>
      </c>
      <c r="M1361">
        <v>0</v>
      </c>
    </row>
    <row r="1362" spans="1:13" x14ac:dyDescent="0.25">
      <c r="A1362" t="s">
        <v>8307</v>
      </c>
      <c r="B1362">
        <v>57774</v>
      </c>
      <c r="C1362">
        <v>8002793005370</v>
      </c>
      <c r="D1362">
        <v>119.9</v>
      </c>
      <c r="E1362">
        <v>92.96</v>
      </c>
      <c r="F1362">
        <v>14.37</v>
      </c>
      <c r="G1362">
        <v>61.6051</v>
      </c>
      <c r="H1362">
        <v>0.53300000000000003</v>
      </c>
      <c r="K1362">
        <v>57774</v>
      </c>
      <c r="L1362" t="s">
        <v>8307</v>
      </c>
      <c r="M1362">
        <v>0.13300000000000001</v>
      </c>
    </row>
    <row r="1363" spans="1:13" x14ac:dyDescent="0.25">
      <c r="A1363" t="s">
        <v>8308</v>
      </c>
      <c r="B1363">
        <v>57770</v>
      </c>
      <c r="C1363">
        <v>3275844003020</v>
      </c>
      <c r="D1363">
        <v>179.9</v>
      </c>
      <c r="E1363">
        <v>118.9</v>
      </c>
      <c r="F1363">
        <v>23.9</v>
      </c>
      <c r="G1363">
        <v>75.289299999999997</v>
      </c>
      <c r="H1363">
        <v>0</v>
      </c>
      <c r="K1363">
        <v>57770</v>
      </c>
      <c r="L1363" t="s">
        <v>8308</v>
      </c>
      <c r="M1363">
        <v>0</v>
      </c>
    </row>
    <row r="1364" spans="1:13" x14ac:dyDescent="0.25">
      <c r="A1364" t="s">
        <v>8309</v>
      </c>
      <c r="B1364">
        <v>69587</v>
      </c>
      <c r="C1364">
        <v>7798127633975</v>
      </c>
      <c r="D1364">
        <v>299.89999999999998</v>
      </c>
      <c r="E1364">
        <v>191.65</v>
      </c>
      <c r="F1364">
        <v>23.73</v>
      </c>
      <c r="G1364">
        <v>126.01</v>
      </c>
      <c r="H1364">
        <v>0</v>
      </c>
      <c r="K1364">
        <v>69587</v>
      </c>
      <c r="L1364" t="s">
        <v>8309</v>
      </c>
      <c r="M1364">
        <v>0</v>
      </c>
    </row>
    <row r="1365" spans="1:13" x14ac:dyDescent="0.25">
      <c r="A1365" t="s">
        <v>8310</v>
      </c>
      <c r="B1365">
        <v>63816</v>
      </c>
      <c r="C1365">
        <v>8429744000541</v>
      </c>
      <c r="D1365">
        <v>39.9</v>
      </c>
      <c r="E1365">
        <v>17.72</v>
      </c>
      <c r="F1365">
        <v>36.549999999999997</v>
      </c>
      <c r="G1365">
        <v>11.6502</v>
      </c>
      <c r="H1365">
        <v>2.7330000000000001</v>
      </c>
      <c r="K1365">
        <v>63816</v>
      </c>
      <c r="L1365" t="s">
        <v>8310</v>
      </c>
      <c r="M1365">
        <v>0.36699999999999999</v>
      </c>
    </row>
    <row r="1366" spans="1:13" x14ac:dyDescent="0.25">
      <c r="A1366" t="s">
        <v>8311</v>
      </c>
      <c r="B1366">
        <v>63812</v>
      </c>
      <c r="C1366">
        <v>8429744000152</v>
      </c>
      <c r="D1366">
        <v>39.9</v>
      </c>
      <c r="E1366">
        <v>18.170000000000002</v>
      </c>
      <c r="F1366">
        <v>35.67</v>
      </c>
      <c r="G1366">
        <v>12.0007</v>
      </c>
      <c r="H1366">
        <v>1.1000000000000001</v>
      </c>
      <c r="K1366">
        <v>63812</v>
      </c>
      <c r="L1366" t="s">
        <v>8311</v>
      </c>
      <c r="M1366">
        <v>0.13300000000000001</v>
      </c>
    </row>
    <row r="1367" spans="1:13" x14ac:dyDescent="0.25">
      <c r="A1367" t="s">
        <v>8312</v>
      </c>
      <c r="B1367">
        <v>67000</v>
      </c>
      <c r="C1367">
        <v>8436028611225</v>
      </c>
      <c r="D1367" s="1">
        <v>1499.9</v>
      </c>
      <c r="E1367">
        <v>914.34</v>
      </c>
      <c r="F1367">
        <v>25.67</v>
      </c>
      <c r="G1367">
        <v>601.17600000000004</v>
      </c>
      <c r="H1367">
        <v>0</v>
      </c>
      <c r="K1367">
        <v>67000</v>
      </c>
      <c r="L1367" t="s">
        <v>8312</v>
      </c>
      <c r="M1367">
        <v>0</v>
      </c>
    </row>
    <row r="1368" spans="1:13" x14ac:dyDescent="0.25">
      <c r="A1368" t="s">
        <v>8313</v>
      </c>
      <c r="B1368">
        <v>64557</v>
      </c>
      <c r="C1368">
        <v>7898266930482</v>
      </c>
      <c r="D1368">
        <v>179.9</v>
      </c>
      <c r="E1368">
        <v>96.99</v>
      </c>
      <c r="F1368">
        <v>30.3</v>
      </c>
      <c r="G1368">
        <v>63.771999999999998</v>
      </c>
      <c r="H1368">
        <v>0.1</v>
      </c>
      <c r="K1368">
        <v>64557</v>
      </c>
      <c r="L1368" t="s">
        <v>8313</v>
      </c>
      <c r="M1368">
        <v>6.7000000000000004E-2</v>
      </c>
    </row>
    <row r="1369" spans="1:13" x14ac:dyDescent="0.25">
      <c r="A1369" t="s">
        <v>8314</v>
      </c>
      <c r="B1369">
        <v>64558</v>
      </c>
      <c r="C1369">
        <v>7898266930314</v>
      </c>
      <c r="D1369">
        <v>189.9</v>
      </c>
      <c r="E1369">
        <v>129.87</v>
      </c>
      <c r="F1369">
        <v>20.48</v>
      </c>
      <c r="G1369">
        <v>85.962999999999994</v>
      </c>
      <c r="H1369">
        <v>0</v>
      </c>
      <c r="K1369">
        <v>64558</v>
      </c>
      <c r="L1369" t="s">
        <v>8314</v>
      </c>
      <c r="M1369">
        <v>0</v>
      </c>
    </row>
    <row r="1370" spans="1:13" x14ac:dyDescent="0.25">
      <c r="A1370" t="s">
        <v>8315</v>
      </c>
      <c r="B1370">
        <v>68812</v>
      </c>
      <c r="C1370">
        <v>7898953173291</v>
      </c>
      <c r="D1370">
        <v>549.9</v>
      </c>
      <c r="E1370">
        <v>325.44</v>
      </c>
      <c r="F1370">
        <v>26.84</v>
      </c>
      <c r="G1370">
        <v>213.98</v>
      </c>
      <c r="H1370">
        <v>0</v>
      </c>
      <c r="K1370">
        <v>68812</v>
      </c>
      <c r="L1370" t="s">
        <v>8315</v>
      </c>
      <c r="M1370">
        <v>0</v>
      </c>
    </row>
    <row r="1371" spans="1:13" x14ac:dyDescent="0.25">
      <c r="A1371" t="s">
        <v>8316</v>
      </c>
      <c r="B1371">
        <v>68924</v>
      </c>
      <c r="C1371">
        <v>7898953173307</v>
      </c>
      <c r="D1371">
        <v>999.9</v>
      </c>
      <c r="E1371">
        <v>650.59</v>
      </c>
      <c r="F1371">
        <v>22.97</v>
      </c>
      <c r="G1371">
        <v>427.76</v>
      </c>
      <c r="H1371">
        <v>0</v>
      </c>
      <c r="K1371">
        <v>68924</v>
      </c>
      <c r="L1371" t="s">
        <v>8316</v>
      </c>
      <c r="M1371">
        <v>0</v>
      </c>
    </row>
    <row r="1372" spans="1:13" x14ac:dyDescent="0.25">
      <c r="A1372" t="s">
        <v>8317</v>
      </c>
      <c r="B1372">
        <v>64559</v>
      </c>
      <c r="C1372">
        <v>7898266931076</v>
      </c>
      <c r="D1372">
        <v>179.9</v>
      </c>
      <c r="E1372">
        <v>127.02</v>
      </c>
      <c r="F1372">
        <v>19.329999999999998</v>
      </c>
      <c r="G1372">
        <v>83.512600000000006</v>
      </c>
      <c r="H1372">
        <v>0</v>
      </c>
      <c r="K1372">
        <v>64559</v>
      </c>
      <c r="L1372" t="s">
        <v>8317</v>
      </c>
      <c r="M1372">
        <v>0</v>
      </c>
    </row>
    <row r="1373" spans="1:13" x14ac:dyDescent="0.25">
      <c r="A1373" t="s">
        <v>8318</v>
      </c>
      <c r="B1373">
        <v>64296</v>
      </c>
      <c r="C1373">
        <v>7898266930185</v>
      </c>
      <c r="D1373">
        <v>149.9</v>
      </c>
      <c r="E1373">
        <v>90.08</v>
      </c>
      <c r="F1373">
        <v>26.24</v>
      </c>
      <c r="G1373">
        <v>59.225700000000003</v>
      </c>
      <c r="H1373">
        <v>0</v>
      </c>
      <c r="K1373">
        <v>64296</v>
      </c>
      <c r="L1373" t="s">
        <v>8318</v>
      </c>
      <c r="M1373">
        <v>0</v>
      </c>
    </row>
    <row r="1374" spans="1:13" x14ac:dyDescent="0.25">
      <c r="A1374" t="s">
        <v>8319</v>
      </c>
      <c r="B1374">
        <v>64297</v>
      </c>
      <c r="C1374">
        <v>7898266931182</v>
      </c>
      <c r="D1374">
        <v>199.9</v>
      </c>
      <c r="E1374">
        <v>127.01</v>
      </c>
      <c r="F1374">
        <v>23.97</v>
      </c>
      <c r="G1374">
        <v>83.510599999999997</v>
      </c>
      <c r="H1374">
        <v>0</v>
      </c>
      <c r="K1374">
        <v>64297</v>
      </c>
      <c r="L1374" t="s">
        <v>8319</v>
      </c>
      <c r="M1374">
        <v>0</v>
      </c>
    </row>
    <row r="1375" spans="1:13" x14ac:dyDescent="0.25">
      <c r="A1375" t="s">
        <v>8320</v>
      </c>
      <c r="B1375">
        <v>61518</v>
      </c>
      <c r="C1375">
        <v>7898266930222</v>
      </c>
      <c r="D1375">
        <v>149.9</v>
      </c>
      <c r="E1375">
        <v>88.85</v>
      </c>
      <c r="F1375">
        <v>26.53</v>
      </c>
      <c r="G1375">
        <v>58.796599999999998</v>
      </c>
      <c r="H1375">
        <v>0.1</v>
      </c>
      <c r="K1375">
        <v>61518</v>
      </c>
      <c r="L1375" t="s">
        <v>8320</v>
      </c>
      <c r="M1375">
        <v>3.3000000000000002E-2</v>
      </c>
    </row>
    <row r="1376" spans="1:13" x14ac:dyDescent="0.25">
      <c r="A1376" t="s">
        <v>8321</v>
      </c>
      <c r="B1376">
        <v>57304</v>
      </c>
      <c r="C1376">
        <v>3700619317380</v>
      </c>
      <c r="D1376">
        <v>139.9</v>
      </c>
      <c r="E1376">
        <v>87.21</v>
      </c>
      <c r="F1376">
        <v>24.76</v>
      </c>
      <c r="G1376">
        <v>57.338799999999999</v>
      </c>
      <c r="H1376">
        <v>0.1</v>
      </c>
      <c r="K1376">
        <v>57304</v>
      </c>
      <c r="L1376" t="s">
        <v>8321</v>
      </c>
      <c r="M1376">
        <v>0.1</v>
      </c>
    </row>
    <row r="1377" spans="1:13" x14ac:dyDescent="0.25">
      <c r="A1377" t="s">
        <v>8322</v>
      </c>
      <c r="B1377">
        <v>67179</v>
      </c>
      <c r="C1377">
        <v>5604098002066</v>
      </c>
      <c r="D1377">
        <v>269.89999999999998</v>
      </c>
      <c r="E1377">
        <v>98.33</v>
      </c>
      <c r="F1377">
        <v>33.81</v>
      </c>
      <c r="G1377">
        <v>86.198499999999996</v>
      </c>
      <c r="H1377">
        <v>0</v>
      </c>
      <c r="K1377">
        <v>67179</v>
      </c>
      <c r="L1377" t="s">
        <v>8322</v>
      </c>
      <c r="M1377">
        <v>0</v>
      </c>
    </row>
    <row r="1378" spans="1:13" x14ac:dyDescent="0.25">
      <c r="A1378" t="s">
        <v>8323</v>
      </c>
      <c r="B1378">
        <v>23464</v>
      </c>
      <c r="C1378">
        <v>5601109211110</v>
      </c>
      <c r="D1378">
        <v>79.900000000000006</v>
      </c>
      <c r="E1378">
        <v>45.85</v>
      </c>
      <c r="F1378">
        <v>25.21</v>
      </c>
      <c r="G1378">
        <v>32.391100000000002</v>
      </c>
      <c r="H1378">
        <v>0.3</v>
      </c>
      <c r="K1378">
        <v>23464</v>
      </c>
      <c r="L1378" t="s">
        <v>8323</v>
      </c>
      <c r="M1378">
        <v>6.7000000000000004E-2</v>
      </c>
    </row>
    <row r="1379" spans="1:13" x14ac:dyDescent="0.25">
      <c r="A1379" t="s">
        <v>8324</v>
      </c>
      <c r="B1379">
        <v>23465</v>
      </c>
      <c r="C1379">
        <v>5601109211165</v>
      </c>
      <c r="D1379">
        <v>139.9</v>
      </c>
      <c r="E1379">
        <v>89.77</v>
      </c>
      <c r="F1379">
        <v>23.38</v>
      </c>
      <c r="G1379">
        <v>59.278700000000001</v>
      </c>
      <c r="H1379">
        <v>3.3000000000000002E-2</v>
      </c>
      <c r="K1379">
        <v>23465</v>
      </c>
      <c r="L1379" t="s">
        <v>8324</v>
      </c>
      <c r="M1379">
        <v>3.3000000000000002E-2</v>
      </c>
    </row>
    <row r="1380" spans="1:13" x14ac:dyDescent="0.25">
      <c r="A1380" t="s">
        <v>8325</v>
      </c>
      <c r="B1380">
        <v>69702</v>
      </c>
      <c r="C1380">
        <v>5601109282905</v>
      </c>
      <c r="D1380">
        <v>79.900000000000006</v>
      </c>
      <c r="E1380">
        <v>52.8</v>
      </c>
      <c r="F1380">
        <v>22.29</v>
      </c>
      <c r="G1380">
        <v>34.721200000000003</v>
      </c>
      <c r="H1380">
        <v>0</v>
      </c>
      <c r="K1380">
        <v>69702</v>
      </c>
      <c r="L1380" t="s">
        <v>8325</v>
      </c>
      <c r="M1380">
        <v>0</v>
      </c>
    </row>
    <row r="1381" spans="1:13" x14ac:dyDescent="0.25">
      <c r="A1381" t="s">
        <v>8326</v>
      </c>
      <c r="B1381">
        <v>23463</v>
      </c>
      <c r="C1381">
        <v>5601109211127</v>
      </c>
      <c r="D1381">
        <v>59.9</v>
      </c>
      <c r="E1381">
        <v>44.52</v>
      </c>
      <c r="F1381">
        <v>16.79</v>
      </c>
      <c r="G1381">
        <v>29.3291</v>
      </c>
      <c r="H1381">
        <v>1.1000000000000001</v>
      </c>
      <c r="K1381">
        <v>23463</v>
      </c>
      <c r="L1381" t="s">
        <v>8326</v>
      </c>
      <c r="M1381">
        <v>0.33300000000000002</v>
      </c>
    </row>
    <row r="1382" spans="1:13" x14ac:dyDescent="0.25">
      <c r="A1382" t="s">
        <v>8327</v>
      </c>
      <c r="B1382">
        <v>64440</v>
      </c>
      <c r="C1382">
        <v>5425015490199</v>
      </c>
      <c r="D1382">
        <v>69.900000000000006</v>
      </c>
      <c r="E1382">
        <v>29.37</v>
      </c>
      <c r="F1382">
        <v>38.119999999999997</v>
      </c>
      <c r="G1382">
        <v>19.3124</v>
      </c>
      <c r="H1382">
        <v>0.23300000000000001</v>
      </c>
      <c r="K1382">
        <v>64440</v>
      </c>
      <c r="L1382" t="s">
        <v>8327</v>
      </c>
      <c r="M1382">
        <v>0</v>
      </c>
    </row>
    <row r="1383" spans="1:13" x14ac:dyDescent="0.25">
      <c r="A1383" t="s">
        <v>8328</v>
      </c>
      <c r="B1383">
        <v>64439</v>
      </c>
      <c r="C1383">
        <v>5425015490205</v>
      </c>
      <c r="D1383">
        <v>69.900000000000006</v>
      </c>
      <c r="E1383">
        <v>29.37</v>
      </c>
      <c r="F1383">
        <v>38.119999999999997</v>
      </c>
      <c r="G1383">
        <v>19.3123</v>
      </c>
      <c r="H1383">
        <v>0.2</v>
      </c>
      <c r="K1383">
        <v>64439</v>
      </c>
      <c r="L1383" t="s">
        <v>8328</v>
      </c>
      <c r="M1383">
        <v>0</v>
      </c>
    </row>
    <row r="1384" spans="1:13" x14ac:dyDescent="0.25">
      <c r="A1384" t="s">
        <v>8329</v>
      </c>
      <c r="B1384">
        <v>64441</v>
      </c>
      <c r="C1384">
        <v>5425015490267</v>
      </c>
      <c r="D1384">
        <v>169.9</v>
      </c>
      <c r="E1384">
        <v>77.11</v>
      </c>
      <c r="F1384">
        <v>35.909999999999997</v>
      </c>
      <c r="G1384">
        <v>50.700200000000002</v>
      </c>
      <c r="H1384">
        <v>0.23300000000000001</v>
      </c>
      <c r="K1384">
        <v>64441</v>
      </c>
      <c r="L1384" t="s">
        <v>8329</v>
      </c>
      <c r="M1384">
        <v>0</v>
      </c>
    </row>
    <row r="1385" spans="1:13" x14ac:dyDescent="0.25">
      <c r="A1385" t="s">
        <v>8330</v>
      </c>
      <c r="B1385">
        <v>39715</v>
      </c>
      <c r="C1385">
        <v>5603790001490</v>
      </c>
      <c r="D1385">
        <v>39.9</v>
      </c>
      <c r="E1385">
        <v>25.18</v>
      </c>
      <c r="F1385">
        <v>24.19</v>
      </c>
      <c r="G1385">
        <v>16.582599999999999</v>
      </c>
      <c r="H1385">
        <v>0.36699999999999999</v>
      </c>
      <c r="K1385">
        <v>39715</v>
      </c>
      <c r="L1385" t="s">
        <v>8330</v>
      </c>
      <c r="M1385">
        <v>0.33300000000000002</v>
      </c>
    </row>
    <row r="1386" spans="1:13" x14ac:dyDescent="0.25">
      <c r="A1386" t="s">
        <v>8331</v>
      </c>
      <c r="B1386">
        <v>67200</v>
      </c>
      <c r="C1386">
        <v>7792319971555</v>
      </c>
      <c r="D1386">
        <v>39.9</v>
      </c>
      <c r="E1386">
        <v>26.25</v>
      </c>
      <c r="F1386">
        <v>22.49</v>
      </c>
      <c r="G1386">
        <v>17.259399999999999</v>
      </c>
      <c r="H1386">
        <v>0.2</v>
      </c>
      <c r="K1386">
        <v>67200</v>
      </c>
      <c r="L1386" t="s">
        <v>8331</v>
      </c>
      <c r="M1386">
        <v>0.16700000000000001</v>
      </c>
    </row>
    <row r="1387" spans="1:13" x14ac:dyDescent="0.25">
      <c r="A1387" t="s">
        <v>8332</v>
      </c>
      <c r="B1387">
        <v>67202</v>
      </c>
      <c r="C1387">
        <v>7792319971562</v>
      </c>
      <c r="D1387">
        <v>39.9</v>
      </c>
      <c r="E1387">
        <v>26.25</v>
      </c>
      <c r="F1387">
        <v>22.5</v>
      </c>
      <c r="G1387">
        <v>17.2578</v>
      </c>
      <c r="H1387">
        <v>0.46700000000000003</v>
      </c>
      <c r="K1387">
        <v>67202</v>
      </c>
      <c r="L1387" t="s">
        <v>8332</v>
      </c>
      <c r="M1387">
        <v>0.46700000000000003</v>
      </c>
    </row>
    <row r="1388" spans="1:13" x14ac:dyDescent="0.25">
      <c r="A1388" t="s">
        <v>8333</v>
      </c>
      <c r="B1388">
        <v>67201</v>
      </c>
      <c r="C1388">
        <v>7792319003669</v>
      </c>
      <c r="D1388">
        <v>39.9</v>
      </c>
      <c r="E1388">
        <v>26.25</v>
      </c>
      <c r="F1388">
        <v>22.49</v>
      </c>
      <c r="G1388">
        <v>17.2593</v>
      </c>
      <c r="H1388">
        <v>0.4</v>
      </c>
      <c r="K1388">
        <v>67201</v>
      </c>
      <c r="L1388" t="s">
        <v>8333</v>
      </c>
      <c r="M1388">
        <v>0.3</v>
      </c>
    </row>
    <row r="1389" spans="1:13" x14ac:dyDescent="0.25">
      <c r="A1389" t="s">
        <v>8334</v>
      </c>
      <c r="B1389">
        <v>67204</v>
      </c>
      <c r="C1389">
        <v>7792319969743</v>
      </c>
      <c r="D1389">
        <v>39.9</v>
      </c>
      <c r="E1389">
        <v>26.25</v>
      </c>
      <c r="F1389">
        <v>22.5</v>
      </c>
      <c r="G1389">
        <v>17.258700000000001</v>
      </c>
      <c r="H1389">
        <v>6.7000000000000004E-2</v>
      </c>
      <c r="K1389">
        <v>67204</v>
      </c>
      <c r="L1389" t="s">
        <v>8334</v>
      </c>
      <c r="M1389">
        <v>3.3000000000000002E-2</v>
      </c>
    </row>
    <row r="1390" spans="1:13" x14ac:dyDescent="0.25">
      <c r="A1390" t="s">
        <v>8335</v>
      </c>
      <c r="B1390">
        <v>67203</v>
      </c>
      <c r="C1390">
        <v>7792319972408</v>
      </c>
      <c r="D1390">
        <v>39.9</v>
      </c>
      <c r="E1390">
        <v>26.25</v>
      </c>
      <c r="F1390">
        <v>22.49</v>
      </c>
      <c r="G1390">
        <v>17.260000000000002</v>
      </c>
      <c r="H1390">
        <v>0</v>
      </c>
      <c r="K1390">
        <v>67203</v>
      </c>
      <c r="L1390" t="s">
        <v>8335</v>
      </c>
      <c r="M1390">
        <v>0</v>
      </c>
    </row>
    <row r="1391" spans="1:13" x14ac:dyDescent="0.25">
      <c r="A1391" t="s">
        <v>8336</v>
      </c>
      <c r="B1391">
        <v>53699</v>
      </c>
      <c r="C1391">
        <v>7798074860240</v>
      </c>
      <c r="D1391">
        <v>79.900000000000006</v>
      </c>
      <c r="E1391">
        <v>54.11</v>
      </c>
      <c r="F1391">
        <v>21.22</v>
      </c>
      <c r="G1391">
        <v>35.578699999999998</v>
      </c>
      <c r="H1391">
        <v>0.33300000000000002</v>
      </c>
      <c r="K1391">
        <v>53699</v>
      </c>
      <c r="L1391" t="s">
        <v>8336</v>
      </c>
      <c r="M1391">
        <v>0.3</v>
      </c>
    </row>
    <row r="1392" spans="1:13" x14ac:dyDescent="0.25">
      <c r="A1392" t="s">
        <v>8337</v>
      </c>
      <c r="B1392">
        <v>44475</v>
      </c>
      <c r="C1392">
        <v>7798074860288</v>
      </c>
      <c r="D1392">
        <v>79.900000000000006</v>
      </c>
      <c r="E1392">
        <v>54.12</v>
      </c>
      <c r="F1392">
        <v>21.2</v>
      </c>
      <c r="G1392">
        <v>35.594200000000001</v>
      </c>
      <c r="H1392">
        <v>0.13300000000000001</v>
      </c>
      <c r="K1392">
        <v>44475</v>
      </c>
      <c r="L1392" t="s">
        <v>8337</v>
      </c>
      <c r="M1392">
        <v>0.13300000000000001</v>
      </c>
    </row>
    <row r="1393" spans="1:13" x14ac:dyDescent="0.25">
      <c r="A1393" t="s">
        <v>8338</v>
      </c>
      <c r="B1393">
        <v>66871</v>
      </c>
      <c r="C1393">
        <v>5602660004357</v>
      </c>
      <c r="D1393">
        <v>399.9</v>
      </c>
      <c r="E1393">
        <v>309.38</v>
      </c>
      <c r="F1393">
        <v>14.88</v>
      </c>
      <c r="G1393">
        <v>203.41919999999999</v>
      </c>
      <c r="H1393">
        <v>3.3000000000000002E-2</v>
      </c>
      <c r="K1393">
        <v>66871</v>
      </c>
      <c r="L1393" t="s">
        <v>8338</v>
      </c>
      <c r="M1393">
        <v>3.3000000000000002E-2</v>
      </c>
    </row>
    <row r="1394" spans="1:13" x14ac:dyDescent="0.25">
      <c r="A1394" t="s">
        <v>8339</v>
      </c>
      <c r="B1394">
        <v>53781</v>
      </c>
      <c r="C1394">
        <v>5602660004326</v>
      </c>
      <c r="D1394">
        <v>99.9</v>
      </c>
      <c r="E1394">
        <v>56.56</v>
      </c>
      <c r="F1394">
        <v>28.52</v>
      </c>
      <c r="G1394">
        <v>37.189300000000003</v>
      </c>
      <c r="H1394">
        <v>0</v>
      </c>
      <c r="K1394">
        <v>53781</v>
      </c>
      <c r="L1394" t="s">
        <v>8339</v>
      </c>
      <c r="M1394">
        <v>0</v>
      </c>
    </row>
    <row r="1395" spans="1:13" x14ac:dyDescent="0.25">
      <c r="A1395" t="s">
        <v>8340</v>
      </c>
      <c r="B1395">
        <v>63642</v>
      </c>
      <c r="C1395">
        <v>5602418000150</v>
      </c>
      <c r="D1395">
        <v>99.9</v>
      </c>
      <c r="E1395">
        <v>76.34</v>
      </c>
      <c r="F1395">
        <v>15.21</v>
      </c>
      <c r="G1395">
        <v>50.490699999999997</v>
      </c>
      <c r="H1395">
        <v>6.7000000000000004E-2</v>
      </c>
      <c r="K1395">
        <v>63642</v>
      </c>
      <c r="L1395" t="s">
        <v>8340</v>
      </c>
      <c r="M1395">
        <v>0</v>
      </c>
    </row>
    <row r="1396" spans="1:13" x14ac:dyDescent="0.25">
      <c r="A1396" t="s">
        <v>8341</v>
      </c>
      <c r="B1396">
        <v>63643</v>
      </c>
      <c r="C1396">
        <v>5602418000136</v>
      </c>
      <c r="D1396">
        <v>99.9</v>
      </c>
      <c r="E1396">
        <v>75.099999999999994</v>
      </c>
      <c r="F1396">
        <v>16.32</v>
      </c>
      <c r="G1396">
        <v>49.377400000000002</v>
      </c>
      <c r="H1396">
        <v>0.1</v>
      </c>
      <c r="K1396">
        <v>63643</v>
      </c>
      <c r="L1396" t="s">
        <v>8341</v>
      </c>
      <c r="M1396">
        <v>0</v>
      </c>
    </row>
    <row r="1397" spans="1:13" x14ac:dyDescent="0.25">
      <c r="A1397" t="s">
        <v>8342</v>
      </c>
      <c r="B1397">
        <v>23506</v>
      </c>
      <c r="C1397">
        <v>5601109111373</v>
      </c>
      <c r="D1397">
        <v>139.9</v>
      </c>
      <c r="E1397">
        <v>109.03</v>
      </c>
      <c r="F1397">
        <v>14.51</v>
      </c>
      <c r="G1397">
        <v>71.6858</v>
      </c>
      <c r="H1397">
        <v>0</v>
      </c>
      <c r="K1397">
        <v>23506</v>
      </c>
      <c r="L1397" t="s">
        <v>8342</v>
      </c>
      <c r="M1397">
        <v>0</v>
      </c>
    </row>
    <row r="1398" spans="1:13" x14ac:dyDescent="0.25">
      <c r="A1398" t="s">
        <v>8343</v>
      </c>
      <c r="B1398">
        <v>23507</v>
      </c>
      <c r="C1398">
        <v>5601109113025</v>
      </c>
      <c r="D1398">
        <v>139.9</v>
      </c>
      <c r="E1398">
        <v>108.48</v>
      </c>
      <c r="F1398">
        <v>14.77</v>
      </c>
      <c r="G1398">
        <v>71.323099999999997</v>
      </c>
      <c r="H1398">
        <v>0</v>
      </c>
      <c r="K1398">
        <v>23507</v>
      </c>
      <c r="L1398" t="s">
        <v>8343</v>
      </c>
      <c r="M1398">
        <v>0</v>
      </c>
    </row>
    <row r="1399" spans="1:13" x14ac:dyDescent="0.25">
      <c r="A1399" t="s">
        <v>8344</v>
      </c>
      <c r="B1399">
        <v>63107</v>
      </c>
      <c r="C1399">
        <v>5601007001219</v>
      </c>
      <c r="D1399">
        <v>399.9</v>
      </c>
      <c r="E1399">
        <v>206.69</v>
      </c>
      <c r="F1399">
        <v>31.77</v>
      </c>
      <c r="G1399">
        <v>135.9</v>
      </c>
      <c r="H1399">
        <v>0</v>
      </c>
      <c r="K1399">
        <v>63107</v>
      </c>
      <c r="L1399" t="s">
        <v>8344</v>
      </c>
      <c r="M1399">
        <v>0</v>
      </c>
    </row>
    <row r="1400" spans="1:13" x14ac:dyDescent="0.25">
      <c r="A1400" t="s">
        <v>8345</v>
      </c>
      <c r="B1400">
        <v>63110</v>
      </c>
      <c r="C1400">
        <v>5601007002223</v>
      </c>
      <c r="D1400" s="1">
        <v>1959.9</v>
      </c>
      <c r="E1400">
        <v>588.54</v>
      </c>
      <c r="F1400">
        <v>44.76</v>
      </c>
      <c r="G1400">
        <v>411.41550000000001</v>
      </c>
      <c r="H1400">
        <v>0</v>
      </c>
      <c r="K1400">
        <v>63110</v>
      </c>
      <c r="L1400" t="s">
        <v>8345</v>
      </c>
      <c r="M1400">
        <v>0</v>
      </c>
    </row>
    <row r="1401" spans="1:13" x14ac:dyDescent="0.25">
      <c r="A1401" t="s">
        <v>8346</v>
      </c>
      <c r="B1401">
        <v>63105</v>
      </c>
      <c r="C1401">
        <v>5601007001875</v>
      </c>
      <c r="D1401">
        <v>149.9</v>
      </c>
      <c r="E1401">
        <v>108.76</v>
      </c>
      <c r="F1401">
        <v>18.04</v>
      </c>
      <c r="G1401">
        <v>71.511700000000005</v>
      </c>
      <c r="H1401">
        <v>0</v>
      </c>
      <c r="K1401">
        <v>63105</v>
      </c>
      <c r="L1401" t="s">
        <v>8346</v>
      </c>
      <c r="M1401">
        <v>0</v>
      </c>
    </row>
    <row r="1402" spans="1:13" x14ac:dyDescent="0.25">
      <c r="A1402" t="s">
        <v>8347</v>
      </c>
      <c r="B1402">
        <v>35673</v>
      </c>
      <c r="C1402">
        <v>5601007001615</v>
      </c>
      <c r="D1402">
        <v>129.9</v>
      </c>
      <c r="E1402">
        <v>49.5</v>
      </c>
      <c r="F1402">
        <v>40.69</v>
      </c>
      <c r="G1402">
        <v>32.547899999999998</v>
      </c>
      <c r="H1402">
        <v>1.167</v>
      </c>
      <c r="K1402">
        <v>35673</v>
      </c>
      <c r="L1402" t="s">
        <v>8347</v>
      </c>
      <c r="M1402">
        <v>0.2</v>
      </c>
    </row>
    <row r="1403" spans="1:13" x14ac:dyDescent="0.25">
      <c r="A1403" t="s">
        <v>8348</v>
      </c>
      <c r="B1403">
        <v>35674</v>
      </c>
      <c r="C1403">
        <v>5601007001011</v>
      </c>
      <c r="D1403">
        <v>129.9</v>
      </c>
      <c r="E1403">
        <v>49.31</v>
      </c>
      <c r="F1403">
        <v>40.74</v>
      </c>
      <c r="G1403">
        <v>32.489899999999999</v>
      </c>
      <c r="H1403">
        <v>0.6</v>
      </c>
      <c r="K1403">
        <v>35674</v>
      </c>
      <c r="L1403" t="s">
        <v>8348</v>
      </c>
      <c r="M1403">
        <v>0.16700000000000001</v>
      </c>
    </row>
    <row r="1404" spans="1:13" x14ac:dyDescent="0.25">
      <c r="A1404" t="s">
        <v>8349</v>
      </c>
      <c r="B1404">
        <v>19677</v>
      </c>
      <c r="C1404">
        <v>5601292175183</v>
      </c>
      <c r="D1404">
        <v>299.89999999999998</v>
      </c>
      <c r="E1404">
        <v>192.99</v>
      </c>
      <c r="F1404">
        <v>23.44</v>
      </c>
      <c r="G1404">
        <v>126.89060000000001</v>
      </c>
      <c r="H1404">
        <v>0</v>
      </c>
      <c r="K1404">
        <v>19677</v>
      </c>
      <c r="L1404" t="s">
        <v>8349</v>
      </c>
      <c r="M1404">
        <v>0</v>
      </c>
    </row>
    <row r="1405" spans="1:13" x14ac:dyDescent="0.25">
      <c r="A1405" t="s">
        <v>8350</v>
      </c>
      <c r="B1405">
        <v>68547</v>
      </c>
      <c r="C1405">
        <v>5601109111632</v>
      </c>
      <c r="D1405">
        <v>199.9</v>
      </c>
      <c r="E1405">
        <v>140.08000000000001</v>
      </c>
      <c r="F1405">
        <v>19.68</v>
      </c>
      <c r="G1405">
        <v>92.1</v>
      </c>
      <c r="H1405">
        <v>0</v>
      </c>
      <c r="K1405">
        <v>68547</v>
      </c>
      <c r="L1405" t="s">
        <v>8350</v>
      </c>
      <c r="M1405">
        <v>0</v>
      </c>
    </row>
    <row r="1406" spans="1:13" x14ac:dyDescent="0.25">
      <c r="A1406" t="s">
        <v>8351</v>
      </c>
      <c r="B1406">
        <v>23510</v>
      </c>
      <c r="C1406">
        <v>5601109111281</v>
      </c>
      <c r="D1406">
        <v>159.9</v>
      </c>
      <c r="E1406">
        <v>103.12</v>
      </c>
      <c r="F1406">
        <v>23.35</v>
      </c>
      <c r="G1406">
        <v>67.800600000000003</v>
      </c>
      <c r="H1406">
        <v>0</v>
      </c>
      <c r="K1406">
        <v>23510</v>
      </c>
      <c r="L1406" t="s">
        <v>8351</v>
      </c>
      <c r="M1406">
        <v>0</v>
      </c>
    </row>
    <row r="1407" spans="1:13" x14ac:dyDescent="0.25">
      <c r="A1407" t="s">
        <v>8352</v>
      </c>
      <c r="B1407">
        <v>23511</v>
      </c>
      <c r="C1407">
        <v>5601109111151</v>
      </c>
      <c r="D1407">
        <v>159.9</v>
      </c>
      <c r="E1407">
        <v>102.49</v>
      </c>
      <c r="F1407">
        <v>23.61</v>
      </c>
      <c r="G1407">
        <v>67.389799999999994</v>
      </c>
      <c r="H1407">
        <v>0</v>
      </c>
      <c r="K1407">
        <v>23511</v>
      </c>
      <c r="L1407" t="s">
        <v>8352</v>
      </c>
      <c r="M1407">
        <v>0</v>
      </c>
    </row>
    <row r="1408" spans="1:13" x14ac:dyDescent="0.25">
      <c r="A1408" t="s">
        <v>8353</v>
      </c>
      <c r="B1408">
        <v>57995</v>
      </c>
      <c r="C1408">
        <v>5013626111239</v>
      </c>
      <c r="D1408">
        <v>149.9</v>
      </c>
      <c r="E1408">
        <v>74.3</v>
      </c>
      <c r="F1408">
        <v>33.08</v>
      </c>
      <c r="G1408">
        <v>48.9711</v>
      </c>
      <c r="H1408">
        <v>0</v>
      </c>
      <c r="K1408">
        <v>57995</v>
      </c>
      <c r="L1408" t="s">
        <v>8353</v>
      </c>
      <c r="M1408">
        <v>0</v>
      </c>
    </row>
    <row r="1409" spans="1:13" x14ac:dyDescent="0.25">
      <c r="A1409" t="s">
        <v>8354</v>
      </c>
      <c r="B1409">
        <v>18183</v>
      </c>
      <c r="C1409">
        <v>5013626111215</v>
      </c>
      <c r="D1409">
        <v>149.9</v>
      </c>
      <c r="E1409">
        <v>86.06</v>
      </c>
      <c r="F1409">
        <v>22.33</v>
      </c>
      <c r="G1409">
        <v>65.082899999999995</v>
      </c>
      <c r="H1409">
        <v>0.23300000000000001</v>
      </c>
      <c r="K1409">
        <v>18183</v>
      </c>
      <c r="L1409" t="s">
        <v>8354</v>
      </c>
      <c r="M1409">
        <v>0.2</v>
      </c>
    </row>
    <row r="1410" spans="1:13" x14ac:dyDescent="0.25">
      <c r="A1410" t="s">
        <v>8355</v>
      </c>
      <c r="B1410">
        <v>18184</v>
      </c>
      <c r="C1410">
        <v>5013626111222</v>
      </c>
      <c r="D1410">
        <v>149.9</v>
      </c>
      <c r="E1410">
        <v>77.48</v>
      </c>
      <c r="F1410">
        <v>31.64</v>
      </c>
      <c r="G1410">
        <v>51.130800000000001</v>
      </c>
      <c r="H1410">
        <v>0</v>
      </c>
      <c r="K1410">
        <v>18184</v>
      </c>
      <c r="L1410" t="s">
        <v>8355</v>
      </c>
      <c r="M1410">
        <v>0</v>
      </c>
    </row>
    <row r="1411" spans="1:13" x14ac:dyDescent="0.25">
      <c r="A1411" t="s">
        <v>8356</v>
      </c>
      <c r="B1411">
        <v>60964</v>
      </c>
      <c r="C1411">
        <v>5942093002576</v>
      </c>
      <c r="D1411">
        <v>79.900000000000006</v>
      </c>
      <c r="E1411">
        <v>48.29</v>
      </c>
      <c r="F1411">
        <v>26.32</v>
      </c>
      <c r="G1411">
        <v>31.502500000000001</v>
      </c>
      <c r="H1411">
        <v>0.16700000000000001</v>
      </c>
      <c r="K1411">
        <v>60964</v>
      </c>
      <c r="L1411" t="s">
        <v>8356</v>
      </c>
      <c r="M1411">
        <v>0</v>
      </c>
    </row>
    <row r="1412" spans="1:13" x14ac:dyDescent="0.25">
      <c r="A1412" t="s">
        <v>8357</v>
      </c>
      <c r="B1412">
        <v>60961</v>
      </c>
      <c r="C1412">
        <v>5942093009896</v>
      </c>
      <c r="D1412">
        <v>79.900000000000006</v>
      </c>
      <c r="E1412">
        <v>44.95</v>
      </c>
      <c r="F1412">
        <v>30.38</v>
      </c>
      <c r="G1412">
        <v>28.258600000000001</v>
      </c>
      <c r="H1412">
        <v>6.7000000000000004E-2</v>
      </c>
      <c r="K1412">
        <v>60961</v>
      </c>
      <c r="L1412" t="s">
        <v>8357</v>
      </c>
      <c r="M1412">
        <v>6.7000000000000004E-2</v>
      </c>
    </row>
    <row r="1413" spans="1:13" x14ac:dyDescent="0.25">
      <c r="A1413" t="s">
        <v>8358</v>
      </c>
      <c r="B1413">
        <v>60962</v>
      </c>
      <c r="C1413">
        <v>5942093009759</v>
      </c>
      <c r="D1413">
        <v>79.900000000000006</v>
      </c>
      <c r="E1413">
        <v>44.9</v>
      </c>
      <c r="F1413">
        <v>29.33</v>
      </c>
      <c r="G1413">
        <v>29.096900000000002</v>
      </c>
      <c r="H1413">
        <v>6.7000000000000004E-2</v>
      </c>
      <c r="K1413">
        <v>60962</v>
      </c>
      <c r="L1413" t="s">
        <v>8358</v>
      </c>
      <c r="M1413">
        <v>6.7000000000000004E-2</v>
      </c>
    </row>
    <row r="1414" spans="1:13" x14ac:dyDescent="0.25">
      <c r="A1414" t="s">
        <v>8359</v>
      </c>
      <c r="B1414">
        <v>55448</v>
      </c>
      <c r="C1414">
        <v>3700619315539</v>
      </c>
      <c r="D1414">
        <v>91.02</v>
      </c>
      <c r="E1414">
        <v>63.11</v>
      </c>
      <c r="F1414">
        <v>20.13</v>
      </c>
      <c r="G1414">
        <v>41.525799999999997</v>
      </c>
      <c r="H1414">
        <v>0.3</v>
      </c>
      <c r="K1414">
        <v>55448</v>
      </c>
      <c r="L1414" t="s">
        <v>8359</v>
      </c>
      <c r="M1414">
        <v>0.13300000000000001</v>
      </c>
    </row>
    <row r="1415" spans="1:13" x14ac:dyDescent="0.25">
      <c r="A1415" t="s">
        <v>8360</v>
      </c>
      <c r="B1415">
        <v>55045</v>
      </c>
      <c r="C1415">
        <v>3700619317311</v>
      </c>
      <c r="D1415">
        <v>89.57</v>
      </c>
      <c r="E1415">
        <v>63.12</v>
      </c>
      <c r="F1415">
        <v>19.45</v>
      </c>
      <c r="G1415">
        <v>41.472299999999997</v>
      </c>
      <c r="H1415">
        <v>0.63300000000000001</v>
      </c>
      <c r="K1415">
        <v>55045</v>
      </c>
      <c r="L1415" t="s">
        <v>8360</v>
      </c>
      <c r="M1415">
        <v>0.3</v>
      </c>
    </row>
    <row r="1416" spans="1:13" x14ac:dyDescent="0.25">
      <c r="A1416" t="s">
        <v>8361</v>
      </c>
      <c r="B1416">
        <v>57305</v>
      </c>
      <c r="C1416">
        <v>3700619322568</v>
      </c>
      <c r="D1416">
        <v>94.76</v>
      </c>
      <c r="E1416">
        <v>60.66</v>
      </c>
      <c r="F1416">
        <v>22.62</v>
      </c>
      <c r="G1416">
        <v>40.8675</v>
      </c>
      <c r="H1416">
        <v>0.33300000000000002</v>
      </c>
      <c r="K1416">
        <v>57305</v>
      </c>
      <c r="L1416" t="s">
        <v>8361</v>
      </c>
      <c r="M1416">
        <v>0.13300000000000001</v>
      </c>
    </row>
    <row r="1417" spans="1:13" x14ac:dyDescent="0.25">
      <c r="A1417" t="s">
        <v>8362</v>
      </c>
      <c r="B1417">
        <v>57306</v>
      </c>
      <c r="C1417">
        <v>3700619341484</v>
      </c>
      <c r="D1417">
        <v>92.56</v>
      </c>
      <c r="E1417">
        <v>61.37</v>
      </c>
      <c r="F1417">
        <v>21.45</v>
      </c>
      <c r="G1417">
        <v>41.000999999999998</v>
      </c>
      <c r="H1417">
        <v>0.33300000000000002</v>
      </c>
      <c r="K1417">
        <v>57306</v>
      </c>
      <c r="L1417" t="s">
        <v>8362</v>
      </c>
      <c r="M1417">
        <v>6.7000000000000004E-2</v>
      </c>
    </row>
    <row r="1418" spans="1:13" x14ac:dyDescent="0.25">
      <c r="A1418" t="s">
        <v>8363</v>
      </c>
      <c r="B1418">
        <v>32530</v>
      </c>
      <c r="C1418">
        <v>8015393014024</v>
      </c>
      <c r="D1418">
        <v>69.900000000000006</v>
      </c>
      <c r="E1418">
        <v>42.82</v>
      </c>
      <c r="F1418">
        <v>25.24</v>
      </c>
      <c r="G1418">
        <v>28.316500000000001</v>
      </c>
      <c r="H1418">
        <v>1.2669999999999999</v>
      </c>
      <c r="K1418">
        <v>32530</v>
      </c>
      <c r="L1418" t="s">
        <v>8363</v>
      </c>
      <c r="M1418">
        <v>0.46700000000000003</v>
      </c>
    </row>
    <row r="1419" spans="1:13" x14ac:dyDescent="0.25">
      <c r="A1419" t="s">
        <v>8364</v>
      </c>
      <c r="B1419">
        <v>39706</v>
      </c>
      <c r="C1419">
        <v>8410113003416</v>
      </c>
      <c r="D1419">
        <v>349.9</v>
      </c>
      <c r="E1419">
        <v>210.95</v>
      </c>
      <c r="F1419">
        <v>26.11</v>
      </c>
      <c r="G1419">
        <v>138.697</v>
      </c>
      <c r="H1419">
        <v>3.3000000000000002E-2</v>
      </c>
      <c r="K1419">
        <v>39706</v>
      </c>
      <c r="L1419" t="s">
        <v>8364</v>
      </c>
      <c r="M1419">
        <v>3.3000000000000002E-2</v>
      </c>
    </row>
    <row r="1420" spans="1:13" x14ac:dyDescent="0.25">
      <c r="A1420" t="s">
        <v>8365</v>
      </c>
      <c r="B1420">
        <v>67006</v>
      </c>
      <c r="C1420">
        <v>8032636143211</v>
      </c>
      <c r="D1420">
        <v>599.9</v>
      </c>
      <c r="E1420">
        <v>438.04</v>
      </c>
      <c r="F1420">
        <v>17.739999999999998</v>
      </c>
      <c r="G1420">
        <v>288.01330000000002</v>
      </c>
      <c r="H1420">
        <v>0</v>
      </c>
      <c r="K1420">
        <v>67006</v>
      </c>
      <c r="L1420" t="s">
        <v>8365</v>
      </c>
      <c r="M1420">
        <v>0</v>
      </c>
    </row>
    <row r="1421" spans="1:13" x14ac:dyDescent="0.25">
      <c r="A1421" t="s">
        <v>8366</v>
      </c>
      <c r="B1421">
        <v>64125</v>
      </c>
      <c r="C1421">
        <v>8437005373099</v>
      </c>
      <c r="D1421">
        <v>179.9</v>
      </c>
      <c r="E1421">
        <v>112.87</v>
      </c>
      <c r="F1421">
        <v>24.5</v>
      </c>
      <c r="G1421">
        <v>74.212299999999999</v>
      </c>
      <c r="H1421">
        <v>3.3000000000000002E-2</v>
      </c>
      <c r="K1421">
        <v>64125</v>
      </c>
      <c r="L1421" t="s">
        <v>8366</v>
      </c>
      <c r="M1421">
        <v>3.3000000000000002E-2</v>
      </c>
    </row>
    <row r="1422" spans="1:13" x14ac:dyDescent="0.25">
      <c r="A1422" t="s">
        <v>8367</v>
      </c>
      <c r="B1422">
        <v>63122</v>
      </c>
      <c r="C1422">
        <v>5601213181651</v>
      </c>
      <c r="D1422">
        <v>69.900000000000006</v>
      </c>
      <c r="E1422">
        <v>27.9</v>
      </c>
      <c r="F1422">
        <v>39.520000000000003</v>
      </c>
      <c r="G1422">
        <v>18.336200000000002</v>
      </c>
      <c r="H1422">
        <v>0.9</v>
      </c>
      <c r="K1422">
        <v>63122</v>
      </c>
      <c r="L1422" t="s">
        <v>8367</v>
      </c>
      <c r="M1422">
        <v>0.13300000000000001</v>
      </c>
    </row>
    <row r="1423" spans="1:13" x14ac:dyDescent="0.25">
      <c r="A1423" t="s">
        <v>8368</v>
      </c>
      <c r="B1423">
        <v>63543</v>
      </c>
      <c r="C1423">
        <v>5601213181583</v>
      </c>
      <c r="D1423">
        <v>99.9</v>
      </c>
      <c r="E1423">
        <v>43.62</v>
      </c>
      <c r="F1423">
        <v>37.04</v>
      </c>
      <c r="G1423">
        <v>28.68</v>
      </c>
      <c r="H1423">
        <v>0</v>
      </c>
      <c r="K1423">
        <v>63543</v>
      </c>
      <c r="L1423" t="s">
        <v>8368</v>
      </c>
      <c r="M1423">
        <v>0</v>
      </c>
    </row>
    <row r="1424" spans="1:13" x14ac:dyDescent="0.25">
      <c r="A1424" t="s">
        <v>8369</v>
      </c>
      <c r="B1424">
        <v>64865</v>
      </c>
      <c r="C1424">
        <v>3831002404834</v>
      </c>
      <c r="D1424">
        <v>119.9</v>
      </c>
      <c r="E1424">
        <v>74.430000000000007</v>
      </c>
      <c r="F1424">
        <v>24.94</v>
      </c>
      <c r="G1424">
        <v>48.935299999999998</v>
      </c>
      <c r="H1424">
        <v>6.7000000000000004E-2</v>
      </c>
      <c r="K1424">
        <v>64865</v>
      </c>
      <c r="L1424" t="s">
        <v>8369</v>
      </c>
      <c r="M1424">
        <v>6.7000000000000004E-2</v>
      </c>
    </row>
    <row r="1425" spans="1:13" x14ac:dyDescent="0.25">
      <c r="A1425" t="s">
        <v>8370</v>
      </c>
      <c r="B1425">
        <v>67086</v>
      </c>
      <c r="C1425">
        <v>5600751735005</v>
      </c>
      <c r="D1425">
        <v>89.9</v>
      </c>
      <c r="E1425">
        <v>59.61</v>
      </c>
      <c r="F1425">
        <v>18.32</v>
      </c>
      <c r="G1425">
        <v>42.637</v>
      </c>
      <c r="H1425">
        <v>0.26700000000000002</v>
      </c>
      <c r="K1425">
        <v>67086</v>
      </c>
      <c r="L1425" t="s">
        <v>8370</v>
      </c>
      <c r="M1425">
        <v>0.26700000000000002</v>
      </c>
    </row>
    <row r="1426" spans="1:13" x14ac:dyDescent="0.25">
      <c r="A1426" t="s">
        <v>8371</v>
      </c>
      <c r="B1426">
        <v>67091</v>
      </c>
      <c r="C1426">
        <v>5600751735241</v>
      </c>
      <c r="D1426">
        <v>399.9</v>
      </c>
      <c r="E1426">
        <v>268.31</v>
      </c>
      <c r="F1426">
        <v>20.3</v>
      </c>
      <c r="G1426">
        <v>181.7457</v>
      </c>
      <c r="H1426">
        <v>3.3000000000000002E-2</v>
      </c>
      <c r="K1426">
        <v>67091</v>
      </c>
      <c r="L1426" t="s">
        <v>8371</v>
      </c>
      <c r="M1426">
        <v>0</v>
      </c>
    </row>
    <row r="1427" spans="1:13" x14ac:dyDescent="0.25">
      <c r="A1427" t="s">
        <v>8372</v>
      </c>
      <c r="B1427">
        <v>69774</v>
      </c>
      <c r="C1427">
        <v>5600751735555</v>
      </c>
      <c r="D1427">
        <v>499.9</v>
      </c>
      <c r="E1427">
        <v>299.01</v>
      </c>
      <c r="F1427">
        <v>26.42</v>
      </c>
      <c r="G1427">
        <v>196.6003</v>
      </c>
      <c r="H1427">
        <v>0</v>
      </c>
      <c r="K1427">
        <v>69774</v>
      </c>
      <c r="L1427" t="s">
        <v>8372</v>
      </c>
      <c r="M1427">
        <v>0</v>
      </c>
    </row>
    <row r="1428" spans="1:13" x14ac:dyDescent="0.25">
      <c r="A1428" t="s">
        <v>8373</v>
      </c>
      <c r="B1428">
        <v>67087</v>
      </c>
      <c r="C1428">
        <v>5600751735050</v>
      </c>
      <c r="D1428">
        <v>189.9</v>
      </c>
      <c r="E1428">
        <v>120.05</v>
      </c>
      <c r="F1428">
        <v>20.7</v>
      </c>
      <c r="G1428">
        <v>85.545599999999993</v>
      </c>
      <c r="H1428">
        <v>0.26700000000000002</v>
      </c>
      <c r="K1428">
        <v>67087</v>
      </c>
      <c r="L1428" t="s">
        <v>8373</v>
      </c>
      <c r="M1428">
        <v>0</v>
      </c>
    </row>
    <row r="1429" spans="1:13" x14ac:dyDescent="0.25">
      <c r="A1429" t="s">
        <v>8374</v>
      </c>
      <c r="B1429">
        <v>67089</v>
      </c>
      <c r="C1429">
        <v>5600751735029</v>
      </c>
      <c r="D1429">
        <v>192.21</v>
      </c>
      <c r="E1429">
        <v>125.06</v>
      </c>
      <c r="F1429">
        <v>21.09</v>
      </c>
      <c r="G1429">
        <v>85.841399999999993</v>
      </c>
      <c r="H1429">
        <v>0.63300000000000001</v>
      </c>
      <c r="K1429">
        <v>67089</v>
      </c>
      <c r="L1429" t="s">
        <v>8374</v>
      </c>
      <c r="M1429">
        <v>0</v>
      </c>
    </row>
    <row r="1430" spans="1:13" x14ac:dyDescent="0.25">
      <c r="A1430" t="s">
        <v>8375</v>
      </c>
      <c r="B1430">
        <v>67088</v>
      </c>
      <c r="C1430">
        <v>5600751735012</v>
      </c>
      <c r="D1430">
        <v>84.85</v>
      </c>
      <c r="E1430">
        <v>59.44</v>
      </c>
      <c r="F1430">
        <v>17.059999999999999</v>
      </c>
      <c r="G1430">
        <v>41.315600000000003</v>
      </c>
      <c r="H1430">
        <v>2.367</v>
      </c>
      <c r="K1430">
        <v>67088</v>
      </c>
      <c r="L1430" t="s">
        <v>8375</v>
      </c>
      <c r="M1430">
        <v>0.16700000000000001</v>
      </c>
    </row>
    <row r="1431" spans="1:13" x14ac:dyDescent="0.25">
      <c r="A1431" t="s">
        <v>8376</v>
      </c>
      <c r="B1431">
        <v>66703</v>
      </c>
      <c r="C1431">
        <v>5601766300363</v>
      </c>
      <c r="D1431" s="1">
        <v>5999.9</v>
      </c>
      <c r="E1431" s="1">
        <v>2961.55</v>
      </c>
      <c r="F1431">
        <v>33.299999999999997</v>
      </c>
      <c r="G1431" s="1">
        <v>1947.22</v>
      </c>
      <c r="H1431">
        <v>0</v>
      </c>
      <c r="K1431">
        <v>66703</v>
      </c>
      <c r="L1431" t="s">
        <v>8376</v>
      </c>
      <c r="M1431">
        <v>0</v>
      </c>
    </row>
    <row r="1432" spans="1:13" x14ac:dyDescent="0.25">
      <c r="A1432" t="s">
        <v>8377</v>
      </c>
      <c r="B1432">
        <v>51318</v>
      </c>
      <c r="C1432">
        <v>5601237000495</v>
      </c>
      <c r="D1432">
        <v>199.9</v>
      </c>
      <c r="E1432">
        <v>131.69</v>
      </c>
      <c r="F1432">
        <v>22.43</v>
      </c>
      <c r="G1432">
        <v>86.587900000000005</v>
      </c>
      <c r="H1432">
        <v>3.3000000000000002E-2</v>
      </c>
      <c r="K1432">
        <v>51318</v>
      </c>
      <c r="L1432" t="s">
        <v>8377</v>
      </c>
      <c r="M1432">
        <v>3.3000000000000002E-2</v>
      </c>
    </row>
    <row r="1433" spans="1:13" x14ac:dyDescent="0.25">
      <c r="A1433" t="s">
        <v>8378</v>
      </c>
      <c r="B1433">
        <v>51316</v>
      </c>
      <c r="C1433">
        <v>5601237011224</v>
      </c>
      <c r="D1433">
        <v>329.9</v>
      </c>
      <c r="E1433">
        <v>204.03</v>
      </c>
      <c r="F1433">
        <v>18.920000000000002</v>
      </c>
      <c r="G1433">
        <v>154.49600000000001</v>
      </c>
      <c r="H1433">
        <v>0</v>
      </c>
      <c r="K1433">
        <v>51316</v>
      </c>
      <c r="L1433" t="s">
        <v>8378</v>
      </c>
      <c r="M1433">
        <v>0</v>
      </c>
    </row>
    <row r="1434" spans="1:13" x14ac:dyDescent="0.25">
      <c r="A1434" t="s">
        <v>8379</v>
      </c>
      <c r="B1434">
        <v>44476</v>
      </c>
      <c r="C1434">
        <v>5601007476505</v>
      </c>
      <c r="D1434" s="1">
        <v>1299.9000000000001</v>
      </c>
      <c r="E1434">
        <v>841.91</v>
      </c>
      <c r="F1434">
        <v>23.17</v>
      </c>
      <c r="G1434">
        <v>553.55909999999994</v>
      </c>
      <c r="H1434">
        <v>0</v>
      </c>
      <c r="K1434">
        <v>44476</v>
      </c>
      <c r="L1434" t="s">
        <v>8379</v>
      </c>
      <c r="M1434">
        <v>0</v>
      </c>
    </row>
    <row r="1435" spans="1:13" x14ac:dyDescent="0.25">
      <c r="A1435" t="s">
        <v>8380</v>
      </c>
      <c r="B1435">
        <v>51317</v>
      </c>
      <c r="C1435">
        <v>5605538001328</v>
      </c>
      <c r="D1435">
        <v>449.9</v>
      </c>
      <c r="E1435">
        <v>270.72000000000003</v>
      </c>
      <c r="F1435">
        <v>28.77</v>
      </c>
      <c r="G1435">
        <v>166.37469999999999</v>
      </c>
      <c r="H1435">
        <v>0</v>
      </c>
      <c r="K1435">
        <v>51317</v>
      </c>
      <c r="L1435" t="s">
        <v>8380</v>
      </c>
      <c r="M1435">
        <v>0</v>
      </c>
    </row>
    <row r="1436" spans="1:13" x14ac:dyDescent="0.25">
      <c r="A1436" t="s">
        <v>8381</v>
      </c>
      <c r="B1436">
        <v>67661</v>
      </c>
      <c r="C1436">
        <v>5604424104037</v>
      </c>
      <c r="D1436">
        <v>99.9</v>
      </c>
      <c r="E1436">
        <v>63.3</v>
      </c>
      <c r="F1436">
        <v>20.239999999999998</v>
      </c>
      <c r="G1436">
        <v>45.46</v>
      </c>
      <c r="H1436">
        <v>6.7000000000000004E-2</v>
      </c>
      <c r="K1436">
        <v>67661</v>
      </c>
      <c r="L1436" t="s">
        <v>8381</v>
      </c>
      <c r="M1436">
        <v>6.7000000000000004E-2</v>
      </c>
    </row>
    <row r="1437" spans="1:13" x14ac:dyDescent="0.25">
      <c r="A1437" t="s">
        <v>8382</v>
      </c>
      <c r="B1437">
        <v>55127</v>
      </c>
      <c r="C1437">
        <v>5604424162006</v>
      </c>
      <c r="D1437">
        <v>59.9</v>
      </c>
      <c r="E1437">
        <v>30.42</v>
      </c>
      <c r="F1437">
        <v>32.36</v>
      </c>
      <c r="G1437">
        <v>20.002400000000002</v>
      </c>
      <c r="H1437">
        <v>1.2330000000000001</v>
      </c>
      <c r="K1437">
        <v>55127</v>
      </c>
      <c r="L1437" t="s">
        <v>8382</v>
      </c>
      <c r="M1437">
        <v>0.5</v>
      </c>
    </row>
    <row r="1438" spans="1:13" x14ac:dyDescent="0.25">
      <c r="A1438" t="s">
        <v>8383</v>
      </c>
      <c r="B1438">
        <v>35813</v>
      </c>
      <c r="C1438">
        <v>5604424108011</v>
      </c>
      <c r="D1438">
        <v>49.9</v>
      </c>
      <c r="E1438">
        <v>31.06</v>
      </c>
      <c r="F1438">
        <v>24.99</v>
      </c>
      <c r="G1438">
        <v>20.3371</v>
      </c>
      <c r="H1438">
        <v>11.367000000000001</v>
      </c>
      <c r="K1438">
        <v>35813</v>
      </c>
      <c r="L1438" t="s">
        <v>8383</v>
      </c>
      <c r="M1438">
        <v>1.333</v>
      </c>
    </row>
    <row r="1439" spans="1:13" x14ac:dyDescent="0.25">
      <c r="A1439" t="s">
        <v>8384</v>
      </c>
      <c r="B1439">
        <v>55128</v>
      </c>
      <c r="C1439">
        <v>5604424107052</v>
      </c>
      <c r="D1439">
        <v>59.9</v>
      </c>
      <c r="E1439">
        <v>30.42</v>
      </c>
      <c r="F1439">
        <v>32.36</v>
      </c>
      <c r="G1439">
        <v>20.002400000000002</v>
      </c>
      <c r="H1439">
        <v>1.333</v>
      </c>
      <c r="K1439">
        <v>55128</v>
      </c>
      <c r="L1439" t="s">
        <v>8384</v>
      </c>
      <c r="M1439">
        <v>0.4</v>
      </c>
    </row>
    <row r="1440" spans="1:13" x14ac:dyDescent="0.25">
      <c r="A1440" t="s">
        <v>8385</v>
      </c>
      <c r="B1440">
        <v>66997</v>
      </c>
      <c r="C1440">
        <v>5601237000938</v>
      </c>
      <c r="D1440">
        <v>199.9</v>
      </c>
      <c r="E1440">
        <v>141.72999999999999</v>
      </c>
      <c r="F1440">
        <v>19.13</v>
      </c>
      <c r="G1440">
        <v>93.191100000000006</v>
      </c>
      <c r="H1440">
        <v>3.3000000000000002E-2</v>
      </c>
      <c r="K1440">
        <v>66997</v>
      </c>
      <c r="L1440" t="s">
        <v>8385</v>
      </c>
      <c r="M1440">
        <v>3.3000000000000002E-2</v>
      </c>
    </row>
    <row r="1441" spans="1:13" x14ac:dyDescent="0.25">
      <c r="A1441" t="s">
        <v>8386</v>
      </c>
      <c r="B1441">
        <v>66998</v>
      </c>
      <c r="C1441">
        <v>5601237000945</v>
      </c>
      <c r="D1441">
        <v>199.9</v>
      </c>
      <c r="E1441">
        <v>88.91</v>
      </c>
      <c r="F1441">
        <v>36.51</v>
      </c>
      <c r="G1441">
        <v>58.460599999999999</v>
      </c>
      <c r="H1441">
        <v>0</v>
      </c>
      <c r="K1441">
        <v>66998</v>
      </c>
      <c r="L1441" t="s">
        <v>8386</v>
      </c>
      <c r="M1441">
        <v>0</v>
      </c>
    </row>
    <row r="1442" spans="1:13" x14ac:dyDescent="0.25">
      <c r="A1442" t="s">
        <v>8387</v>
      </c>
      <c r="B1442">
        <v>61124</v>
      </c>
      <c r="C1442">
        <v>5601064002136</v>
      </c>
      <c r="D1442" s="1">
        <v>2119.9</v>
      </c>
      <c r="E1442" s="1">
        <v>1359</v>
      </c>
      <c r="F1442">
        <v>23.6</v>
      </c>
      <c r="G1442">
        <v>893.54179999999997</v>
      </c>
      <c r="H1442">
        <v>0</v>
      </c>
      <c r="K1442">
        <v>61124</v>
      </c>
      <c r="L1442" t="s">
        <v>8387</v>
      </c>
      <c r="M1442">
        <v>0</v>
      </c>
    </row>
    <row r="1443" spans="1:13" x14ac:dyDescent="0.25">
      <c r="A1443" t="s">
        <v>8388</v>
      </c>
      <c r="B1443">
        <v>61120</v>
      </c>
      <c r="C1443">
        <v>5601064002358</v>
      </c>
      <c r="D1443">
        <v>159.9</v>
      </c>
      <c r="E1443">
        <v>97.06</v>
      </c>
      <c r="F1443">
        <v>25.92</v>
      </c>
      <c r="G1443">
        <v>63.693899999999999</v>
      </c>
      <c r="H1443">
        <v>0</v>
      </c>
      <c r="K1443">
        <v>61120</v>
      </c>
      <c r="L1443" t="s">
        <v>8388</v>
      </c>
      <c r="M1443">
        <v>0</v>
      </c>
    </row>
    <row r="1444" spans="1:13" x14ac:dyDescent="0.25">
      <c r="A1444" t="s">
        <v>8389</v>
      </c>
      <c r="B1444">
        <v>61121</v>
      </c>
      <c r="C1444">
        <v>5601064002372</v>
      </c>
      <c r="D1444">
        <v>159.9</v>
      </c>
      <c r="E1444">
        <v>104.22</v>
      </c>
      <c r="F1444">
        <v>23</v>
      </c>
      <c r="G1444">
        <v>68.352199999999996</v>
      </c>
      <c r="H1444">
        <v>6.7000000000000004E-2</v>
      </c>
      <c r="K1444">
        <v>61121</v>
      </c>
      <c r="L1444" t="s">
        <v>8389</v>
      </c>
      <c r="M1444">
        <v>3.3000000000000002E-2</v>
      </c>
    </row>
    <row r="1445" spans="1:13" x14ac:dyDescent="0.25">
      <c r="A1445" t="s">
        <v>8390</v>
      </c>
      <c r="B1445">
        <v>69813</v>
      </c>
      <c r="C1445">
        <v>5600751735159</v>
      </c>
      <c r="D1445">
        <v>399.9</v>
      </c>
      <c r="E1445">
        <v>0</v>
      </c>
      <c r="F1445">
        <v>65.75</v>
      </c>
      <c r="G1445">
        <v>0</v>
      </c>
      <c r="H1445">
        <v>0</v>
      </c>
      <c r="K1445">
        <v>69813</v>
      </c>
      <c r="L1445" t="s">
        <v>8390</v>
      </c>
      <c r="M1445">
        <v>0</v>
      </c>
    </row>
    <row r="1446" spans="1:13" x14ac:dyDescent="0.25">
      <c r="A1446" t="s">
        <v>8391</v>
      </c>
      <c r="B1446">
        <v>69812</v>
      </c>
      <c r="C1446">
        <v>5600751735142</v>
      </c>
      <c r="D1446">
        <v>699.9</v>
      </c>
      <c r="E1446">
        <v>0</v>
      </c>
      <c r="F1446">
        <v>65.75</v>
      </c>
      <c r="G1446">
        <v>0</v>
      </c>
      <c r="H1446">
        <v>0</v>
      </c>
      <c r="K1446">
        <v>69812</v>
      </c>
      <c r="L1446" t="s">
        <v>8391</v>
      </c>
      <c r="M1446">
        <v>0</v>
      </c>
    </row>
    <row r="1447" spans="1:13" x14ac:dyDescent="0.25">
      <c r="A1447" t="s">
        <v>8392</v>
      </c>
      <c r="B1447">
        <v>64034</v>
      </c>
      <c r="C1447">
        <v>5603522976874</v>
      </c>
      <c r="D1447">
        <v>199.9</v>
      </c>
      <c r="E1447">
        <v>99.37</v>
      </c>
      <c r="F1447">
        <v>33.01</v>
      </c>
      <c r="G1447">
        <v>65.447699999999998</v>
      </c>
      <c r="H1447">
        <v>0</v>
      </c>
      <c r="K1447">
        <v>64034</v>
      </c>
      <c r="L1447" t="s">
        <v>8392</v>
      </c>
      <c r="M1447">
        <v>0</v>
      </c>
    </row>
    <row r="1448" spans="1:13" x14ac:dyDescent="0.25">
      <c r="A1448" t="s">
        <v>8393</v>
      </c>
      <c r="B1448">
        <v>56979</v>
      </c>
      <c r="C1448">
        <v>7896931615108</v>
      </c>
      <c r="D1448">
        <v>24.9</v>
      </c>
      <c r="E1448">
        <v>15.33</v>
      </c>
      <c r="F1448">
        <v>25.26</v>
      </c>
      <c r="G1448">
        <v>10.081300000000001</v>
      </c>
      <c r="H1448">
        <v>0.7</v>
      </c>
      <c r="K1448">
        <v>56979</v>
      </c>
      <c r="L1448" t="s">
        <v>8393</v>
      </c>
      <c r="M1448">
        <v>0.63300000000000001</v>
      </c>
    </row>
    <row r="1449" spans="1:13" x14ac:dyDescent="0.25">
      <c r="A1449" t="s">
        <v>8394</v>
      </c>
      <c r="B1449">
        <v>56978</v>
      </c>
      <c r="C1449">
        <v>7896931615092</v>
      </c>
      <c r="D1449">
        <v>24.9</v>
      </c>
      <c r="E1449">
        <v>16.02</v>
      </c>
      <c r="F1449">
        <v>23.33</v>
      </c>
      <c r="G1449">
        <v>10.5632</v>
      </c>
      <c r="H1449">
        <v>12.867000000000001</v>
      </c>
      <c r="K1449">
        <v>56978</v>
      </c>
      <c r="L1449" t="s">
        <v>8394</v>
      </c>
      <c r="M1449">
        <v>11.9</v>
      </c>
    </row>
    <row r="1450" spans="1:13" x14ac:dyDescent="0.25">
      <c r="A1450" t="s">
        <v>8395</v>
      </c>
      <c r="B1450">
        <v>64969</v>
      </c>
      <c r="C1450">
        <v>8413423111086</v>
      </c>
      <c r="D1450">
        <v>129.9</v>
      </c>
      <c r="E1450">
        <v>74.930000000000007</v>
      </c>
      <c r="F1450">
        <v>23.01</v>
      </c>
      <c r="G1450">
        <v>55.525599999999997</v>
      </c>
      <c r="H1450">
        <v>0.63300000000000001</v>
      </c>
      <c r="K1450">
        <v>64969</v>
      </c>
      <c r="L1450" t="s">
        <v>8395</v>
      </c>
      <c r="M1450">
        <v>0.36699999999999999</v>
      </c>
    </row>
    <row r="1451" spans="1:13" x14ac:dyDescent="0.25">
      <c r="A1451" t="s">
        <v>8396</v>
      </c>
      <c r="B1451">
        <v>55792</v>
      </c>
      <c r="C1451">
        <v>8411106064100</v>
      </c>
      <c r="D1451">
        <v>99.9</v>
      </c>
      <c r="E1451">
        <v>59.29</v>
      </c>
      <c r="F1451">
        <v>26.73</v>
      </c>
      <c r="G1451">
        <v>38.980699999999999</v>
      </c>
      <c r="H1451">
        <v>0</v>
      </c>
      <c r="K1451">
        <v>55792</v>
      </c>
      <c r="L1451" t="s">
        <v>8396</v>
      </c>
      <c r="M1451">
        <v>0</v>
      </c>
    </row>
    <row r="1452" spans="1:13" x14ac:dyDescent="0.25">
      <c r="A1452" t="s">
        <v>8397</v>
      </c>
      <c r="B1452">
        <v>45261</v>
      </c>
      <c r="C1452">
        <v>5600260461044</v>
      </c>
      <c r="D1452">
        <v>189.9</v>
      </c>
      <c r="E1452">
        <v>108.12</v>
      </c>
      <c r="F1452">
        <v>28.01</v>
      </c>
      <c r="G1452">
        <v>71.673500000000004</v>
      </c>
      <c r="H1452">
        <v>0.16700000000000001</v>
      </c>
      <c r="K1452">
        <v>45261</v>
      </c>
      <c r="L1452" t="s">
        <v>8397</v>
      </c>
      <c r="M1452">
        <v>0</v>
      </c>
    </row>
    <row r="1453" spans="1:13" x14ac:dyDescent="0.25">
      <c r="A1453" t="s">
        <v>8398</v>
      </c>
      <c r="B1453">
        <v>27687</v>
      </c>
      <c r="C1453">
        <v>5601377315084</v>
      </c>
      <c r="D1453">
        <v>149.9</v>
      </c>
      <c r="E1453">
        <v>95</v>
      </c>
      <c r="F1453">
        <v>24.08</v>
      </c>
      <c r="G1453">
        <v>62.460799999999999</v>
      </c>
      <c r="H1453">
        <v>0</v>
      </c>
      <c r="K1453">
        <v>27687</v>
      </c>
      <c r="L1453" t="s">
        <v>8398</v>
      </c>
      <c r="M1453">
        <v>0</v>
      </c>
    </row>
    <row r="1454" spans="1:13" x14ac:dyDescent="0.25">
      <c r="A1454" t="s">
        <v>8399</v>
      </c>
      <c r="B1454">
        <v>31602</v>
      </c>
      <c r="C1454">
        <v>5601377337482</v>
      </c>
      <c r="D1454">
        <v>408.65</v>
      </c>
      <c r="E1454">
        <v>279.20999999999998</v>
      </c>
      <c r="F1454">
        <v>20.73</v>
      </c>
      <c r="G1454">
        <v>183.97540000000001</v>
      </c>
      <c r="H1454">
        <v>0</v>
      </c>
      <c r="K1454">
        <v>31602</v>
      </c>
      <c r="L1454" t="s">
        <v>8399</v>
      </c>
      <c r="M1454">
        <v>0</v>
      </c>
    </row>
    <row r="1455" spans="1:13" x14ac:dyDescent="0.25">
      <c r="A1455" t="s">
        <v>8400</v>
      </c>
      <c r="B1455">
        <v>67212</v>
      </c>
      <c r="C1455">
        <v>5601377315183</v>
      </c>
      <c r="D1455">
        <v>59.9</v>
      </c>
      <c r="E1455">
        <v>39.21</v>
      </c>
      <c r="F1455">
        <v>22.56</v>
      </c>
      <c r="G1455">
        <v>25.871700000000001</v>
      </c>
      <c r="H1455">
        <v>3.3000000000000002E-2</v>
      </c>
      <c r="K1455">
        <v>67212</v>
      </c>
      <c r="L1455" t="s">
        <v>8400</v>
      </c>
      <c r="M1455">
        <v>3.3000000000000002E-2</v>
      </c>
    </row>
    <row r="1456" spans="1:13" x14ac:dyDescent="0.25">
      <c r="A1456" t="s">
        <v>8401</v>
      </c>
      <c r="B1456">
        <v>19676</v>
      </c>
      <c r="C1456">
        <v>5601377335082</v>
      </c>
      <c r="D1456">
        <v>59.9</v>
      </c>
      <c r="E1456">
        <v>41.38</v>
      </c>
      <c r="F1456">
        <v>20.45</v>
      </c>
      <c r="G1456">
        <v>27.1341</v>
      </c>
      <c r="H1456">
        <v>0.33300000000000002</v>
      </c>
      <c r="K1456">
        <v>19676</v>
      </c>
      <c r="L1456" t="s">
        <v>8401</v>
      </c>
      <c r="M1456">
        <v>0.33300000000000002</v>
      </c>
    </row>
    <row r="1457" spans="1:13" x14ac:dyDescent="0.25">
      <c r="A1457" t="s">
        <v>8402</v>
      </c>
      <c r="B1457">
        <v>59175</v>
      </c>
      <c r="C1457">
        <v>8427894017815</v>
      </c>
      <c r="D1457">
        <v>69.900000000000006</v>
      </c>
      <c r="E1457">
        <v>33.799999999999997</v>
      </c>
      <c r="F1457">
        <v>33.89</v>
      </c>
      <c r="G1457">
        <v>22.271999999999998</v>
      </c>
      <c r="H1457">
        <v>0</v>
      </c>
      <c r="K1457">
        <v>59175</v>
      </c>
      <c r="L1457" t="s">
        <v>8402</v>
      </c>
      <c r="M1457">
        <v>0</v>
      </c>
    </row>
    <row r="1458" spans="1:13" x14ac:dyDescent="0.25">
      <c r="A1458" t="s">
        <v>8403</v>
      </c>
      <c r="B1458">
        <v>69488</v>
      </c>
      <c r="C1458">
        <v>3219850063869</v>
      </c>
      <c r="D1458">
        <v>239.9</v>
      </c>
      <c r="E1458">
        <v>170.18</v>
      </c>
      <c r="F1458">
        <v>19.11</v>
      </c>
      <c r="G1458">
        <v>111.89060000000001</v>
      </c>
      <c r="H1458">
        <v>0</v>
      </c>
      <c r="K1458">
        <v>69488</v>
      </c>
      <c r="L1458" t="s">
        <v>8403</v>
      </c>
      <c r="M1458">
        <v>0</v>
      </c>
    </row>
    <row r="1459" spans="1:13" x14ac:dyDescent="0.25">
      <c r="A1459" t="s">
        <v>8404</v>
      </c>
      <c r="B1459">
        <v>69490</v>
      </c>
      <c r="C1459">
        <v>3219850063876</v>
      </c>
      <c r="D1459">
        <v>269.89999999999998</v>
      </c>
      <c r="E1459">
        <v>189.98</v>
      </c>
      <c r="F1459">
        <v>19.47</v>
      </c>
      <c r="G1459">
        <v>124.911</v>
      </c>
      <c r="H1459">
        <v>0</v>
      </c>
      <c r="K1459">
        <v>69490</v>
      </c>
      <c r="L1459" t="s">
        <v>8404</v>
      </c>
      <c r="M1459">
        <v>0</v>
      </c>
    </row>
    <row r="1460" spans="1:13" x14ac:dyDescent="0.25">
      <c r="A1460" t="s">
        <v>8405</v>
      </c>
      <c r="B1460">
        <v>69485</v>
      </c>
      <c r="C1460">
        <v>3219850063852</v>
      </c>
      <c r="D1460">
        <v>199.9</v>
      </c>
      <c r="E1460">
        <v>140.85</v>
      </c>
      <c r="F1460">
        <v>19.420000000000002</v>
      </c>
      <c r="G1460">
        <v>92.610600000000005</v>
      </c>
      <c r="H1460">
        <v>0</v>
      </c>
      <c r="K1460">
        <v>69485</v>
      </c>
      <c r="L1460" t="s">
        <v>8405</v>
      </c>
      <c r="M1460">
        <v>0</v>
      </c>
    </row>
    <row r="1461" spans="1:13" x14ac:dyDescent="0.25">
      <c r="A1461" t="s">
        <v>8406</v>
      </c>
      <c r="B1461">
        <v>58379</v>
      </c>
      <c r="C1461">
        <v>8032610313531</v>
      </c>
      <c r="D1461">
        <v>119.9</v>
      </c>
      <c r="E1461">
        <v>71.45</v>
      </c>
      <c r="F1461">
        <v>26.57</v>
      </c>
      <c r="G1461">
        <v>46.9756</v>
      </c>
      <c r="H1461">
        <v>3.3000000000000002E-2</v>
      </c>
      <c r="K1461">
        <v>58379</v>
      </c>
      <c r="L1461" t="s">
        <v>8406</v>
      </c>
      <c r="M1461">
        <v>3.3000000000000002E-2</v>
      </c>
    </row>
    <row r="1462" spans="1:13" x14ac:dyDescent="0.25">
      <c r="A1462" t="s">
        <v>8407</v>
      </c>
      <c r="B1462">
        <v>63046</v>
      </c>
      <c r="C1462">
        <v>7804672420004</v>
      </c>
      <c r="D1462">
        <v>223.96</v>
      </c>
      <c r="E1462">
        <v>104.39</v>
      </c>
      <c r="F1462">
        <v>35.1</v>
      </c>
      <c r="G1462">
        <v>68.638300000000001</v>
      </c>
      <c r="H1462">
        <v>0.53300000000000003</v>
      </c>
      <c r="K1462">
        <v>63046</v>
      </c>
      <c r="L1462" t="s">
        <v>8407</v>
      </c>
      <c r="M1462">
        <v>3.3000000000000002E-2</v>
      </c>
    </row>
    <row r="1463" spans="1:13" x14ac:dyDescent="0.25">
      <c r="A1463" t="s">
        <v>8408</v>
      </c>
      <c r="B1463">
        <v>65804</v>
      </c>
      <c r="C1463">
        <v>7804304002943</v>
      </c>
      <c r="D1463" s="1">
        <v>1199.9000000000001</v>
      </c>
      <c r="E1463">
        <v>848.12</v>
      </c>
      <c r="F1463">
        <v>19.28</v>
      </c>
      <c r="G1463">
        <v>557.64170000000001</v>
      </c>
      <c r="H1463">
        <v>0</v>
      </c>
      <c r="K1463">
        <v>65804</v>
      </c>
      <c r="L1463" t="s">
        <v>8408</v>
      </c>
      <c r="M1463">
        <v>0</v>
      </c>
    </row>
    <row r="1464" spans="1:13" x14ac:dyDescent="0.25">
      <c r="A1464" t="s">
        <v>8409</v>
      </c>
      <c r="B1464">
        <v>68691</v>
      </c>
      <c r="C1464">
        <v>5600314043233</v>
      </c>
      <c r="D1464">
        <v>79.900000000000006</v>
      </c>
      <c r="E1464">
        <v>64.400000000000006</v>
      </c>
      <c r="F1464">
        <v>12.76</v>
      </c>
      <c r="G1464">
        <v>42.339399999999998</v>
      </c>
      <c r="H1464">
        <v>3.3000000000000002E-2</v>
      </c>
      <c r="K1464">
        <v>68691</v>
      </c>
      <c r="L1464" t="s">
        <v>8409</v>
      </c>
      <c r="M1464">
        <v>0</v>
      </c>
    </row>
    <row r="1465" spans="1:13" x14ac:dyDescent="0.25">
      <c r="A1465" t="s">
        <v>8410</v>
      </c>
      <c r="B1465">
        <v>29028</v>
      </c>
      <c r="C1465">
        <v>5604123001408</v>
      </c>
      <c r="D1465">
        <v>379.9</v>
      </c>
      <c r="E1465">
        <v>224.97</v>
      </c>
      <c r="F1465">
        <v>27.07</v>
      </c>
      <c r="G1465">
        <v>146.94159999999999</v>
      </c>
      <c r="H1465">
        <v>0</v>
      </c>
      <c r="K1465">
        <v>29028</v>
      </c>
      <c r="L1465" t="s">
        <v>8410</v>
      </c>
      <c r="M1465">
        <v>0</v>
      </c>
    </row>
    <row r="1466" spans="1:13" x14ac:dyDescent="0.25">
      <c r="A1466" t="s">
        <v>8411</v>
      </c>
      <c r="B1466">
        <v>46857</v>
      </c>
      <c r="C1466">
        <v>7798074860646</v>
      </c>
      <c r="D1466">
        <v>79.900000000000006</v>
      </c>
      <c r="E1466">
        <v>63.76</v>
      </c>
      <c r="F1466">
        <v>13.28</v>
      </c>
      <c r="G1466">
        <v>41.924599999999998</v>
      </c>
      <c r="H1466">
        <v>0.1</v>
      </c>
      <c r="K1466">
        <v>46857</v>
      </c>
      <c r="L1466" t="s">
        <v>8411</v>
      </c>
      <c r="M1466">
        <v>6.7000000000000004E-2</v>
      </c>
    </row>
    <row r="1467" spans="1:13" x14ac:dyDescent="0.25">
      <c r="A1467" t="s">
        <v>8412</v>
      </c>
      <c r="B1467">
        <v>59058</v>
      </c>
      <c r="C1467">
        <v>8032790030396</v>
      </c>
      <c r="D1467">
        <v>419.9</v>
      </c>
      <c r="E1467">
        <v>237.44</v>
      </c>
      <c r="F1467">
        <v>28.29</v>
      </c>
      <c r="G1467">
        <v>157.2757</v>
      </c>
      <c r="H1467">
        <v>0</v>
      </c>
      <c r="K1467">
        <v>59058</v>
      </c>
      <c r="L1467" t="s">
        <v>8412</v>
      </c>
      <c r="M1467">
        <v>0</v>
      </c>
    </row>
    <row r="1468" spans="1:13" x14ac:dyDescent="0.25">
      <c r="A1468" t="s">
        <v>8413</v>
      </c>
      <c r="B1468">
        <v>55131</v>
      </c>
      <c r="C1468">
        <v>8055684022970</v>
      </c>
      <c r="D1468">
        <v>99.9</v>
      </c>
      <c r="E1468">
        <v>65.88</v>
      </c>
      <c r="F1468">
        <v>22.63</v>
      </c>
      <c r="G1468">
        <v>43.073399999999999</v>
      </c>
      <c r="H1468">
        <v>0</v>
      </c>
      <c r="K1468">
        <v>55131</v>
      </c>
      <c r="L1468" t="s">
        <v>8413</v>
      </c>
      <c r="M1468">
        <v>0</v>
      </c>
    </row>
    <row r="1469" spans="1:13" x14ac:dyDescent="0.25">
      <c r="A1469" t="s">
        <v>8414</v>
      </c>
      <c r="B1469">
        <v>49237</v>
      </c>
      <c r="C1469">
        <v>5998127705036</v>
      </c>
      <c r="D1469">
        <v>599.9</v>
      </c>
      <c r="E1469">
        <v>401.38</v>
      </c>
      <c r="F1469">
        <v>21.76</v>
      </c>
      <c r="G1469">
        <v>263.90629999999999</v>
      </c>
      <c r="H1469">
        <v>0</v>
      </c>
      <c r="K1469">
        <v>49237</v>
      </c>
      <c r="L1469" t="s">
        <v>8414</v>
      </c>
      <c r="M1469">
        <v>0</v>
      </c>
    </row>
    <row r="1470" spans="1:13" x14ac:dyDescent="0.25">
      <c r="A1470" t="s">
        <v>8415</v>
      </c>
      <c r="B1470">
        <v>58783</v>
      </c>
      <c r="C1470">
        <v>5998127700024</v>
      </c>
      <c r="D1470">
        <v>799.9</v>
      </c>
      <c r="E1470">
        <v>575.79</v>
      </c>
      <c r="F1470">
        <v>19.27</v>
      </c>
      <c r="G1470">
        <v>371.8</v>
      </c>
      <c r="H1470">
        <v>0</v>
      </c>
      <c r="K1470">
        <v>58783</v>
      </c>
      <c r="L1470" t="s">
        <v>8415</v>
      </c>
      <c r="M1470">
        <v>0</v>
      </c>
    </row>
    <row r="1471" spans="1:13" x14ac:dyDescent="0.25">
      <c r="A1471" t="s">
        <v>8416</v>
      </c>
      <c r="B1471">
        <v>46698</v>
      </c>
      <c r="C1471">
        <v>8001660101757</v>
      </c>
      <c r="D1471">
        <v>119.9</v>
      </c>
      <c r="E1471">
        <v>74.599999999999994</v>
      </c>
      <c r="F1471">
        <v>24.84</v>
      </c>
      <c r="G1471">
        <v>49.050800000000002</v>
      </c>
      <c r="H1471">
        <v>3.3000000000000002E-2</v>
      </c>
      <c r="K1471">
        <v>46698</v>
      </c>
      <c r="L1471" t="s">
        <v>8416</v>
      </c>
      <c r="M1471">
        <v>3.3000000000000002E-2</v>
      </c>
    </row>
    <row r="1472" spans="1:13" x14ac:dyDescent="0.25">
      <c r="A1472" t="s">
        <v>8417</v>
      </c>
      <c r="B1472">
        <v>59773</v>
      </c>
      <c r="C1472">
        <v>7790577039987</v>
      </c>
      <c r="D1472">
        <v>219.9</v>
      </c>
      <c r="E1472">
        <v>143.79</v>
      </c>
      <c r="F1472">
        <v>23.13</v>
      </c>
      <c r="G1472">
        <v>93.717799999999997</v>
      </c>
      <c r="H1472">
        <v>0</v>
      </c>
      <c r="K1472">
        <v>59773</v>
      </c>
      <c r="L1472" t="s">
        <v>8417</v>
      </c>
      <c r="M1472">
        <v>0</v>
      </c>
    </row>
    <row r="1473" spans="1:13" x14ac:dyDescent="0.25">
      <c r="A1473" t="s">
        <v>8418</v>
      </c>
      <c r="B1473">
        <v>44469</v>
      </c>
      <c r="C1473">
        <v>7790577001663</v>
      </c>
      <c r="D1473">
        <v>179.9</v>
      </c>
      <c r="E1473">
        <v>131.13999999999999</v>
      </c>
      <c r="F1473">
        <v>17.84</v>
      </c>
      <c r="G1473">
        <v>86.185100000000006</v>
      </c>
      <c r="H1473">
        <v>0.46700000000000003</v>
      </c>
      <c r="K1473">
        <v>44469</v>
      </c>
      <c r="L1473" t="s">
        <v>8418</v>
      </c>
      <c r="M1473">
        <v>0.13300000000000001</v>
      </c>
    </row>
    <row r="1474" spans="1:13" x14ac:dyDescent="0.25">
      <c r="A1474" t="s">
        <v>8419</v>
      </c>
      <c r="B1474">
        <v>59772</v>
      </c>
      <c r="C1474">
        <v>7790577039949</v>
      </c>
      <c r="D1474">
        <v>219.9</v>
      </c>
      <c r="E1474">
        <v>155.05000000000001</v>
      </c>
      <c r="F1474">
        <v>19.39</v>
      </c>
      <c r="G1474">
        <v>101.94750000000001</v>
      </c>
      <c r="H1474">
        <v>0</v>
      </c>
      <c r="K1474">
        <v>59772</v>
      </c>
      <c r="L1474" t="s">
        <v>8419</v>
      </c>
      <c r="M1474">
        <v>0</v>
      </c>
    </row>
    <row r="1475" spans="1:13" x14ac:dyDescent="0.25">
      <c r="A1475" t="s">
        <v>8420</v>
      </c>
      <c r="B1475">
        <v>53697</v>
      </c>
      <c r="C1475">
        <v>7790577000833</v>
      </c>
      <c r="D1475">
        <v>249.9</v>
      </c>
      <c r="E1475">
        <v>171.47</v>
      </c>
      <c r="F1475">
        <v>20.63</v>
      </c>
      <c r="G1475">
        <v>112.74460000000001</v>
      </c>
      <c r="H1475">
        <v>0</v>
      </c>
      <c r="K1475">
        <v>53697</v>
      </c>
      <c r="L1475" t="s">
        <v>8420</v>
      </c>
      <c r="M1475">
        <v>0</v>
      </c>
    </row>
    <row r="1476" spans="1:13" x14ac:dyDescent="0.25">
      <c r="A1476" t="s">
        <v>8421</v>
      </c>
      <c r="B1476">
        <v>53698</v>
      </c>
      <c r="C1476">
        <v>7790577001700</v>
      </c>
      <c r="D1476">
        <v>219.9</v>
      </c>
      <c r="E1476">
        <v>134.36000000000001</v>
      </c>
      <c r="F1476">
        <v>25.58</v>
      </c>
      <c r="G1476">
        <v>88.337999999999994</v>
      </c>
      <c r="H1476">
        <v>0</v>
      </c>
      <c r="K1476">
        <v>53698</v>
      </c>
      <c r="L1476" t="s">
        <v>8421</v>
      </c>
      <c r="M1476">
        <v>0</v>
      </c>
    </row>
    <row r="1477" spans="1:13" x14ac:dyDescent="0.25">
      <c r="A1477" t="s">
        <v>8422</v>
      </c>
      <c r="B1477">
        <v>54457</v>
      </c>
      <c r="C1477">
        <v>7804350003925</v>
      </c>
      <c r="D1477">
        <v>29.9</v>
      </c>
      <c r="E1477">
        <v>19.13</v>
      </c>
      <c r="F1477">
        <v>23.68</v>
      </c>
      <c r="G1477">
        <v>12.5778</v>
      </c>
      <c r="H1477">
        <v>1.7330000000000001</v>
      </c>
      <c r="K1477">
        <v>54457</v>
      </c>
      <c r="L1477" t="s">
        <v>8422</v>
      </c>
      <c r="M1477">
        <v>1.7</v>
      </c>
    </row>
    <row r="1478" spans="1:13" x14ac:dyDescent="0.25">
      <c r="A1478" t="s">
        <v>8423</v>
      </c>
      <c r="B1478">
        <v>3013</v>
      </c>
      <c r="C1478">
        <v>7804350596236</v>
      </c>
      <c r="D1478">
        <v>29.9</v>
      </c>
      <c r="E1478">
        <v>19.14</v>
      </c>
      <c r="F1478">
        <v>23.64</v>
      </c>
      <c r="G1478">
        <v>12.5921</v>
      </c>
      <c r="H1478">
        <v>2.633</v>
      </c>
      <c r="K1478">
        <v>3013</v>
      </c>
      <c r="L1478" t="s">
        <v>8423</v>
      </c>
      <c r="M1478">
        <v>2.4329999999999998</v>
      </c>
    </row>
    <row r="1479" spans="1:13" x14ac:dyDescent="0.25">
      <c r="A1479" t="s">
        <v>8424</v>
      </c>
      <c r="B1479">
        <v>3007</v>
      </c>
      <c r="C1479">
        <v>7804350002157</v>
      </c>
      <c r="D1479">
        <v>29.9</v>
      </c>
      <c r="E1479">
        <v>19.14</v>
      </c>
      <c r="F1479">
        <v>23.66</v>
      </c>
      <c r="G1479">
        <v>12.5838</v>
      </c>
      <c r="H1479">
        <v>0.7</v>
      </c>
      <c r="K1479">
        <v>3007</v>
      </c>
      <c r="L1479" t="s">
        <v>8424</v>
      </c>
      <c r="M1479">
        <v>0.6</v>
      </c>
    </row>
    <row r="1480" spans="1:13" x14ac:dyDescent="0.25">
      <c r="A1480" t="s">
        <v>8425</v>
      </c>
      <c r="B1480">
        <v>54458</v>
      </c>
      <c r="C1480">
        <v>7804350007329</v>
      </c>
      <c r="D1480">
        <v>29.9</v>
      </c>
      <c r="E1480">
        <v>19.100000000000001</v>
      </c>
      <c r="F1480">
        <v>23.76</v>
      </c>
      <c r="G1480">
        <v>12.555199999999999</v>
      </c>
      <c r="H1480">
        <v>0.5</v>
      </c>
      <c r="K1480">
        <v>54458</v>
      </c>
      <c r="L1480" t="s">
        <v>8425</v>
      </c>
      <c r="M1480">
        <v>0.433</v>
      </c>
    </row>
    <row r="1481" spans="1:13" x14ac:dyDescent="0.25">
      <c r="A1481" t="s">
        <v>8426</v>
      </c>
      <c r="B1481">
        <v>3009</v>
      </c>
      <c r="C1481">
        <v>7804350002140</v>
      </c>
      <c r="D1481">
        <v>29.9</v>
      </c>
      <c r="E1481">
        <v>19.28</v>
      </c>
      <c r="F1481">
        <v>23.36</v>
      </c>
      <c r="G1481">
        <v>12.6746</v>
      </c>
      <c r="H1481">
        <v>0.9</v>
      </c>
      <c r="K1481">
        <v>3009</v>
      </c>
      <c r="L1481" t="s">
        <v>8426</v>
      </c>
      <c r="M1481">
        <v>0.9</v>
      </c>
    </row>
    <row r="1482" spans="1:13" x14ac:dyDescent="0.25">
      <c r="A1482" t="s">
        <v>8427</v>
      </c>
      <c r="B1482">
        <v>3011</v>
      </c>
      <c r="C1482">
        <v>7804350596243</v>
      </c>
      <c r="D1482">
        <v>29.9</v>
      </c>
      <c r="E1482">
        <v>19.13</v>
      </c>
      <c r="F1482">
        <v>23.67</v>
      </c>
      <c r="G1482">
        <v>12.5808</v>
      </c>
      <c r="H1482">
        <v>1.867</v>
      </c>
      <c r="K1482">
        <v>3011</v>
      </c>
      <c r="L1482" t="s">
        <v>8427</v>
      </c>
      <c r="M1482">
        <v>1.667</v>
      </c>
    </row>
    <row r="1483" spans="1:13" x14ac:dyDescent="0.25">
      <c r="A1483" t="s">
        <v>8428</v>
      </c>
      <c r="B1483">
        <v>9534</v>
      </c>
      <c r="C1483">
        <v>7804350596229</v>
      </c>
      <c r="D1483">
        <v>29.9</v>
      </c>
      <c r="E1483">
        <v>19.2</v>
      </c>
      <c r="F1483">
        <v>23.7</v>
      </c>
      <c r="G1483">
        <v>12.5722</v>
      </c>
      <c r="H1483">
        <v>0.5</v>
      </c>
      <c r="K1483">
        <v>9534</v>
      </c>
      <c r="L1483" t="s">
        <v>8428</v>
      </c>
      <c r="M1483">
        <v>0.46700000000000003</v>
      </c>
    </row>
    <row r="1484" spans="1:13" x14ac:dyDescent="0.25">
      <c r="A1484" t="s">
        <v>8429</v>
      </c>
      <c r="B1484">
        <v>3005</v>
      </c>
      <c r="C1484">
        <v>7804350003918</v>
      </c>
      <c r="D1484">
        <v>29.9</v>
      </c>
      <c r="E1484">
        <v>19.149999999999999</v>
      </c>
      <c r="F1484">
        <v>23.59</v>
      </c>
      <c r="G1484">
        <v>12.6053</v>
      </c>
      <c r="H1484">
        <v>0.16700000000000001</v>
      </c>
      <c r="K1484">
        <v>3005</v>
      </c>
      <c r="L1484" t="s">
        <v>8429</v>
      </c>
      <c r="M1484">
        <v>0.16700000000000001</v>
      </c>
    </row>
    <row r="1485" spans="1:13" x14ac:dyDescent="0.25">
      <c r="A1485" t="s">
        <v>8430</v>
      </c>
      <c r="B1485">
        <v>57559</v>
      </c>
      <c r="C1485">
        <v>7794450088581</v>
      </c>
      <c r="D1485">
        <v>179.9</v>
      </c>
      <c r="E1485">
        <v>119.24</v>
      </c>
      <c r="F1485">
        <v>22.64</v>
      </c>
      <c r="G1485">
        <v>77.556299999999993</v>
      </c>
      <c r="H1485">
        <v>6.7000000000000004E-2</v>
      </c>
      <c r="K1485">
        <v>57559</v>
      </c>
      <c r="L1485" t="s">
        <v>8430</v>
      </c>
      <c r="M1485">
        <v>3.3000000000000002E-2</v>
      </c>
    </row>
    <row r="1486" spans="1:13" x14ac:dyDescent="0.25">
      <c r="A1486" t="s">
        <v>8431</v>
      </c>
      <c r="B1486">
        <v>67005</v>
      </c>
      <c r="C1486">
        <v>7794450002679</v>
      </c>
      <c r="D1486">
        <v>179.9</v>
      </c>
      <c r="E1486">
        <v>118.1</v>
      </c>
      <c r="F1486">
        <v>22.81</v>
      </c>
      <c r="G1486">
        <v>77.257800000000003</v>
      </c>
      <c r="H1486">
        <v>0.1</v>
      </c>
      <c r="K1486">
        <v>67005</v>
      </c>
      <c r="L1486" t="s">
        <v>8431</v>
      </c>
      <c r="M1486">
        <v>0</v>
      </c>
    </row>
    <row r="1487" spans="1:13" x14ac:dyDescent="0.25">
      <c r="A1487" t="s">
        <v>8432</v>
      </c>
      <c r="B1487">
        <v>10315</v>
      </c>
      <c r="C1487">
        <v>7891141026690</v>
      </c>
      <c r="D1487">
        <v>24.9</v>
      </c>
      <c r="E1487">
        <v>15.02</v>
      </c>
      <c r="F1487">
        <v>26.09</v>
      </c>
      <c r="G1487">
        <v>9.8744999999999994</v>
      </c>
      <c r="H1487">
        <v>0.33300000000000002</v>
      </c>
      <c r="K1487">
        <v>10315</v>
      </c>
      <c r="L1487" t="s">
        <v>8432</v>
      </c>
      <c r="M1487">
        <v>0.33300000000000002</v>
      </c>
    </row>
    <row r="1488" spans="1:13" x14ac:dyDescent="0.25">
      <c r="A1488" t="s">
        <v>8433</v>
      </c>
      <c r="B1488">
        <v>9511</v>
      </c>
      <c r="C1488">
        <v>7891141026676</v>
      </c>
      <c r="D1488">
        <v>24.9</v>
      </c>
      <c r="E1488">
        <v>15.02</v>
      </c>
      <c r="F1488">
        <v>26.09</v>
      </c>
      <c r="G1488">
        <v>9.8744999999999994</v>
      </c>
      <c r="H1488">
        <v>0.13300000000000001</v>
      </c>
      <c r="K1488">
        <v>9511</v>
      </c>
      <c r="L1488" t="s">
        <v>8433</v>
      </c>
      <c r="M1488">
        <v>0.13300000000000001</v>
      </c>
    </row>
    <row r="1489" spans="1:13" x14ac:dyDescent="0.25">
      <c r="A1489" t="s">
        <v>8434</v>
      </c>
      <c r="B1489">
        <v>9533</v>
      </c>
      <c r="C1489">
        <v>7891141026751</v>
      </c>
      <c r="D1489">
        <v>24.9</v>
      </c>
      <c r="E1489">
        <v>15.02</v>
      </c>
      <c r="F1489">
        <v>26.09</v>
      </c>
      <c r="G1489">
        <v>9.8744999999999994</v>
      </c>
      <c r="H1489">
        <v>0.13300000000000001</v>
      </c>
      <c r="K1489">
        <v>9533</v>
      </c>
      <c r="L1489" t="s">
        <v>8434</v>
      </c>
      <c r="M1489">
        <v>0.13300000000000001</v>
      </c>
    </row>
    <row r="1490" spans="1:13" x14ac:dyDescent="0.25">
      <c r="A1490" t="s">
        <v>8435</v>
      </c>
      <c r="B1490">
        <v>9581</v>
      </c>
      <c r="C1490">
        <v>7891141019135</v>
      </c>
      <c r="D1490">
        <v>24.9</v>
      </c>
      <c r="E1490">
        <v>14.8</v>
      </c>
      <c r="F1490">
        <v>26.58</v>
      </c>
      <c r="G1490">
        <v>9.7529000000000003</v>
      </c>
      <c r="H1490">
        <v>1.7669999999999999</v>
      </c>
      <c r="K1490">
        <v>9581</v>
      </c>
      <c r="L1490" t="s">
        <v>8435</v>
      </c>
      <c r="M1490">
        <v>1.5669999999999999</v>
      </c>
    </row>
    <row r="1491" spans="1:13" x14ac:dyDescent="0.25">
      <c r="A1491" t="s">
        <v>8436</v>
      </c>
      <c r="B1491">
        <v>10316</v>
      </c>
      <c r="C1491">
        <v>7891141023668</v>
      </c>
      <c r="D1491">
        <v>24.9</v>
      </c>
      <c r="E1491">
        <v>15.05</v>
      </c>
      <c r="F1491">
        <v>25.97</v>
      </c>
      <c r="G1491">
        <v>9.9062999999999999</v>
      </c>
      <c r="H1491">
        <v>2</v>
      </c>
      <c r="K1491">
        <v>10316</v>
      </c>
      <c r="L1491" t="s">
        <v>8436</v>
      </c>
      <c r="M1491">
        <v>1.8</v>
      </c>
    </row>
    <row r="1492" spans="1:13" x14ac:dyDescent="0.25">
      <c r="A1492" t="s">
        <v>8437</v>
      </c>
      <c r="B1492">
        <v>55145</v>
      </c>
      <c r="C1492">
        <v>7791250001017</v>
      </c>
      <c r="D1492">
        <v>49.9</v>
      </c>
      <c r="E1492">
        <v>26.1</v>
      </c>
      <c r="F1492">
        <v>30.66</v>
      </c>
      <c r="G1492">
        <v>17.509</v>
      </c>
      <c r="H1492">
        <v>0.76700000000000002</v>
      </c>
      <c r="K1492">
        <v>55145</v>
      </c>
      <c r="L1492" t="s">
        <v>8437</v>
      </c>
      <c r="M1492">
        <v>0.4</v>
      </c>
    </row>
    <row r="1493" spans="1:13" x14ac:dyDescent="0.25">
      <c r="A1493" t="s">
        <v>8438</v>
      </c>
      <c r="B1493">
        <v>55147</v>
      </c>
      <c r="C1493">
        <v>7791250001031</v>
      </c>
      <c r="D1493">
        <v>49.9</v>
      </c>
      <c r="E1493">
        <v>26.13</v>
      </c>
      <c r="F1493">
        <v>31.9</v>
      </c>
      <c r="G1493">
        <v>16.8901</v>
      </c>
      <c r="H1493">
        <v>1.6</v>
      </c>
      <c r="K1493">
        <v>55147</v>
      </c>
      <c r="L1493" t="s">
        <v>8438</v>
      </c>
      <c r="M1493">
        <v>0.76700000000000002</v>
      </c>
    </row>
    <row r="1494" spans="1:13" x14ac:dyDescent="0.25">
      <c r="A1494" t="s">
        <v>8439</v>
      </c>
      <c r="B1494">
        <v>55151</v>
      </c>
      <c r="C1494">
        <v>7791250000997</v>
      </c>
      <c r="D1494">
        <v>49.9</v>
      </c>
      <c r="E1494">
        <v>25.94</v>
      </c>
      <c r="F1494">
        <v>30.76</v>
      </c>
      <c r="G1494">
        <v>17.459</v>
      </c>
      <c r="H1494">
        <v>0.56699999999999995</v>
      </c>
      <c r="K1494">
        <v>55151</v>
      </c>
      <c r="L1494" t="s">
        <v>8439</v>
      </c>
      <c r="M1494">
        <v>0.13300000000000001</v>
      </c>
    </row>
    <row r="1495" spans="1:13" x14ac:dyDescent="0.25">
      <c r="A1495" t="s">
        <v>8440</v>
      </c>
      <c r="B1495">
        <v>54800</v>
      </c>
      <c r="C1495">
        <v>8004012000180</v>
      </c>
      <c r="D1495">
        <v>119.9</v>
      </c>
      <c r="E1495">
        <v>83.19</v>
      </c>
      <c r="F1495">
        <v>19.3</v>
      </c>
      <c r="G1495">
        <v>55.699300000000001</v>
      </c>
      <c r="H1495">
        <v>0.26700000000000002</v>
      </c>
      <c r="K1495">
        <v>54800</v>
      </c>
      <c r="L1495" t="s">
        <v>8440</v>
      </c>
      <c r="M1495">
        <v>3.3000000000000002E-2</v>
      </c>
    </row>
    <row r="1496" spans="1:13" x14ac:dyDescent="0.25">
      <c r="A1496" t="s">
        <v>8441</v>
      </c>
      <c r="B1496">
        <v>69785</v>
      </c>
      <c r="C1496">
        <v>8410113001443</v>
      </c>
      <c r="D1496">
        <v>129.9</v>
      </c>
      <c r="E1496">
        <v>92.17</v>
      </c>
      <c r="F1496">
        <v>19.100000000000001</v>
      </c>
      <c r="G1496">
        <v>60.600200000000001</v>
      </c>
      <c r="H1496">
        <v>0</v>
      </c>
      <c r="K1496">
        <v>69785</v>
      </c>
      <c r="L1496" t="s">
        <v>8441</v>
      </c>
      <c r="M1496">
        <v>0</v>
      </c>
    </row>
    <row r="1497" spans="1:13" x14ac:dyDescent="0.25">
      <c r="A1497" t="s">
        <v>8442</v>
      </c>
      <c r="B1497">
        <v>69786</v>
      </c>
      <c r="C1497">
        <v>8410113003027</v>
      </c>
      <c r="D1497">
        <v>129.9</v>
      </c>
      <c r="E1497">
        <v>100.19</v>
      </c>
      <c r="F1497">
        <v>15.04</v>
      </c>
      <c r="G1497">
        <v>65.871399999999994</v>
      </c>
      <c r="H1497">
        <v>0</v>
      </c>
      <c r="K1497">
        <v>69786</v>
      </c>
      <c r="L1497" t="s">
        <v>8442</v>
      </c>
      <c r="M1497">
        <v>0</v>
      </c>
    </row>
    <row r="1498" spans="1:13" x14ac:dyDescent="0.25">
      <c r="A1498" t="s">
        <v>8443</v>
      </c>
      <c r="B1498">
        <v>51779</v>
      </c>
      <c r="C1498">
        <v>8001935361404</v>
      </c>
      <c r="D1498">
        <v>79.900000000000006</v>
      </c>
      <c r="E1498">
        <v>60.15</v>
      </c>
      <c r="F1498">
        <v>16.25</v>
      </c>
      <c r="G1498">
        <v>39.547899999999998</v>
      </c>
      <c r="H1498">
        <v>0.56699999999999995</v>
      </c>
      <c r="K1498">
        <v>51779</v>
      </c>
      <c r="L1498" t="s">
        <v>8443</v>
      </c>
      <c r="M1498">
        <v>0</v>
      </c>
    </row>
    <row r="1499" spans="1:13" x14ac:dyDescent="0.25">
      <c r="A1499" t="s">
        <v>8444</v>
      </c>
      <c r="B1499">
        <v>3072</v>
      </c>
      <c r="C1499">
        <v>7804300003234</v>
      </c>
      <c r="D1499">
        <v>49.9</v>
      </c>
      <c r="E1499">
        <v>30.32</v>
      </c>
      <c r="F1499">
        <v>25.8</v>
      </c>
      <c r="G1499">
        <v>19.9359</v>
      </c>
      <c r="H1499">
        <v>0.1</v>
      </c>
      <c r="K1499">
        <v>3072</v>
      </c>
      <c r="L1499" t="s">
        <v>8444</v>
      </c>
      <c r="M1499">
        <v>0.1</v>
      </c>
    </row>
    <row r="1500" spans="1:13" x14ac:dyDescent="0.25">
      <c r="A1500" t="s">
        <v>8445</v>
      </c>
      <c r="B1500">
        <v>3075</v>
      </c>
      <c r="C1500">
        <v>7804300123512</v>
      </c>
      <c r="D1500">
        <v>49.9</v>
      </c>
      <c r="E1500">
        <v>25.35</v>
      </c>
      <c r="F1500">
        <v>32.35</v>
      </c>
      <c r="G1500">
        <v>16.666899999999998</v>
      </c>
      <c r="H1500">
        <v>0.33300000000000002</v>
      </c>
      <c r="K1500">
        <v>3075</v>
      </c>
      <c r="L1500" t="s">
        <v>8445</v>
      </c>
      <c r="M1500">
        <v>0.26700000000000002</v>
      </c>
    </row>
    <row r="1501" spans="1:13" x14ac:dyDescent="0.25">
      <c r="A1501" t="s">
        <v>8446</v>
      </c>
      <c r="B1501">
        <v>59607</v>
      </c>
      <c r="C1501">
        <v>7804330311101</v>
      </c>
      <c r="D1501">
        <v>54.9</v>
      </c>
      <c r="E1501">
        <v>24</v>
      </c>
      <c r="F1501">
        <v>36.92</v>
      </c>
      <c r="G1501">
        <v>15.828799999999999</v>
      </c>
      <c r="H1501">
        <v>0.93300000000000005</v>
      </c>
      <c r="K1501">
        <v>59607</v>
      </c>
      <c r="L1501" t="s">
        <v>8446</v>
      </c>
      <c r="M1501">
        <v>0.53300000000000003</v>
      </c>
    </row>
    <row r="1502" spans="1:13" x14ac:dyDescent="0.25">
      <c r="A1502" t="s">
        <v>8447</v>
      </c>
      <c r="B1502">
        <v>59608</v>
      </c>
      <c r="C1502">
        <v>7804330984060</v>
      </c>
      <c r="D1502">
        <v>54.9</v>
      </c>
      <c r="E1502">
        <v>24.09</v>
      </c>
      <c r="F1502">
        <v>36.93</v>
      </c>
      <c r="G1502">
        <v>15.820499999999999</v>
      </c>
      <c r="H1502">
        <v>1.1000000000000001</v>
      </c>
      <c r="K1502">
        <v>59608</v>
      </c>
      <c r="L1502" t="s">
        <v>8447</v>
      </c>
      <c r="M1502">
        <v>0.2</v>
      </c>
    </row>
    <row r="1503" spans="1:13" x14ac:dyDescent="0.25">
      <c r="A1503" t="s">
        <v>8448</v>
      </c>
      <c r="B1503">
        <v>65547</v>
      </c>
      <c r="C1503">
        <v>7804330351206</v>
      </c>
      <c r="D1503">
        <v>54.9</v>
      </c>
      <c r="E1503">
        <v>23.66</v>
      </c>
      <c r="F1503">
        <v>36.979999999999997</v>
      </c>
      <c r="G1503">
        <v>15.7959</v>
      </c>
      <c r="H1503">
        <v>2.367</v>
      </c>
      <c r="K1503">
        <v>65547</v>
      </c>
      <c r="L1503" t="s">
        <v>8448</v>
      </c>
      <c r="M1503">
        <v>0.433</v>
      </c>
    </row>
    <row r="1504" spans="1:13" x14ac:dyDescent="0.25">
      <c r="A1504" t="s">
        <v>8449</v>
      </c>
      <c r="B1504">
        <v>65313</v>
      </c>
      <c r="C1504">
        <v>7804330009398</v>
      </c>
      <c r="D1504">
        <v>54.9</v>
      </c>
      <c r="E1504">
        <v>23.16</v>
      </c>
      <c r="F1504">
        <v>38.01</v>
      </c>
      <c r="G1504">
        <v>15.226699999999999</v>
      </c>
      <c r="H1504">
        <v>0.13300000000000001</v>
      </c>
      <c r="K1504">
        <v>65313</v>
      </c>
      <c r="L1504" t="s">
        <v>8449</v>
      </c>
      <c r="M1504">
        <v>0.16700000000000001</v>
      </c>
    </row>
    <row r="1505" spans="1:13" x14ac:dyDescent="0.25">
      <c r="A1505" t="s">
        <v>8450</v>
      </c>
      <c r="B1505">
        <v>65314</v>
      </c>
      <c r="C1505">
        <v>7804330007141</v>
      </c>
      <c r="D1505">
        <v>54.9</v>
      </c>
      <c r="E1505">
        <v>23.16</v>
      </c>
      <c r="F1505">
        <v>38.01</v>
      </c>
      <c r="G1505">
        <v>15.226599999999999</v>
      </c>
      <c r="H1505">
        <v>0.7</v>
      </c>
      <c r="K1505">
        <v>65314</v>
      </c>
      <c r="L1505" t="s">
        <v>8450</v>
      </c>
      <c r="M1505">
        <v>0.13300000000000001</v>
      </c>
    </row>
    <row r="1506" spans="1:13" x14ac:dyDescent="0.25">
      <c r="A1506" t="s">
        <v>8451</v>
      </c>
      <c r="B1506">
        <v>59609</v>
      </c>
      <c r="C1506">
        <v>7804330005215</v>
      </c>
      <c r="D1506">
        <v>54.9</v>
      </c>
      <c r="E1506">
        <v>23.83</v>
      </c>
      <c r="F1506">
        <v>36.909999999999997</v>
      </c>
      <c r="G1506">
        <v>15.835000000000001</v>
      </c>
      <c r="H1506">
        <v>1.667</v>
      </c>
      <c r="K1506">
        <v>59609</v>
      </c>
      <c r="L1506" t="s">
        <v>8451</v>
      </c>
      <c r="M1506">
        <v>6.7000000000000004E-2</v>
      </c>
    </row>
    <row r="1507" spans="1:13" x14ac:dyDescent="0.25">
      <c r="A1507" t="s">
        <v>8452</v>
      </c>
      <c r="B1507">
        <v>59610</v>
      </c>
      <c r="C1507">
        <v>7804330001736</v>
      </c>
      <c r="D1507">
        <v>54.9</v>
      </c>
      <c r="E1507">
        <v>23.17</v>
      </c>
      <c r="F1507">
        <v>38.01</v>
      </c>
      <c r="G1507">
        <v>15.227499999999999</v>
      </c>
      <c r="H1507">
        <v>0.23300000000000001</v>
      </c>
      <c r="K1507">
        <v>59610</v>
      </c>
      <c r="L1507" t="s">
        <v>8452</v>
      </c>
      <c r="M1507">
        <v>0.13300000000000001</v>
      </c>
    </row>
    <row r="1508" spans="1:13" x14ac:dyDescent="0.25">
      <c r="A1508" t="s">
        <v>8453</v>
      </c>
      <c r="B1508">
        <v>65315</v>
      </c>
      <c r="C1508">
        <v>7804330321209</v>
      </c>
      <c r="D1508">
        <v>54.9</v>
      </c>
      <c r="E1508">
        <v>23.37</v>
      </c>
      <c r="F1508">
        <v>37.22</v>
      </c>
      <c r="G1508">
        <v>15.6638</v>
      </c>
      <c r="H1508">
        <v>1.633</v>
      </c>
      <c r="K1508">
        <v>65315</v>
      </c>
      <c r="L1508" t="s">
        <v>8453</v>
      </c>
      <c r="M1508">
        <v>0.23300000000000001</v>
      </c>
    </row>
    <row r="1509" spans="1:13" x14ac:dyDescent="0.25">
      <c r="A1509" t="s">
        <v>8454</v>
      </c>
      <c r="B1509">
        <v>65316</v>
      </c>
      <c r="C1509">
        <v>7804330001088</v>
      </c>
      <c r="D1509">
        <v>54.9</v>
      </c>
      <c r="E1509">
        <v>23.17</v>
      </c>
      <c r="F1509">
        <v>38.01</v>
      </c>
      <c r="G1509">
        <v>15.229200000000001</v>
      </c>
      <c r="H1509">
        <v>0.66700000000000004</v>
      </c>
      <c r="K1509">
        <v>65316</v>
      </c>
      <c r="L1509" t="s">
        <v>8454</v>
      </c>
      <c r="M1509">
        <v>6.7000000000000004E-2</v>
      </c>
    </row>
    <row r="1510" spans="1:13" x14ac:dyDescent="0.25">
      <c r="A1510" t="s">
        <v>8455</v>
      </c>
      <c r="B1510">
        <v>59616</v>
      </c>
      <c r="C1510">
        <v>7804330141104</v>
      </c>
      <c r="D1510">
        <v>779.07</v>
      </c>
      <c r="E1510">
        <v>469.09</v>
      </c>
      <c r="F1510">
        <v>30.9</v>
      </c>
      <c r="G1510">
        <v>271.54070000000002</v>
      </c>
      <c r="H1510">
        <v>6.7000000000000004E-2</v>
      </c>
      <c r="K1510">
        <v>59616</v>
      </c>
      <c r="L1510" t="s">
        <v>8455</v>
      </c>
      <c r="M1510">
        <v>0</v>
      </c>
    </row>
    <row r="1511" spans="1:13" x14ac:dyDescent="0.25">
      <c r="A1511" t="s">
        <v>8456</v>
      </c>
      <c r="B1511">
        <v>59615</v>
      </c>
      <c r="C1511">
        <v>7804330006014</v>
      </c>
      <c r="D1511">
        <v>119.9</v>
      </c>
      <c r="E1511">
        <v>61.23</v>
      </c>
      <c r="F1511">
        <v>32.1</v>
      </c>
      <c r="G1511">
        <v>40.3508</v>
      </c>
      <c r="H1511">
        <v>0.1</v>
      </c>
      <c r="K1511">
        <v>59615</v>
      </c>
      <c r="L1511" t="s">
        <v>8456</v>
      </c>
      <c r="M1511">
        <v>0</v>
      </c>
    </row>
    <row r="1512" spans="1:13" x14ac:dyDescent="0.25">
      <c r="A1512" t="s">
        <v>8457</v>
      </c>
      <c r="B1512">
        <v>59611</v>
      </c>
      <c r="C1512">
        <v>7804330008896</v>
      </c>
      <c r="D1512">
        <v>119.9</v>
      </c>
      <c r="E1512">
        <v>60.99</v>
      </c>
      <c r="F1512">
        <v>32.42</v>
      </c>
      <c r="G1512">
        <v>39.960799999999999</v>
      </c>
      <c r="H1512">
        <v>0.13300000000000001</v>
      </c>
      <c r="K1512">
        <v>59611</v>
      </c>
      <c r="L1512" t="s">
        <v>8457</v>
      </c>
      <c r="M1512">
        <v>3.3000000000000002E-2</v>
      </c>
    </row>
    <row r="1513" spans="1:13" x14ac:dyDescent="0.25">
      <c r="A1513" t="s">
        <v>8458</v>
      </c>
      <c r="B1513">
        <v>59618</v>
      </c>
      <c r="C1513">
        <v>7804330003105</v>
      </c>
      <c r="D1513">
        <v>393.23</v>
      </c>
      <c r="E1513">
        <v>239.36</v>
      </c>
      <c r="F1513">
        <v>27.36</v>
      </c>
      <c r="G1513">
        <v>150.98089999999999</v>
      </c>
      <c r="H1513">
        <v>0</v>
      </c>
      <c r="K1513">
        <v>59618</v>
      </c>
      <c r="L1513" t="s">
        <v>8458</v>
      </c>
      <c r="M1513">
        <v>0</v>
      </c>
    </row>
    <row r="1514" spans="1:13" x14ac:dyDescent="0.25">
      <c r="A1514" t="s">
        <v>8459</v>
      </c>
      <c r="B1514">
        <v>66926</v>
      </c>
      <c r="C1514">
        <v>7804330007158</v>
      </c>
      <c r="D1514">
        <v>39.9</v>
      </c>
      <c r="E1514">
        <v>12.7</v>
      </c>
      <c r="F1514">
        <v>44.83</v>
      </c>
      <c r="G1514">
        <v>8.3475000000000001</v>
      </c>
      <c r="H1514">
        <v>0.13300000000000001</v>
      </c>
      <c r="K1514">
        <v>66926</v>
      </c>
      <c r="L1514" t="s">
        <v>8459</v>
      </c>
      <c r="M1514">
        <v>0.13300000000000001</v>
      </c>
    </row>
    <row r="1515" spans="1:13" x14ac:dyDescent="0.25">
      <c r="A1515" t="s">
        <v>8460</v>
      </c>
      <c r="B1515">
        <v>59619</v>
      </c>
      <c r="C1515">
        <v>7804330983568</v>
      </c>
      <c r="D1515">
        <v>239.9</v>
      </c>
      <c r="E1515">
        <v>134.44999999999999</v>
      </c>
      <c r="F1515">
        <v>28.9</v>
      </c>
      <c r="G1515">
        <v>88.402000000000001</v>
      </c>
      <c r="H1515">
        <v>0</v>
      </c>
      <c r="K1515">
        <v>59619</v>
      </c>
      <c r="L1515" t="s">
        <v>8460</v>
      </c>
      <c r="M1515">
        <v>0</v>
      </c>
    </row>
    <row r="1516" spans="1:13" x14ac:dyDescent="0.25">
      <c r="A1516" t="s">
        <v>8461</v>
      </c>
      <c r="B1516">
        <v>69781</v>
      </c>
      <c r="C1516">
        <v>84692492008</v>
      </c>
      <c r="D1516" s="1">
        <v>4499.8999999999996</v>
      </c>
      <c r="E1516" s="1">
        <v>2568.4699999999998</v>
      </c>
      <c r="F1516">
        <v>28.22</v>
      </c>
      <c r="G1516" s="1">
        <v>1688.7666999999999</v>
      </c>
      <c r="H1516">
        <v>0</v>
      </c>
      <c r="K1516">
        <v>69781</v>
      </c>
      <c r="L1516" t="s">
        <v>8461</v>
      </c>
      <c r="M1516">
        <v>0</v>
      </c>
    </row>
    <row r="1517" spans="1:13" x14ac:dyDescent="0.25">
      <c r="A1517" t="s">
        <v>8462</v>
      </c>
      <c r="B1517">
        <v>63614</v>
      </c>
      <c r="C1517">
        <v>1000000003154</v>
      </c>
      <c r="D1517" s="1">
        <v>5899.9</v>
      </c>
      <c r="E1517" s="1">
        <v>3864.64</v>
      </c>
      <c r="F1517">
        <v>22.68</v>
      </c>
      <c r="G1517" s="1">
        <v>2541</v>
      </c>
      <c r="H1517">
        <v>0</v>
      </c>
      <c r="K1517">
        <v>63614</v>
      </c>
      <c r="L1517" t="s">
        <v>8462</v>
      </c>
      <c r="M1517">
        <v>0</v>
      </c>
    </row>
    <row r="1518" spans="1:13" x14ac:dyDescent="0.25">
      <c r="A1518" t="s">
        <v>8463</v>
      </c>
      <c r="B1518">
        <v>63613</v>
      </c>
      <c r="C1518">
        <v>1000000002928</v>
      </c>
      <c r="D1518" s="1">
        <v>5899.9</v>
      </c>
      <c r="E1518" s="1">
        <v>2650</v>
      </c>
      <c r="F1518">
        <v>36.22</v>
      </c>
      <c r="G1518" s="1">
        <v>1742.3771999999999</v>
      </c>
      <c r="H1518">
        <v>0</v>
      </c>
      <c r="K1518">
        <v>63613</v>
      </c>
      <c r="L1518" t="s">
        <v>8463</v>
      </c>
      <c r="M1518">
        <v>0</v>
      </c>
    </row>
    <row r="1519" spans="1:13" x14ac:dyDescent="0.25">
      <c r="A1519" t="s">
        <v>8464</v>
      </c>
      <c r="B1519">
        <v>60752</v>
      </c>
      <c r="C1519">
        <v>1000000000580</v>
      </c>
      <c r="D1519" s="1">
        <v>5899.9</v>
      </c>
      <c r="E1519" s="1">
        <v>3629.42</v>
      </c>
      <c r="F1519">
        <v>26.44</v>
      </c>
      <c r="G1519" s="1">
        <v>2319.4378000000002</v>
      </c>
      <c r="H1519">
        <v>0</v>
      </c>
      <c r="K1519">
        <v>60752</v>
      </c>
      <c r="L1519" t="s">
        <v>8464</v>
      </c>
      <c r="M1519">
        <v>0</v>
      </c>
    </row>
    <row r="1520" spans="1:13" x14ac:dyDescent="0.25">
      <c r="A1520" t="s">
        <v>8465</v>
      </c>
      <c r="B1520">
        <v>60748</v>
      </c>
      <c r="C1520">
        <v>1000000000603</v>
      </c>
      <c r="D1520" s="1">
        <v>5899.9</v>
      </c>
      <c r="E1520" s="1">
        <v>3629.42</v>
      </c>
      <c r="F1520">
        <v>26.44</v>
      </c>
      <c r="G1520" s="1">
        <v>2319.4378000000002</v>
      </c>
      <c r="H1520">
        <v>0</v>
      </c>
      <c r="K1520">
        <v>60748</v>
      </c>
      <c r="L1520" t="s">
        <v>8465</v>
      </c>
      <c r="M1520">
        <v>0</v>
      </c>
    </row>
    <row r="1521" spans="1:13" x14ac:dyDescent="0.25">
      <c r="A1521" t="s">
        <v>8466</v>
      </c>
      <c r="B1521">
        <v>60749</v>
      </c>
      <c r="C1521">
        <v>1000000000573</v>
      </c>
      <c r="D1521" s="1">
        <v>5899.9</v>
      </c>
      <c r="E1521" s="1">
        <v>3629.42</v>
      </c>
      <c r="F1521">
        <v>26.44</v>
      </c>
      <c r="G1521" s="1">
        <v>2319.4378000000002</v>
      </c>
      <c r="H1521">
        <v>0</v>
      </c>
      <c r="K1521">
        <v>60749</v>
      </c>
      <c r="L1521" t="s">
        <v>8466</v>
      </c>
      <c r="M1521">
        <v>0</v>
      </c>
    </row>
    <row r="1522" spans="1:13" x14ac:dyDescent="0.25">
      <c r="A1522" t="s">
        <v>8467</v>
      </c>
      <c r="B1522">
        <v>60750</v>
      </c>
      <c r="C1522">
        <v>1000000000566</v>
      </c>
      <c r="D1522" s="1">
        <v>5899.9</v>
      </c>
      <c r="E1522" s="1">
        <v>3845.21</v>
      </c>
      <c r="F1522">
        <v>21.5</v>
      </c>
      <c r="G1522" s="1">
        <v>2610.6977999999999</v>
      </c>
      <c r="H1522">
        <v>0</v>
      </c>
      <c r="K1522">
        <v>60750</v>
      </c>
      <c r="L1522" t="s">
        <v>8467</v>
      </c>
      <c r="M1522">
        <v>0</v>
      </c>
    </row>
    <row r="1523" spans="1:13" x14ac:dyDescent="0.25">
      <c r="A1523" t="s">
        <v>8468</v>
      </c>
      <c r="B1523">
        <v>60751</v>
      </c>
      <c r="C1523">
        <v>1000000000597</v>
      </c>
      <c r="D1523" s="1">
        <v>5899.9</v>
      </c>
      <c r="E1523" s="1">
        <v>3629.42</v>
      </c>
      <c r="F1523">
        <v>26.44</v>
      </c>
      <c r="G1523" s="1">
        <v>2319.4378000000002</v>
      </c>
      <c r="H1523">
        <v>0</v>
      </c>
      <c r="K1523">
        <v>60751</v>
      </c>
      <c r="L1523" t="s">
        <v>8468</v>
      </c>
      <c r="M1523">
        <v>0</v>
      </c>
    </row>
    <row r="1524" spans="1:13" x14ac:dyDescent="0.25">
      <c r="A1524" t="s">
        <v>8469</v>
      </c>
      <c r="B1524">
        <v>35792</v>
      </c>
      <c r="C1524">
        <v>4007730433104</v>
      </c>
      <c r="D1524">
        <v>359.9</v>
      </c>
      <c r="E1524">
        <v>253.68</v>
      </c>
      <c r="F1524">
        <v>19.5</v>
      </c>
      <c r="G1524">
        <v>166.4708</v>
      </c>
      <c r="H1524">
        <v>0</v>
      </c>
      <c r="K1524">
        <v>35792</v>
      </c>
      <c r="L1524" t="s">
        <v>8469</v>
      </c>
      <c r="M1524">
        <v>0</v>
      </c>
    </row>
    <row r="1525" spans="1:13" x14ac:dyDescent="0.25">
      <c r="A1525" t="s">
        <v>8470</v>
      </c>
      <c r="B1525">
        <v>61624</v>
      </c>
      <c r="C1525">
        <v>4007730441901</v>
      </c>
      <c r="D1525">
        <v>279.89999999999998</v>
      </c>
      <c r="E1525">
        <v>180.22</v>
      </c>
      <c r="F1525">
        <v>23.42</v>
      </c>
      <c r="G1525">
        <v>118.49339999999999</v>
      </c>
      <c r="H1525">
        <v>0</v>
      </c>
      <c r="K1525">
        <v>61624</v>
      </c>
      <c r="L1525" t="s">
        <v>8470</v>
      </c>
      <c r="M1525">
        <v>0</v>
      </c>
    </row>
    <row r="1526" spans="1:13" x14ac:dyDescent="0.25">
      <c r="A1526" t="s">
        <v>8471</v>
      </c>
      <c r="B1526">
        <v>62367</v>
      </c>
      <c r="C1526">
        <v>7802940051974</v>
      </c>
      <c r="D1526">
        <v>34.9</v>
      </c>
      <c r="E1526">
        <v>14.79</v>
      </c>
      <c r="F1526">
        <v>37.24</v>
      </c>
      <c r="G1526">
        <v>9.9486000000000008</v>
      </c>
      <c r="H1526">
        <v>1.7330000000000001</v>
      </c>
      <c r="K1526">
        <v>62367</v>
      </c>
      <c r="L1526" t="s">
        <v>8471</v>
      </c>
      <c r="M1526">
        <v>0.53300000000000003</v>
      </c>
    </row>
    <row r="1527" spans="1:13" x14ac:dyDescent="0.25">
      <c r="A1527" t="s">
        <v>8472</v>
      </c>
      <c r="B1527">
        <v>62370</v>
      </c>
      <c r="C1527">
        <v>7802940051998</v>
      </c>
      <c r="D1527">
        <v>34.9</v>
      </c>
      <c r="E1527">
        <v>14.82</v>
      </c>
      <c r="F1527">
        <v>36.72</v>
      </c>
      <c r="G1527">
        <v>10.129899999999999</v>
      </c>
      <c r="H1527">
        <v>1</v>
      </c>
      <c r="K1527">
        <v>62370</v>
      </c>
      <c r="L1527" t="s">
        <v>8472</v>
      </c>
      <c r="M1527">
        <v>0.36699999999999999</v>
      </c>
    </row>
    <row r="1528" spans="1:13" x14ac:dyDescent="0.25">
      <c r="A1528" t="s">
        <v>8473</v>
      </c>
      <c r="B1528">
        <v>62369</v>
      </c>
      <c r="C1528">
        <v>7802940051981</v>
      </c>
      <c r="D1528">
        <v>34.9</v>
      </c>
      <c r="E1528">
        <v>15.53</v>
      </c>
      <c r="F1528">
        <v>35.54</v>
      </c>
      <c r="G1528">
        <v>10.543100000000001</v>
      </c>
      <c r="H1528">
        <v>0.13300000000000001</v>
      </c>
      <c r="K1528">
        <v>62369</v>
      </c>
      <c r="L1528" t="s">
        <v>8473</v>
      </c>
      <c r="M1528">
        <v>3.3000000000000002E-2</v>
      </c>
    </row>
    <row r="1529" spans="1:13" x14ac:dyDescent="0.25">
      <c r="A1529" t="s">
        <v>8474</v>
      </c>
      <c r="B1529">
        <v>62373</v>
      </c>
      <c r="C1529">
        <v>7802940052018</v>
      </c>
      <c r="D1529">
        <v>34.9</v>
      </c>
      <c r="E1529">
        <v>15.02</v>
      </c>
      <c r="F1529">
        <v>35.82</v>
      </c>
      <c r="G1529">
        <v>10.444699999999999</v>
      </c>
      <c r="H1529">
        <v>2.0329999999999999</v>
      </c>
      <c r="K1529">
        <v>62373</v>
      </c>
      <c r="L1529" t="s">
        <v>8474</v>
      </c>
      <c r="M1529">
        <v>0.63300000000000001</v>
      </c>
    </row>
    <row r="1530" spans="1:13" x14ac:dyDescent="0.25">
      <c r="A1530" t="s">
        <v>8475</v>
      </c>
      <c r="B1530">
        <v>67428</v>
      </c>
      <c r="C1530">
        <v>7802940054425</v>
      </c>
      <c r="D1530">
        <v>34.9</v>
      </c>
      <c r="E1530">
        <v>14.95</v>
      </c>
      <c r="F1530">
        <v>36.39</v>
      </c>
      <c r="G1530">
        <v>10.248200000000001</v>
      </c>
      <c r="H1530">
        <v>1.2669999999999999</v>
      </c>
      <c r="K1530">
        <v>67428</v>
      </c>
      <c r="L1530" t="s">
        <v>8475</v>
      </c>
      <c r="M1530">
        <v>0.66700000000000004</v>
      </c>
    </row>
    <row r="1531" spans="1:13" x14ac:dyDescent="0.25">
      <c r="A1531" t="s">
        <v>8476</v>
      </c>
      <c r="B1531">
        <v>67429</v>
      </c>
      <c r="C1531">
        <v>7802940055507</v>
      </c>
      <c r="D1531">
        <v>39.9</v>
      </c>
      <c r="E1531">
        <v>22.66</v>
      </c>
      <c r="F1531">
        <v>26.58</v>
      </c>
      <c r="G1531">
        <v>15.630100000000001</v>
      </c>
      <c r="H1531">
        <v>2.633</v>
      </c>
      <c r="K1531">
        <v>67429</v>
      </c>
      <c r="L1531" t="s">
        <v>8476</v>
      </c>
      <c r="M1531">
        <v>3.3000000000000002E-2</v>
      </c>
    </row>
    <row r="1532" spans="1:13" x14ac:dyDescent="0.25">
      <c r="A1532" t="s">
        <v>8477</v>
      </c>
      <c r="B1532">
        <v>67427</v>
      </c>
      <c r="C1532">
        <v>7802940054432</v>
      </c>
      <c r="D1532">
        <v>34.9</v>
      </c>
      <c r="E1532">
        <v>14.94</v>
      </c>
      <c r="F1532">
        <v>36.6</v>
      </c>
      <c r="G1532">
        <v>10.1746</v>
      </c>
      <c r="H1532">
        <v>1.7330000000000001</v>
      </c>
      <c r="K1532">
        <v>67427</v>
      </c>
      <c r="L1532" t="s">
        <v>8477</v>
      </c>
      <c r="M1532">
        <v>0.66700000000000004</v>
      </c>
    </row>
    <row r="1533" spans="1:13" x14ac:dyDescent="0.25">
      <c r="A1533" t="s">
        <v>8478</v>
      </c>
      <c r="B1533">
        <v>61892</v>
      </c>
      <c r="C1533">
        <v>1000000000689</v>
      </c>
      <c r="D1533" s="1">
        <v>2499.9</v>
      </c>
      <c r="E1533" s="1">
        <v>1210.93</v>
      </c>
      <c r="F1533">
        <v>33.9</v>
      </c>
      <c r="G1533">
        <v>796.1875</v>
      </c>
      <c r="H1533">
        <v>0</v>
      </c>
      <c r="K1533">
        <v>61892</v>
      </c>
      <c r="L1533" t="s">
        <v>8478</v>
      </c>
      <c r="M1533">
        <v>0</v>
      </c>
    </row>
    <row r="1534" spans="1:13" x14ac:dyDescent="0.25">
      <c r="A1534" t="s">
        <v>8479</v>
      </c>
      <c r="B1534">
        <v>61893</v>
      </c>
      <c r="C1534">
        <v>1000000000696</v>
      </c>
      <c r="D1534" s="1">
        <v>2499.9</v>
      </c>
      <c r="E1534" s="1">
        <v>1210.93</v>
      </c>
      <c r="F1534">
        <v>33.9</v>
      </c>
      <c r="G1534">
        <v>796.1875</v>
      </c>
      <c r="H1534">
        <v>0</v>
      </c>
      <c r="K1534">
        <v>61893</v>
      </c>
      <c r="L1534" t="s">
        <v>8479</v>
      </c>
      <c r="M1534">
        <v>0</v>
      </c>
    </row>
    <row r="1535" spans="1:13" x14ac:dyDescent="0.25">
      <c r="A1535" t="s">
        <v>8480</v>
      </c>
      <c r="B1535">
        <v>61894</v>
      </c>
      <c r="C1535">
        <v>1000000000702</v>
      </c>
      <c r="D1535" s="1">
        <v>2499.9</v>
      </c>
      <c r="E1535" s="1">
        <v>1210.93</v>
      </c>
      <c r="F1535">
        <v>33.9</v>
      </c>
      <c r="G1535">
        <v>796.1875</v>
      </c>
      <c r="H1535">
        <v>0</v>
      </c>
      <c r="K1535">
        <v>61894</v>
      </c>
      <c r="L1535" t="s">
        <v>8480</v>
      </c>
      <c r="M1535">
        <v>0</v>
      </c>
    </row>
    <row r="1536" spans="1:13" x14ac:dyDescent="0.25">
      <c r="A1536" t="s">
        <v>8481</v>
      </c>
      <c r="B1536">
        <v>61895</v>
      </c>
      <c r="C1536">
        <v>1000000000719</v>
      </c>
      <c r="D1536" s="1">
        <v>2499.9</v>
      </c>
      <c r="E1536" s="1">
        <v>1210.93</v>
      </c>
      <c r="F1536">
        <v>33.9</v>
      </c>
      <c r="G1536">
        <v>796.1875</v>
      </c>
      <c r="H1536">
        <v>0</v>
      </c>
      <c r="K1536">
        <v>61895</v>
      </c>
      <c r="L1536" t="s">
        <v>8481</v>
      </c>
      <c r="M1536">
        <v>0</v>
      </c>
    </row>
    <row r="1537" spans="1:13" x14ac:dyDescent="0.25">
      <c r="A1537" t="s">
        <v>8482</v>
      </c>
      <c r="B1537">
        <v>61938</v>
      </c>
      <c r="C1537">
        <v>1000000000788</v>
      </c>
      <c r="D1537" s="1">
        <v>2499.9</v>
      </c>
      <c r="E1537" s="1">
        <v>1217.9100000000001</v>
      </c>
      <c r="F1537">
        <v>34.01</v>
      </c>
      <c r="G1537">
        <v>793.43499999999995</v>
      </c>
      <c r="H1537">
        <v>0</v>
      </c>
      <c r="K1537">
        <v>61938</v>
      </c>
      <c r="L1537" t="s">
        <v>8482</v>
      </c>
      <c r="M1537">
        <v>0</v>
      </c>
    </row>
    <row r="1538" spans="1:13" x14ac:dyDescent="0.25">
      <c r="A1538" t="s">
        <v>8483</v>
      </c>
      <c r="B1538">
        <v>61896</v>
      </c>
      <c r="C1538">
        <v>1000000000726</v>
      </c>
      <c r="D1538" s="1">
        <v>2499.9</v>
      </c>
      <c r="E1538" s="1">
        <v>1210.93</v>
      </c>
      <c r="F1538">
        <v>33.9</v>
      </c>
      <c r="G1538">
        <v>796.1875</v>
      </c>
      <c r="H1538">
        <v>0</v>
      </c>
      <c r="K1538">
        <v>61896</v>
      </c>
      <c r="L1538" t="s">
        <v>8483</v>
      </c>
      <c r="M1538">
        <v>0</v>
      </c>
    </row>
    <row r="1539" spans="1:13" x14ac:dyDescent="0.25">
      <c r="A1539" t="s">
        <v>8484</v>
      </c>
      <c r="B1539">
        <v>61897</v>
      </c>
      <c r="C1539">
        <v>1000000000733</v>
      </c>
      <c r="D1539" s="1">
        <v>2499.9</v>
      </c>
      <c r="E1539" s="1">
        <v>1210.93</v>
      </c>
      <c r="F1539">
        <v>33.9</v>
      </c>
      <c r="G1539">
        <v>796.1875</v>
      </c>
      <c r="H1539">
        <v>0</v>
      </c>
      <c r="K1539">
        <v>61897</v>
      </c>
      <c r="L1539" t="s">
        <v>8484</v>
      </c>
      <c r="M1539">
        <v>0</v>
      </c>
    </row>
    <row r="1540" spans="1:13" x14ac:dyDescent="0.25">
      <c r="A1540" t="s">
        <v>8485</v>
      </c>
      <c r="B1540">
        <v>61898</v>
      </c>
      <c r="C1540">
        <v>1000000000740</v>
      </c>
      <c r="D1540" s="1">
        <v>2499.9</v>
      </c>
      <c r="E1540" s="1">
        <v>1210.93</v>
      </c>
      <c r="F1540">
        <v>33.9</v>
      </c>
      <c r="G1540">
        <v>796.1875</v>
      </c>
      <c r="H1540">
        <v>0</v>
      </c>
      <c r="K1540">
        <v>61898</v>
      </c>
      <c r="L1540" t="s">
        <v>8485</v>
      </c>
      <c r="M1540">
        <v>0</v>
      </c>
    </row>
    <row r="1541" spans="1:13" x14ac:dyDescent="0.25">
      <c r="A1541" t="s">
        <v>8486</v>
      </c>
      <c r="B1541">
        <v>61899</v>
      </c>
      <c r="C1541">
        <v>1000000000757</v>
      </c>
      <c r="D1541" s="1">
        <v>2499.9</v>
      </c>
      <c r="E1541" s="1">
        <v>1210.93</v>
      </c>
      <c r="F1541">
        <v>33.9</v>
      </c>
      <c r="G1541">
        <v>796.1875</v>
      </c>
      <c r="H1541">
        <v>0</v>
      </c>
      <c r="K1541">
        <v>61899</v>
      </c>
      <c r="L1541" t="s">
        <v>8486</v>
      </c>
      <c r="M1541">
        <v>0</v>
      </c>
    </row>
    <row r="1542" spans="1:13" x14ac:dyDescent="0.25">
      <c r="A1542" t="s">
        <v>8487</v>
      </c>
      <c r="B1542">
        <v>61900</v>
      </c>
      <c r="C1542">
        <v>1000000000764</v>
      </c>
      <c r="D1542" s="1">
        <v>2499.9</v>
      </c>
      <c r="E1542" s="1">
        <v>1210.93</v>
      </c>
      <c r="F1542">
        <v>33.9</v>
      </c>
      <c r="G1542">
        <v>796.1875</v>
      </c>
      <c r="H1542">
        <v>0</v>
      </c>
      <c r="K1542">
        <v>61900</v>
      </c>
      <c r="L1542" t="s">
        <v>8487</v>
      </c>
      <c r="M1542">
        <v>0</v>
      </c>
    </row>
    <row r="1543" spans="1:13" x14ac:dyDescent="0.25">
      <c r="A1543" t="s">
        <v>8488</v>
      </c>
      <c r="B1543">
        <v>61901</v>
      </c>
      <c r="C1543">
        <v>1000000000771</v>
      </c>
      <c r="D1543" s="1">
        <v>2499.9</v>
      </c>
      <c r="E1543" s="1">
        <v>1210.93</v>
      </c>
      <c r="F1543">
        <v>33.9</v>
      </c>
      <c r="G1543">
        <v>796.1875</v>
      </c>
      <c r="H1543">
        <v>0</v>
      </c>
      <c r="K1543">
        <v>61901</v>
      </c>
      <c r="L1543" t="s">
        <v>8488</v>
      </c>
      <c r="M1543">
        <v>0</v>
      </c>
    </row>
    <row r="1544" spans="1:13" x14ac:dyDescent="0.25">
      <c r="A1544" t="s">
        <v>8489</v>
      </c>
      <c r="B1544">
        <v>64334</v>
      </c>
      <c r="C1544">
        <v>7809585507446</v>
      </c>
      <c r="D1544">
        <v>184.28</v>
      </c>
      <c r="E1544">
        <v>112.1</v>
      </c>
      <c r="F1544">
        <v>26</v>
      </c>
      <c r="G1544">
        <v>73.247</v>
      </c>
      <c r="H1544">
        <v>3.3000000000000002E-2</v>
      </c>
      <c r="K1544">
        <v>64334</v>
      </c>
      <c r="L1544" t="s">
        <v>8489</v>
      </c>
      <c r="M1544">
        <v>3.3000000000000002E-2</v>
      </c>
    </row>
    <row r="1545" spans="1:13" x14ac:dyDescent="0.25">
      <c r="A1545" t="s">
        <v>8490</v>
      </c>
      <c r="B1545">
        <v>63102</v>
      </c>
      <c r="C1545">
        <v>5601012837636</v>
      </c>
      <c r="D1545">
        <v>95.57</v>
      </c>
      <c r="E1545">
        <v>45.9</v>
      </c>
      <c r="F1545">
        <v>33.700000000000003</v>
      </c>
      <c r="G1545">
        <v>30.63</v>
      </c>
      <c r="H1545">
        <v>1.133</v>
      </c>
      <c r="K1545">
        <v>63102</v>
      </c>
      <c r="L1545" t="s">
        <v>8490</v>
      </c>
      <c r="M1545">
        <v>0</v>
      </c>
    </row>
    <row r="1546" spans="1:13" x14ac:dyDescent="0.25">
      <c r="A1546" t="s">
        <v>8491</v>
      </c>
      <c r="B1546">
        <v>61285</v>
      </c>
      <c r="C1546">
        <v>7898956540021</v>
      </c>
      <c r="D1546">
        <v>49.9</v>
      </c>
      <c r="E1546">
        <v>42.5</v>
      </c>
      <c r="F1546">
        <v>8.86</v>
      </c>
      <c r="G1546">
        <v>28.3858</v>
      </c>
      <c r="H1546">
        <v>0.16700000000000001</v>
      </c>
      <c r="K1546">
        <v>61285</v>
      </c>
      <c r="L1546" t="s">
        <v>8491</v>
      </c>
      <c r="M1546">
        <v>0.13300000000000001</v>
      </c>
    </row>
    <row r="1547" spans="1:13" x14ac:dyDescent="0.25">
      <c r="A1547" t="s">
        <v>8492</v>
      </c>
      <c r="B1547">
        <v>61094</v>
      </c>
      <c r="C1547">
        <v>7898956540038</v>
      </c>
      <c r="D1547">
        <v>49.9</v>
      </c>
      <c r="E1547">
        <v>42.85</v>
      </c>
      <c r="F1547">
        <v>8.73</v>
      </c>
      <c r="G1547">
        <v>28.4543</v>
      </c>
      <c r="H1547">
        <v>0.4</v>
      </c>
      <c r="K1547">
        <v>61094</v>
      </c>
      <c r="L1547" t="s">
        <v>8492</v>
      </c>
      <c r="M1547">
        <v>0.1</v>
      </c>
    </row>
    <row r="1548" spans="1:13" x14ac:dyDescent="0.25">
      <c r="A1548" t="s">
        <v>8493</v>
      </c>
      <c r="B1548">
        <v>61327</v>
      </c>
      <c r="C1548">
        <v>7898692110113</v>
      </c>
      <c r="D1548">
        <v>49.9</v>
      </c>
      <c r="E1548">
        <v>42.7</v>
      </c>
      <c r="F1548">
        <v>9.4600000000000009</v>
      </c>
      <c r="G1548">
        <v>28.089600000000001</v>
      </c>
      <c r="H1548">
        <v>0.26700000000000002</v>
      </c>
      <c r="K1548">
        <v>61327</v>
      </c>
      <c r="L1548" t="s">
        <v>8493</v>
      </c>
      <c r="M1548">
        <v>0</v>
      </c>
    </row>
    <row r="1549" spans="1:13" x14ac:dyDescent="0.25">
      <c r="A1549" t="s">
        <v>8494</v>
      </c>
      <c r="B1549">
        <v>61324</v>
      </c>
      <c r="C1549">
        <v>7898956540601</v>
      </c>
      <c r="D1549">
        <v>49.9</v>
      </c>
      <c r="E1549">
        <v>44.45</v>
      </c>
      <c r="F1549">
        <v>7.18</v>
      </c>
      <c r="G1549">
        <v>29.2285</v>
      </c>
      <c r="H1549">
        <v>3.3000000000000002E-2</v>
      </c>
      <c r="K1549">
        <v>61324</v>
      </c>
      <c r="L1549" t="s">
        <v>8494</v>
      </c>
      <c r="M1549">
        <v>0</v>
      </c>
    </row>
    <row r="1550" spans="1:13" x14ac:dyDescent="0.25">
      <c r="A1550" t="s">
        <v>8495</v>
      </c>
      <c r="B1550">
        <v>61325</v>
      </c>
      <c r="C1550">
        <v>7898956540397</v>
      </c>
      <c r="D1550">
        <v>49.9</v>
      </c>
      <c r="E1550">
        <v>43.96</v>
      </c>
      <c r="F1550">
        <v>8.34</v>
      </c>
      <c r="G1550">
        <v>28.645700000000001</v>
      </c>
      <c r="H1550">
        <v>0.26700000000000002</v>
      </c>
      <c r="K1550">
        <v>61325</v>
      </c>
      <c r="L1550" t="s">
        <v>8495</v>
      </c>
      <c r="M1550">
        <v>0.13300000000000001</v>
      </c>
    </row>
    <row r="1551" spans="1:13" x14ac:dyDescent="0.25">
      <c r="A1551" t="s">
        <v>8496</v>
      </c>
      <c r="B1551">
        <v>13985</v>
      </c>
      <c r="C1551">
        <v>8436034030102</v>
      </c>
      <c r="D1551">
        <v>99.9</v>
      </c>
      <c r="E1551">
        <v>59.47</v>
      </c>
      <c r="F1551">
        <v>27.15</v>
      </c>
      <c r="G1551">
        <v>38.564399999999999</v>
      </c>
      <c r="H1551">
        <v>0</v>
      </c>
      <c r="K1551">
        <v>13985</v>
      </c>
      <c r="L1551" t="s">
        <v>8496</v>
      </c>
      <c r="M1551">
        <v>0</v>
      </c>
    </row>
    <row r="1552" spans="1:13" x14ac:dyDescent="0.25">
      <c r="A1552" t="s">
        <v>8497</v>
      </c>
      <c r="B1552">
        <v>13986</v>
      </c>
      <c r="C1552">
        <v>8436034030058</v>
      </c>
      <c r="D1552">
        <v>139.99</v>
      </c>
      <c r="E1552">
        <v>93.32</v>
      </c>
      <c r="F1552">
        <v>21.92</v>
      </c>
      <c r="G1552">
        <v>61.356400000000001</v>
      </c>
      <c r="H1552">
        <v>0</v>
      </c>
      <c r="K1552">
        <v>13986</v>
      </c>
      <c r="L1552" t="s">
        <v>8497</v>
      </c>
      <c r="M1552">
        <v>0</v>
      </c>
    </row>
    <row r="1553" spans="1:13" x14ac:dyDescent="0.25">
      <c r="A1553" t="s">
        <v>8498</v>
      </c>
      <c r="B1553">
        <v>67598</v>
      </c>
      <c r="C1553">
        <v>8053303273628</v>
      </c>
      <c r="D1553">
        <v>99.9</v>
      </c>
      <c r="E1553">
        <v>65.349999999999994</v>
      </c>
      <c r="F1553">
        <v>22.74</v>
      </c>
      <c r="G1553">
        <v>42.970300000000002</v>
      </c>
      <c r="H1553">
        <v>0</v>
      </c>
      <c r="K1553">
        <v>67598</v>
      </c>
      <c r="L1553" t="s">
        <v>8498</v>
      </c>
      <c r="M1553">
        <v>0</v>
      </c>
    </row>
    <row r="1554" spans="1:13" x14ac:dyDescent="0.25">
      <c r="A1554" t="s">
        <v>8499</v>
      </c>
      <c r="B1554">
        <v>67599</v>
      </c>
      <c r="C1554">
        <v>8033765181709</v>
      </c>
      <c r="D1554">
        <v>169.9</v>
      </c>
      <c r="E1554">
        <v>116.45</v>
      </c>
      <c r="F1554">
        <v>20.68</v>
      </c>
      <c r="G1554">
        <v>76.568299999999994</v>
      </c>
      <c r="H1554">
        <v>6.7000000000000004E-2</v>
      </c>
      <c r="K1554">
        <v>67599</v>
      </c>
      <c r="L1554" t="s">
        <v>8499</v>
      </c>
      <c r="M1554">
        <v>6.7000000000000004E-2</v>
      </c>
    </row>
    <row r="1555" spans="1:13" x14ac:dyDescent="0.25">
      <c r="A1555" t="s">
        <v>8500</v>
      </c>
      <c r="B1555">
        <v>21892</v>
      </c>
      <c r="C1555">
        <v>7798127630165</v>
      </c>
      <c r="D1555">
        <v>139.9</v>
      </c>
      <c r="E1555">
        <v>89.58</v>
      </c>
      <c r="F1555">
        <v>23.65</v>
      </c>
      <c r="G1555">
        <v>58.902099999999997</v>
      </c>
      <c r="H1555">
        <v>3.3000000000000002E-2</v>
      </c>
      <c r="K1555">
        <v>21892</v>
      </c>
      <c r="L1555" t="s">
        <v>8500</v>
      </c>
      <c r="M1555">
        <v>3.3000000000000002E-2</v>
      </c>
    </row>
    <row r="1556" spans="1:13" x14ac:dyDescent="0.25">
      <c r="A1556" t="s">
        <v>8501</v>
      </c>
      <c r="B1556">
        <v>21891</v>
      </c>
      <c r="C1556">
        <v>7798127630134</v>
      </c>
      <c r="D1556">
        <v>139.9</v>
      </c>
      <c r="E1556">
        <v>89.58</v>
      </c>
      <c r="F1556">
        <v>23.65</v>
      </c>
      <c r="G1556">
        <v>58.9</v>
      </c>
      <c r="H1556">
        <v>0.13300000000000001</v>
      </c>
      <c r="K1556">
        <v>21891</v>
      </c>
      <c r="L1556" t="s">
        <v>8501</v>
      </c>
      <c r="M1556">
        <v>0.13300000000000001</v>
      </c>
    </row>
    <row r="1557" spans="1:13" x14ac:dyDescent="0.25">
      <c r="A1557" t="s">
        <v>8502</v>
      </c>
      <c r="B1557">
        <v>64004</v>
      </c>
      <c r="C1557">
        <v>5281108010022</v>
      </c>
      <c r="D1557">
        <v>79.900000000000006</v>
      </c>
      <c r="E1557">
        <v>74.540000000000006</v>
      </c>
      <c r="F1557">
        <v>4.41</v>
      </c>
      <c r="G1557">
        <v>49.012</v>
      </c>
      <c r="H1557">
        <v>0</v>
      </c>
      <c r="K1557">
        <v>64004</v>
      </c>
      <c r="L1557" t="s">
        <v>8502</v>
      </c>
      <c r="M1557">
        <v>0</v>
      </c>
    </row>
    <row r="1558" spans="1:13" x14ac:dyDescent="0.25">
      <c r="A1558" t="s">
        <v>8503</v>
      </c>
      <c r="B1558">
        <v>64005</v>
      </c>
      <c r="C1558">
        <v>5281108010039</v>
      </c>
      <c r="D1558">
        <v>79.900000000000006</v>
      </c>
      <c r="E1558">
        <v>74.540000000000006</v>
      </c>
      <c r="F1558">
        <v>4.41</v>
      </c>
      <c r="G1558">
        <v>49.012</v>
      </c>
      <c r="H1558">
        <v>3.3000000000000002E-2</v>
      </c>
      <c r="K1558">
        <v>64005</v>
      </c>
      <c r="L1558" t="s">
        <v>8503</v>
      </c>
      <c r="M1558">
        <v>3.3000000000000002E-2</v>
      </c>
    </row>
    <row r="1559" spans="1:13" x14ac:dyDescent="0.25">
      <c r="A1559" t="s">
        <v>8504</v>
      </c>
      <c r="B1559">
        <v>64006</v>
      </c>
      <c r="C1559">
        <v>5281108010015</v>
      </c>
      <c r="D1559">
        <v>79.900000000000006</v>
      </c>
      <c r="E1559">
        <v>76.52</v>
      </c>
      <c r="F1559">
        <v>2.88</v>
      </c>
      <c r="G1559">
        <v>50.235500000000002</v>
      </c>
      <c r="H1559">
        <v>0</v>
      </c>
      <c r="K1559">
        <v>64006</v>
      </c>
      <c r="L1559" t="s">
        <v>8504</v>
      </c>
      <c r="M1559">
        <v>0</v>
      </c>
    </row>
    <row r="1560" spans="1:13" x14ac:dyDescent="0.25">
      <c r="A1560" t="s">
        <v>8505</v>
      </c>
      <c r="B1560">
        <v>24641</v>
      </c>
      <c r="C1560">
        <v>7804350596656</v>
      </c>
      <c r="D1560">
        <v>24.9</v>
      </c>
      <c r="E1560">
        <v>14.38</v>
      </c>
      <c r="F1560">
        <v>28.53</v>
      </c>
      <c r="G1560">
        <v>9.2683</v>
      </c>
      <c r="H1560">
        <v>2.8</v>
      </c>
      <c r="K1560">
        <v>24641</v>
      </c>
      <c r="L1560" t="s">
        <v>8505</v>
      </c>
      <c r="M1560">
        <v>2.7669999999999999</v>
      </c>
    </row>
    <row r="1561" spans="1:13" x14ac:dyDescent="0.25">
      <c r="A1561" t="s">
        <v>8506</v>
      </c>
      <c r="B1561">
        <v>26209</v>
      </c>
      <c r="C1561">
        <v>7804350008036</v>
      </c>
      <c r="D1561">
        <v>26.9</v>
      </c>
      <c r="E1561">
        <v>15.63</v>
      </c>
      <c r="F1561">
        <v>27.32</v>
      </c>
      <c r="G1561">
        <v>10.338800000000001</v>
      </c>
      <c r="H1561">
        <v>0.33300000000000002</v>
      </c>
      <c r="K1561">
        <v>26209</v>
      </c>
      <c r="L1561" t="s">
        <v>8506</v>
      </c>
      <c r="M1561">
        <v>0.33300000000000002</v>
      </c>
    </row>
    <row r="1562" spans="1:13" x14ac:dyDescent="0.25">
      <c r="A1562" t="s">
        <v>8507</v>
      </c>
      <c r="B1562">
        <v>3064</v>
      </c>
      <c r="C1562">
        <v>7898626316086</v>
      </c>
      <c r="D1562">
        <v>59.9</v>
      </c>
      <c r="E1562">
        <v>37.869999999999997</v>
      </c>
      <c r="F1562">
        <v>24.16</v>
      </c>
      <c r="G1562">
        <v>24.912099999999999</v>
      </c>
      <c r="H1562">
        <v>0.56699999999999995</v>
      </c>
      <c r="K1562">
        <v>3064</v>
      </c>
      <c r="L1562" t="s">
        <v>8507</v>
      </c>
      <c r="M1562">
        <v>0.26700000000000002</v>
      </c>
    </row>
    <row r="1563" spans="1:13" x14ac:dyDescent="0.25">
      <c r="A1563" t="s">
        <v>8508</v>
      </c>
      <c r="B1563">
        <v>3067</v>
      </c>
      <c r="C1563">
        <v>7804350000382</v>
      </c>
      <c r="D1563">
        <v>59.9</v>
      </c>
      <c r="E1563">
        <v>36.1</v>
      </c>
      <c r="F1563">
        <v>26.12</v>
      </c>
      <c r="G1563">
        <v>23.739699999999999</v>
      </c>
      <c r="H1563">
        <v>0.26700000000000002</v>
      </c>
      <c r="K1563">
        <v>3067</v>
      </c>
      <c r="L1563" t="s">
        <v>8508</v>
      </c>
      <c r="M1563">
        <v>0.1</v>
      </c>
    </row>
    <row r="1564" spans="1:13" x14ac:dyDescent="0.25">
      <c r="A1564" t="s">
        <v>8509</v>
      </c>
      <c r="B1564">
        <v>18706</v>
      </c>
      <c r="C1564">
        <v>7804350596632</v>
      </c>
      <c r="D1564">
        <v>54.35</v>
      </c>
      <c r="E1564">
        <v>32.82</v>
      </c>
      <c r="F1564">
        <v>25.37</v>
      </c>
      <c r="G1564">
        <v>21.946999999999999</v>
      </c>
      <c r="H1564">
        <v>1.667</v>
      </c>
      <c r="K1564">
        <v>18706</v>
      </c>
      <c r="L1564" t="s">
        <v>8509</v>
      </c>
      <c r="M1564">
        <v>1.0669999999999999</v>
      </c>
    </row>
    <row r="1565" spans="1:13" x14ac:dyDescent="0.25">
      <c r="A1565" t="s">
        <v>8510</v>
      </c>
      <c r="B1565">
        <v>15007</v>
      </c>
      <c r="C1565">
        <v>7804350596366</v>
      </c>
      <c r="D1565">
        <v>69.900000000000006</v>
      </c>
      <c r="E1565">
        <v>38.090000000000003</v>
      </c>
      <c r="F1565">
        <v>29.92</v>
      </c>
      <c r="G1565">
        <v>25.042300000000001</v>
      </c>
      <c r="H1565">
        <v>6.7000000000000004E-2</v>
      </c>
      <c r="K1565">
        <v>15007</v>
      </c>
      <c r="L1565" t="s">
        <v>8510</v>
      </c>
      <c r="M1565">
        <v>3.3000000000000002E-2</v>
      </c>
    </row>
    <row r="1566" spans="1:13" x14ac:dyDescent="0.25">
      <c r="A1566" t="s">
        <v>8511</v>
      </c>
      <c r="B1566">
        <v>26203</v>
      </c>
      <c r="C1566">
        <v>7804350005066</v>
      </c>
      <c r="D1566">
        <v>24.9</v>
      </c>
      <c r="E1566">
        <v>16.84</v>
      </c>
      <c r="F1566">
        <v>19.61</v>
      </c>
      <c r="G1566">
        <v>11.4899</v>
      </c>
      <c r="H1566">
        <v>0.83299999999999996</v>
      </c>
      <c r="K1566">
        <v>26203</v>
      </c>
      <c r="L1566" t="s">
        <v>8511</v>
      </c>
      <c r="M1566">
        <v>0.83299999999999996</v>
      </c>
    </row>
    <row r="1567" spans="1:13" x14ac:dyDescent="0.25">
      <c r="A1567" t="s">
        <v>8512</v>
      </c>
      <c r="B1567">
        <v>9529</v>
      </c>
      <c r="C1567">
        <v>7804300121853</v>
      </c>
      <c r="D1567">
        <v>49.9</v>
      </c>
      <c r="E1567">
        <v>26.1</v>
      </c>
      <c r="F1567">
        <v>31.29</v>
      </c>
      <c r="G1567">
        <v>17.1951</v>
      </c>
      <c r="H1567">
        <v>0.16700000000000001</v>
      </c>
      <c r="K1567">
        <v>9529</v>
      </c>
      <c r="L1567" t="s">
        <v>8512</v>
      </c>
      <c r="M1567">
        <v>0.16700000000000001</v>
      </c>
    </row>
    <row r="1568" spans="1:13" x14ac:dyDescent="0.25">
      <c r="A1568" t="s">
        <v>8513</v>
      </c>
      <c r="B1568">
        <v>3077</v>
      </c>
      <c r="C1568">
        <v>7798081667481</v>
      </c>
      <c r="D1568">
        <v>49.9</v>
      </c>
      <c r="E1568">
        <v>25.34</v>
      </c>
      <c r="F1568">
        <v>32.36</v>
      </c>
      <c r="G1568">
        <v>16.6631</v>
      </c>
      <c r="H1568">
        <v>0.26700000000000002</v>
      </c>
      <c r="K1568">
        <v>3077</v>
      </c>
      <c r="L1568" t="s">
        <v>8513</v>
      </c>
      <c r="M1568">
        <v>0.26700000000000002</v>
      </c>
    </row>
    <row r="1569" spans="1:13" x14ac:dyDescent="0.25">
      <c r="A1569" t="s">
        <v>8514</v>
      </c>
      <c r="B1569">
        <v>13984</v>
      </c>
      <c r="C1569">
        <v>7804300003227</v>
      </c>
      <c r="D1569">
        <v>49.9</v>
      </c>
      <c r="E1569">
        <v>25.34</v>
      </c>
      <c r="F1569">
        <v>32.35</v>
      </c>
      <c r="G1569">
        <v>16.664100000000001</v>
      </c>
      <c r="H1569">
        <v>0.16700000000000001</v>
      </c>
      <c r="K1569">
        <v>13984</v>
      </c>
      <c r="L1569" t="s">
        <v>8514</v>
      </c>
      <c r="M1569">
        <v>0.16700000000000001</v>
      </c>
    </row>
    <row r="1570" spans="1:13" x14ac:dyDescent="0.25">
      <c r="A1570" t="s">
        <v>8515</v>
      </c>
      <c r="B1570">
        <v>64018</v>
      </c>
      <c r="C1570">
        <v>7804330006717</v>
      </c>
      <c r="D1570">
        <v>35.9</v>
      </c>
      <c r="E1570">
        <v>16.920000000000002</v>
      </c>
      <c r="F1570">
        <v>36.42</v>
      </c>
      <c r="G1570">
        <v>10.529299999999999</v>
      </c>
      <c r="H1570">
        <v>8.1999999999999993</v>
      </c>
      <c r="K1570">
        <v>64018</v>
      </c>
      <c r="L1570" t="s">
        <v>8515</v>
      </c>
      <c r="M1570">
        <v>0.8</v>
      </c>
    </row>
    <row r="1571" spans="1:13" x14ac:dyDescent="0.25">
      <c r="A1571" t="s">
        <v>8516</v>
      </c>
      <c r="B1571">
        <v>64019</v>
      </c>
      <c r="C1571">
        <v>7804330006755</v>
      </c>
      <c r="D1571">
        <v>35.9</v>
      </c>
      <c r="E1571">
        <v>16.97</v>
      </c>
      <c r="F1571">
        <v>35.619999999999997</v>
      </c>
      <c r="G1571">
        <v>10.817600000000001</v>
      </c>
      <c r="H1571">
        <v>3.2669999999999999</v>
      </c>
      <c r="K1571">
        <v>64019</v>
      </c>
      <c r="L1571" t="s">
        <v>8516</v>
      </c>
      <c r="M1571">
        <v>3.6</v>
      </c>
    </row>
    <row r="1572" spans="1:13" x14ac:dyDescent="0.25">
      <c r="A1572" t="s">
        <v>8517</v>
      </c>
      <c r="B1572">
        <v>64020</v>
      </c>
      <c r="C1572">
        <v>7804330006748</v>
      </c>
      <c r="D1572">
        <v>35.9</v>
      </c>
      <c r="E1572">
        <v>16.46</v>
      </c>
      <c r="F1572">
        <v>36.32</v>
      </c>
      <c r="G1572">
        <v>10.5664</v>
      </c>
      <c r="H1572">
        <v>3.0670000000000002</v>
      </c>
      <c r="K1572">
        <v>64020</v>
      </c>
      <c r="L1572" t="s">
        <v>8517</v>
      </c>
      <c r="M1572">
        <v>1.2669999999999999</v>
      </c>
    </row>
    <row r="1573" spans="1:13" x14ac:dyDescent="0.25">
      <c r="A1573" t="s">
        <v>8518</v>
      </c>
      <c r="B1573">
        <v>58865</v>
      </c>
      <c r="C1573">
        <v>7798090163653</v>
      </c>
      <c r="D1573">
        <v>35.9</v>
      </c>
      <c r="E1573">
        <v>14.66</v>
      </c>
      <c r="F1573">
        <v>38.909999999999997</v>
      </c>
      <c r="G1573">
        <v>9.6372999999999998</v>
      </c>
      <c r="H1573">
        <v>2.633</v>
      </c>
      <c r="K1573">
        <v>58865</v>
      </c>
      <c r="L1573" t="s">
        <v>8518</v>
      </c>
      <c r="M1573">
        <v>1.0669999999999999</v>
      </c>
    </row>
    <row r="1574" spans="1:13" x14ac:dyDescent="0.25">
      <c r="A1574" t="s">
        <v>8519</v>
      </c>
      <c r="B1574">
        <v>64021</v>
      </c>
      <c r="C1574">
        <v>7804330006731</v>
      </c>
      <c r="D1574">
        <v>35.9</v>
      </c>
      <c r="E1574">
        <v>15.48</v>
      </c>
      <c r="F1574">
        <v>37.61</v>
      </c>
      <c r="G1574">
        <v>10.1013</v>
      </c>
      <c r="H1574">
        <v>5.0999999999999996</v>
      </c>
      <c r="K1574">
        <v>64021</v>
      </c>
      <c r="L1574" t="s">
        <v>8519</v>
      </c>
      <c r="M1574">
        <v>0.23300000000000001</v>
      </c>
    </row>
    <row r="1575" spans="1:13" x14ac:dyDescent="0.25">
      <c r="A1575" t="s">
        <v>8520</v>
      </c>
      <c r="B1575">
        <v>64022</v>
      </c>
      <c r="C1575">
        <v>7804330007653</v>
      </c>
      <c r="D1575">
        <v>35.9</v>
      </c>
      <c r="E1575">
        <v>15.09</v>
      </c>
      <c r="F1575">
        <v>37.909999999999997</v>
      </c>
      <c r="G1575">
        <v>9.9931000000000001</v>
      </c>
      <c r="H1575">
        <v>5</v>
      </c>
      <c r="K1575">
        <v>64022</v>
      </c>
      <c r="L1575" t="s">
        <v>8520</v>
      </c>
      <c r="M1575">
        <v>0.86699999999999999</v>
      </c>
    </row>
    <row r="1576" spans="1:13" x14ac:dyDescent="0.25">
      <c r="A1576" t="s">
        <v>8521</v>
      </c>
      <c r="B1576">
        <v>64023</v>
      </c>
      <c r="C1576">
        <v>7804330006724</v>
      </c>
      <c r="D1576">
        <v>35.9</v>
      </c>
      <c r="E1576">
        <v>16.45</v>
      </c>
      <c r="F1576">
        <v>37.04</v>
      </c>
      <c r="G1576">
        <v>10.3081</v>
      </c>
      <c r="H1576">
        <v>5.4329999999999998</v>
      </c>
      <c r="K1576">
        <v>64023</v>
      </c>
      <c r="L1576" t="s">
        <v>8521</v>
      </c>
      <c r="M1576">
        <v>0.66700000000000004</v>
      </c>
    </row>
    <row r="1577" spans="1:13" x14ac:dyDescent="0.25">
      <c r="A1577" t="s">
        <v>8522</v>
      </c>
      <c r="B1577">
        <v>64980</v>
      </c>
      <c r="C1577">
        <v>7804330008650</v>
      </c>
      <c r="D1577">
        <v>35.9</v>
      </c>
      <c r="E1577">
        <v>16.89</v>
      </c>
      <c r="F1577">
        <v>34.36</v>
      </c>
      <c r="G1577">
        <v>11.2674</v>
      </c>
      <c r="H1577">
        <v>0.433</v>
      </c>
      <c r="K1577">
        <v>64980</v>
      </c>
      <c r="L1577" t="s">
        <v>8522</v>
      </c>
      <c r="M1577">
        <v>0.23300000000000001</v>
      </c>
    </row>
    <row r="1578" spans="1:13" x14ac:dyDescent="0.25">
      <c r="A1578" t="s">
        <v>8523</v>
      </c>
      <c r="B1578">
        <v>51418</v>
      </c>
      <c r="C1578">
        <v>7898276970911</v>
      </c>
      <c r="D1578">
        <v>499.9</v>
      </c>
      <c r="E1578">
        <v>279.82</v>
      </c>
      <c r="F1578">
        <v>27.22</v>
      </c>
      <c r="G1578">
        <v>192.6249</v>
      </c>
      <c r="H1578">
        <v>0.3</v>
      </c>
      <c r="K1578">
        <v>51418</v>
      </c>
      <c r="L1578" t="s">
        <v>8523</v>
      </c>
      <c r="M1578">
        <v>0</v>
      </c>
    </row>
    <row r="1579" spans="1:13" x14ac:dyDescent="0.25">
      <c r="A1579" t="s">
        <v>8524</v>
      </c>
      <c r="B1579">
        <v>35891</v>
      </c>
      <c r="C1579">
        <v>7798123120028</v>
      </c>
      <c r="D1579">
        <v>339.9</v>
      </c>
      <c r="E1579">
        <v>212.07</v>
      </c>
      <c r="F1579">
        <v>24.73</v>
      </c>
      <c r="G1579">
        <v>139.43299999999999</v>
      </c>
      <c r="H1579">
        <v>0</v>
      </c>
      <c r="K1579">
        <v>35891</v>
      </c>
      <c r="L1579" t="s">
        <v>8524</v>
      </c>
      <c r="M1579">
        <v>0</v>
      </c>
    </row>
    <row r="1580" spans="1:13" x14ac:dyDescent="0.25">
      <c r="A1580" t="s">
        <v>8525</v>
      </c>
      <c r="B1580">
        <v>62597</v>
      </c>
      <c r="C1580">
        <v>736040513193</v>
      </c>
      <c r="D1580">
        <v>129.9</v>
      </c>
      <c r="E1580">
        <v>74.2</v>
      </c>
      <c r="F1580">
        <v>28.5</v>
      </c>
      <c r="G1580">
        <v>48.393099999999997</v>
      </c>
      <c r="H1580">
        <v>0</v>
      </c>
      <c r="K1580">
        <v>62597</v>
      </c>
      <c r="L1580" t="s">
        <v>8525</v>
      </c>
      <c r="M1580">
        <v>0</v>
      </c>
    </row>
    <row r="1581" spans="1:13" x14ac:dyDescent="0.25">
      <c r="A1581" t="s">
        <v>8526</v>
      </c>
      <c r="B1581">
        <v>64128</v>
      </c>
      <c r="C1581">
        <v>5602986020178</v>
      </c>
      <c r="D1581">
        <v>299.89999999999998</v>
      </c>
      <c r="E1581">
        <v>205.47</v>
      </c>
      <c r="F1581">
        <v>20.7</v>
      </c>
      <c r="G1581">
        <v>135.09899999999999</v>
      </c>
      <c r="H1581">
        <v>6.7000000000000004E-2</v>
      </c>
      <c r="K1581">
        <v>64128</v>
      </c>
      <c r="L1581" t="s">
        <v>8526</v>
      </c>
      <c r="M1581">
        <v>6.7000000000000004E-2</v>
      </c>
    </row>
    <row r="1582" spans="1:13" x14ac:dyDescent="0.25">
      <c r="A1582" t="s">
        <v>8527</v>
      </c>
      <c r="B1582">
        <v>64129</v>
      </c>
      <c r="C1582">
        <v>5602986224255</v>
      </c>
      <c r="D1582">
        <v>299.89999999999998</v>
      </c>
      <c r="E1582">
        <v>227.62</v>
      </c>
      <c r="F1582">
        <v>15.85</v>
      </c>
      <c r="G1582">
        <v>149.66239999999999</v>
      </c>
      <c r="H1582">
        <v>6.7000000000000004E-2</v>
      </c>
      <c r="K1582">
        <v>64129</v>
      </c>
      <c r="L1582" t="s">
        <v>8527</v>
      </c>
      <c r="M1582">
        <v>0</v>
      </c>
    </row>
    <row r="1583" spans="1:13" x14ac:dyDescent="0.25">
      <c r="A1583" t="s">
        <v>8528</v>
      </c>
      <c r="B1583">
        <v>66878</v>
      </c>
      <c r="C1583">
        <v>5604098011020</v>
      </c>
      <c r="D1583">
        <v>59.9</v>
      </c>
      <c r="E1583">
        <v>41.12</v>
      </c>
      <c r="F1583">
        <v>22.81</v>
      </c>
      <c r="G1583">
        <v>29.912500000000001</v>
      </c>
      <c r="H1583">
        <v>0.4</v>
      </c>
      <c r="K1583">
        <v>66878</v>
      </c>
      <c r="L1583" t="s">
        <v>8528</v>
      </c>
      <c r="M1583">
        <v>0</v>
      </c>
    </row>
    <row r="1584" spans="1:13" x14ac:dyDescent="0.25">
      <c r="A1584" t="s">
        <v>8529</v>
      </c>
      <c r="B1584">
        <v>66877</v>
      </c>
      <c r="C1584">
        <v>5604098011044</v>
      </c>
      <c r="D1584">
        <v>59.9</v>
      </c>
      <c r="E1584">
        <v>41.12</v>
      </c>
      <c r="F1584">
        <v>22.81</v>
      </c>
      <c r="G1584">
        <v>29.912299999999998</v>
      </c>
      <c r="H1584">
        <v>0.16700000000000001</v>
      </c>
      <c r="K1584">
        <v>66877</v>
      </c>
      <c r="L1584" t="s">
        <v>8529</v>
      </c>
      <c r="M1584">
        <v>0</v>
      </c>
    </row>
    <row r="1585" spans="1:13" x14ac:dyDescent="0.25">
      <c r="A1585" t="s">
        <v>8530</v>
      </c>
      <c r="B1585">
        <v>39716</v>
      </c>
      <c r="C1585">
        <v>5604098011006</v>
      </c>
      <c r="D1585">
        <v>59.9</v>
      </c>
      <c r="E1585">
        <v>44.43</v>
      </c>
      <c r="F1585">
        <v>16.37</v>
      </c>
      <c r="G1585">
        <v>29.578700000000001</v>
      </c>
      <c r="H1585">
        <v>1.6</v>
      </c>
      <c r="K1585">
        <v>39716</v>
      </c>
      <c r="L1585" t="s">
        <v>8530</v>
      </c>
      <c r="M1585">
        <v>0</v>
      </c>
    </row>
    <row r="1586" spans="1:13" x14ac:dyDescent="0.25">
      <c r="A1586" t="s">
        <v>8531</v>
      </c>
      <c r="B1586">
        <v>63988</v>
      </c>
      <c r="C1586">
        <v>7808725403914</v>
      </c>
      <c r="D1586">
        <v>399.9</v>
      </c>
      <c r="E1586">
        <v>289.32</v>
      </c>
      <c r="F1586">
        <v>18.18</v>
      </c>
      <c r="G1586">
        <v>190.23</v>
      </c>
      <c r="H1586">
        <v>0</v>
      </c>
      <c r="K1586">
        <v>63988</v>
      </c>
      <c r="L1586" t="s">
        <v>8531</v>
      </c>
      <c r="M1586">
        <v>0</v>
      </c>
    </row>
    <row r="1587" spans="1:13" x14ac:dyDescent="0.25">
      <c r="A1587" t="s">
        <v>8532</v>
      </c>
      <c r="B1587">
        <v>63989</v>
      </c>
      <c r="C1587">
        <v>7808725403907</v>
      </c>
      <c r="D1587">
        <v>499.9</v>
      </c>
      <c r="E1587">
        <v>339.47</v>
      </c>
      <c r="F1587">
        <v>21.1</v>
      </c>
      <c r="G1587">
        <v>223.20089999999999</v>
      </c>
      <c r="H1587">
        <v>0</v>
      </c>
      <c r="K1587">
        <v>63989</v>
      </c>
      <c r="L1587" t="s">
        <v>8532</v>
      </c>
      <c r="M1587">
        <v>0</v>
      </c>
    </row>
    <row r="1588" spans="1:13" x14ac:dyDescent="0.25">
      <c r="A1588" t="s">
        <v>8533</v>
      </c>
      <c r="B1588">
        <v>29032</v>
      </c>
      <c r="C1588">
        <v>5013626111284</v>
      </c>
      <c r="D1588">
        <v>469.9</v>
      </c>
      <c r="E1588">
        <v>215.05</v>
      </c>
      <c r="F1588">
        <v>35.659999999999997</v>
      </c>
      <c r="G1588">
        <v>141.39330000000001</v>
      </c>
      <c r="H1588">
        <v>3.3000000000000002E-2</v>
      </c>
      <c r="K1588">
        <v>29032</v>
      </c>
      <c r="L1588" t="s">
        <v>8533</v>
      </c>
      <c r="M1588">
        <v>3.3000000000000002E-2</v>
      </c>
    </row>
    <row r="1589" spans="1:13" x14ac:dyDescent="0.25">
      <c r="A1589" t="s">
        <v>8534</v>
      </c>
      <c r="B1589">
        <v>64870</v>
      </c>
      <c r="C1589">
        <v>5600402100428</v>
      </c>
      <c r="D1589">
        <v>119.9</v>
      </c>
      <c r="E1589">
        <v>73.73</v>
      </c>
      <c r="F1589">
        <v>25.32</v>
      </c>
      <c r="G1589">
        <v>48.480200000000004</v>
      </c>
      <c r="H1589">
        <v>6.7000000000000004E-2</v>
      </c>
      <c r="K1589">
        <v>64870</v>
      </c>
      <c r="L1589" t="s">
        <v>8534</v>
      </c>
      <c r="M1589">
        <v>6.7000000000000004E-2</v>
      </c>
    </row>
    <row r="1590" spans="1:13" x14ac:dyDescent="0.25">
      <c r="A1590" t="s">
        <v>8535</v>
      </c>
      <c r="B1590">
        <v>63606</v>
      </c>
      <c r="C1590">
        <v>7798113810649</v>
      </c>
      <c r="D1590">
        <v>99.9</v>
      </c>
      <c r="E1590">
        <v>65.010000000000005</v>
      </c>
      <c r="F1590">
        <v>22.97</v>
      </c>
      <c r="G1590">
        <v>42.741599999999998</v>
      </c>
      <c r="H1590">
        <v>0</v>
      </c>
      <c r="K1590">
        <v>63606</v>
      </c>
      <c r="L1590" t="s">
        <v>8535</v>
      </c>
      <c r="M1590">
        <v>0</v>
      </c>
    </row>
    <row r="1591" spans="1:13" x14ac:dyDescent="0.25">
      <c r="A1591" t="s">
        <v>8536</v>
      </c>
      <c r="B1591">
        <v>63597</v>
      </c>
      <c r="C1591">
        <v>7798113810656</v>
      </c>
      <c r="D1591">
        <v>349.9</v>
      </c>
      <c r="E1591">
        <v>250</v>
      </c>
      <c r="F1591">
        <v>18.77</v>
      </c>
      <c r="G1591">
        <v>164.376</v>
      </c>
      <c r="H1591">
        <v>0</v>
      </c>
      <c r="K1591">
        <v>63597</v>
      </c>
      <c r="L1591" t="s">
        <v>8536</v>
      </c>
      <c r="M1591">
        <v>0</v>
      </c>
    </row>
    <row r="1592" spans="1:13" x14ac:dyDescent="0.25">
      <c r="A1592" t="s">
        <v>8537</v>
      </c>
      <c r="B1592">
        <v>63600</v>
      </c>
      <c r="C1592">
        <v>7798113810618</v>
      </c>
      <c r="D1592">
        <v>99.9</v>
      </c>
      <c r="E1592">
        <v>65</v>
      </c>
      <c r="F1592">
        <v>22.97</v>
      </c>
      <c r="G1592">
        <v>42.738199999999999</v>
      </c>
      <c r="H1592">
        <v>0</v>
      </c>
      <c r="K1592">
        <v>63600</v>
      </c>
      <c r="L1592" t="s">
        <v>8537</v>
      </c>
      <c r="M1592">
        <v>0</v>
      </c>
    </row>
    <row r="1593" spans="1:13" x14ac:dyDescent="0.25">
      <c r="A1593" t="s">
        <v>8538</v>
      </c>
      <c r="B1593">
        <v>63601</v>
      </c>
      <c r="C1593">
        <v>7798113810625</v>
      </c>
      <c r="D1593">
        <v>99.9</v>
      </c>
      <c r="E1593">
        <v>65</v>
      </c>
      <c r="F1593">
        <v>22.97</v>
      </c>
      <c r="G1593">
        <v>42.738100000000003</v>
      </c>
      <c r="H1593">
        <v>0</v>
      </c>
      <c r="K1593">
        <v>63601</v>
      </c>
      <c r="L1593" t="s">
        <v>8538</v>
      </c>
      <c r="M1593">
        <v>0</v>
      </c>
    </row>
    <row r="1594" spans="1:13" x14ac:dyDescent="0.25">
      <c r="A1594" t="s">
        <v>8539</v>
      </c>
      <c r="B1594">
        <v>63599</v>
      </c>
      <c r="C1594">
        <v>7798113810601</v>
      </c>
      <c r="D1594">
        <v>99.9</v>
      </c>
      <c r="E1594">
        <v>65</v>
      </c>
      <c r="F1594">
        <v>22.97</v>
      </c>
      <c r="G1594">
        <v>42.738999999999997</v>
      </c>
      <c r="H1594">
        <v>0</v>
      </c>
      <c r="K1594">
        <v>63599</v>
      </c>
      <c r="L1594" t="s">
        <v>8539</v>
      </c>
      <c r="M1594">
        <v>0</v>
      </c>
    </row>
    <row r="1595" spans="1:13" x14ac:dyDescent="0.25">
      <c r="A1595" t="s">
        <v>8540</v>
      </c>
      <c r="B1595">
        <v>63602</v>
      </c>
      <c r="C1595">
        <v>7798113810557</v>
      </c>
      <c r="D1595">
        <v>99.9</v>
      </c>
      <c r="E1595">
        <v>65</v>
      </c>
      <c r="F1595">
        <v>22.97</v>
      </c>
      <c r="G1595">
        <v>42.739800000000002</v>
      </c>
      <c r="H1595">
        <v>0</v>
      </c>
      <c r="K1595">
        <v>63602</v>
      </c>
      <c r="L1595" t="s">
        <v>8540</v>
      </c>
      <c r="M1595">
        <v>0</v>
      </c>
    </row>
    <row r="1596" spans="1:13" x14ac:dyDescent="0.25">
      <c r="A1596" t="s">
        <v>8541</v>
      </c>
      <c r="B1596">
        <v>61045</v>
      </c>
      <c r="C1596">
        <v>8033829960028</v>
      </c>
      <c r="D1596">
        <v>139.9</v>
      </c>
      <c r="E1596">
        <v>89.79</v>
      </c>
      <c r="F1596">
        <v>23.79</v>
      </c>
      <c r="G1596">
        <v>58.703099999999999</v>
      </c>
      <c r="H1596">
        <v>0</v>
      </c>
      <c r="K1596">
        <v>61045</v>
      </c>
      <c r="L1596" t="s">
        <v>8541</v>
      </c>
      <c r="M1596">
        <v>0</v>
      </c>
    </row>
    <row r="1597" spans="1:13" x14ac:dyDescent="0.25">
      <c r="A1597" t="s">
        <v>8542</v>
      </c>
      <c r="B1597">
        <v>63480</v>
      </c>
      <c r="C1597">
        <v>7798090163196</v>
      </c>
      <c r="D1597">
        <v>39.9</v>
      </c>
      <c r="E1597">
        <v>17.600000000000001</v>
      </c>
      <c r="F1597">
        <v>36.880000000000003</v>
      </c>
      <c r="G1597">
        <v>11.518800000000001</v>
      </c>
      <c r="H1597">
        <v>6.2</v>
      </c>
      <c r="K1597">
        <v>63480</v>
      </c>
      <c r="L1597" t="s">
        <v>8542</v>
      </c>
      <c r="M1597">
        <v>2.9329999999999998</v>
      </c>
    </row>
    <row r="1598" spans="1:13" x14ac:dyDescent="0.25">
      <c r="A1598" t="s">
        <v>8543</v>
      </c>
      <c r="B1598">
        <v>66286</v>
      </c>
      <c r="C1598">
        <v>5602012602323</v>
      </c>
      <c r="D1598">
        <v>59.9</v>
      </c>
      <c r="E1598">
        <v>0</v>
      </c>
      <c r="F1598">
        <v>65.75</v>
      </c>
      <c r="G1598">
        <v>0</v>
      </c>
      <c r="H1598">
        <v>0</v>
      </c>
      <c r="K1598">
        <v>66286</v>
      </c>
      <c r="L1598" t="s">
        <v>8543</v>
      </c>
      <c r="M1598">
        <v>0</v>
      </c>
    </row>
    <row r="1599" spans="1:13" x14ac:dyDescent="0.25">
      <c r="A1599" t="s">
        <v>8544</v>
      </c>
      <c r="B1599">
        <v>39717</v>
      </c>
      <c r="C1599">
        <v>5602012602347</v>
      </c>
      <c r="D1599">
        <v>59.9</v>
      </c>
      <c r="E1599">
        <v>37.6</v>
      </c>
      <c r="F1599">
        <v>24.48</v>
      </c>
      <c r="G1599">
        <v>24.723199999999999</v>
      </c>
      <c r="H1599">
        <v>0</v>
      </c>
      <c r="K1599">
        <v>39717</v>
      </c>
      <c r="L1599" t="s">
        <v>8544</v>
      </c>
      <c r="M1599">
        <v>0</v>
      </c>
    </row>
    <row r="1600" spans="1:13" x14ac:dyDescent="0.25">
      <c r="A1600" t="s">
        <v>8545</v>
      </c>
      <c r="B1600">
        <v>8603</v>
      </c>
      <c r="C1600">
        <v>5601377331084</v>
      </c>
      <c r="D1600">
        <v>49.9</v>
      </c>
      <c r="E1600">
        <v>30.95</v>
      </c>
      <c r="F1600">
        <v>24.97</v>
      </c>
      <c r="G1600">
        <v>20.3476</v>
      </c>
      <c r="H1600">
        <v>0.16700000000000001</v>
      </c>
      <c r="K1600">
        <v>8603</v>
      </c>
      <c r="L1600" t="s">
        <v>8545</v>
      </c>
      <c r="M1600">
        <v>0.1</v>
      </c>
    </row>
    <row r="1601" spans="1:13" x14ac:dyDescent="0.25">
      <c r="A1601" t="s">
        <v>8546</v>
      </c>
      <c r="B1601">
        <v>64435</v>
      </c>
      <c r="C1601">
        <v>5602168003425</v>
      </c>
      <c r="D1601">
        <v>59.9</v>
      </c>
      <c r="E1601">
        <v>25.36</v>
      </c>
      <c r="F1601">
        <v>37.92</v>
      </c>
      <c r="G1601">
        <v>16.672699999999999</v>
      </c>
      <c r="H1601">
        <v>3.3000000000000002E-2</v>
      </c>
      <c r="K1601">
        <v>64435</v>
      </c>
      <c r="L1601" t="s">
        <v>8546</v>
      </c>
      <c r="M1601">
        <v>0</v>
      </c>
    </row>
    <row r="1602" spans="1:13" x14ac:dyDescent="0.25">
      <c r="A1602" t="s">
        <v>8547</v>
      </c>
      <c r="B1602">
        <v>64147</v>
      </c>
      <c r="C1602">
        <v>7790975195308</v>
      </c>
      <c r="D1602">
        <v>139.9</v>
      </c>
      <c r="E1602">
        <v>92.47</v>
      </c>
      <c r="F1602">
        <v>22.29</v>
      </c>
      <c r="G1602">
        <v>60.801299999999998</v>
      </c>
      <c r="H1602">
        <v>3.3000000000000002E-2</v>
      </c>
      <c r="K1602">
        <v>64147</v>
      </c>
      <c r="L1602" t="s">
        <v>8547</v>
      </c>
      <c r="M1602">
        <v>3.3000000000000002E-2</v>
      </c>
    </row>
    <row r="1603" spans="1:13" x14ac:dyDescent="0.25">
      <c r="A1603" t="s">
        <v>8548</v>
      </c>
      <c r="B1603">
        <v>30013</v>
      </c>
      <c r="C1603">
        <v>7790975001494</v>
      </c>
      <c r="D1603">
        <v>139.9</v>
      </c>
      <c r="E1603">
        <v>75.930000000000007</v>
      </c>
      <c r="F1603">
        <v>29.16</v>
      </c>
      <c r="G1603">
        <v>51.186399999999999</v>
      </c>
      <c r="H1603">
        <v>0</v>
      </c>
      <c r="K1603">
        <v>30013</v>
      </c>
      <c r="L1603" t="s">
        <v>8548</v>
      </c>
      <c r="M1603">
        <v>0</v>
      </c>
    </row>
    <row r="1604" spans="1:13" x14ac:dyDescent="0.25">
      <c r="A1604" t="s">
        <v>8549</v>
      </c>
      <c r="B1604">
        <v>30012</v>
      </c>
      <c r="C1604">
        <v>7790975001487</v>
      </c>
      <c r="D1604">
        <v>139.9</v>
      </c>
      <c r="E1604">
        <v>89.14</v>
      </c>
      <c r="F1604">
        <v>23.86</v>
      </c>
      <c r="G1604">
        <v>58.610799999999998</v>
      </c>
      <c r="H1604">
        <v>0</v>
      </c>
      <c r="K1604">
        <v>30012</v>
      </c>
      <c r="L1604" t="s">
        <v>8549</v>
      </c>
      <c r="M1604">
        <v>0</v>
      </c>
    </row>
    <row r="1605" spans="1:13" x14ac:dyDescent="0.25">
      <c r="A1605" t="s">
        <v>8550</v>
      </c>
      <c r="B1605">
        <v>26155</v>
      </c>
      <c r="C1605">
        <v>7898276970270</v>
      </c>
      <c r="D1605">
        <v>99.9</v>
      </c>
      <c r="E1605">
        <v>73.84</v>
      </c>
      <c r="F1605">
        <v>18.22</v>
      </c>
      <c r="G1605">
        <v>47.485900000000001</v>
      </c>
      <c r="H1605">
        <v>0.1</v>
      </c>
      <c r="K1605">
        <v>26155</v>
      </c>
      <c r="L1605" t="s">
        <v>8550</v>
      </c>
      <c r="M1605">
        <v>0.1</v>
      </c>
    </row>
    <row r="1606" spans="1:13" x14ac:dyDescent="0.25">
      <c r="A1606" t="s">
        <v>8551</v>
      </c>
      <c r="B1606">
        <v>26154</v>
      </c>
      <c r="C1606">
        <v>7898276970287</v>
      </c>
      <c r="D1606">
        <v>99.9</v>
      </c>
      <c r="E1606">
        <v>57.36</v>
      </c>
      <c r="F1606">
        <v>27.96</v>
      </c>
      <c r="G1606">
        <v>37.747199999999999</v>
      </c>
      <c r="H1606">
        <v>0</v>
      </c>
      <c r="K1606">
        <v>26154</v>
      </c>
      <c r="L1606" t="s">
        <v>8551</v>
      </c>
      <c r="M1606">
        <v>0</v>
      </c>
    </row>
    <row r="1607" spans="1:13" x14ac:dyDescent="0.25">
      <c r="A1607" t="s">
        <v>8552</v>
      </c>
      <c r="B1607">
        <v>26159</v>
      </c>
      <c r="C1607">
        <v>7898276970607</v>
      </c>
      <c r="D1607">
        <v>149.9</v>
      </c>
      <c r="E1607">
        <v>95.15</v>
      </c>
      <c r="F1607">
        <v>24.02</v>
      </c>
      <c r="G1607">
        <v>62.559100000000001</v>
      </c>
      <c r="H1607">
        <v>0</v>
      </c>
      <c r="K1607">
        <v>26159</v>
      </c>
      <c r="L1607" t="s">
        <v>8552</v>
      </c>
      <c r="M1607">
        <v>0</v>
      </c>
    </row>
    <row r="1608" spans="1:13" x14ac:dyDescent="0.25">
      <c r="A1608" t="s">
        <v>8553</v>
      </c>
      <c r="B1608">
        <v>29802</v>
      </c>
      <c r="C1608">
        <v>7898276970836</v>
      </c>
      <c r="D1608">
        <v>139.9</v>
      </c>
      <c r="E1608">
        <v>93</v>
      </c>
      <c r="F1608">
        <v>21.96</v>
      </c>
      <c r="G1608">
        <v>61.256100000000004</v>
      </c>
      <c r="H1608">
        <v>3.3000000000000002E-2</v>
      </c>
      <c r="K1608">
        <v>29802</v>
      </c>
      <c r="L1608" t="s">
        <v>8553</v>
      </c>
      <c r="M1608">
        <v>3.3000000000000002E-2</v>
      </c>
    </row>
    <row r="1609" spans="1:13" x14ac:dyDescent="0.25">
      <c r="A1609" t="s">
        <v>8554</v>
      </c>
      <c r="B1609">
        <v>26158</v>
      </c>
      <c r="C1609">
        <v>7898276970263</v>
      </c>
      <c r="D1609">
        <v>99.9</v>
      </c>
      <c r="E1609">
        <v>57.4</v>
      </c>
      <c r="F1609">
        <v>27.98</v>
      </c>
      <c r="G1609">
        <v>37.737000000000002</v>
      </c>
      <c r="H1609">
        <v>0.2</v>
      </c>
      <c r="K1609">
        <v>26158</v>
      </c>
      <c r="L1609" t="s">
        <v>8554</v>
      </c>
      <c r="M1609">
        <v>0.16700000000000001</v>
      </c>
    </row>
    <row r="1610" spans="1:13" x14ac:dyDescent="0.25">
      <c r="A1610" t="s">
        <v>8555</v>
      </c>
      <c r="B1610">
        <v>29803</v>
      </c>
      <c r="C1610">
        <v>7898276971543</v>
      </c>
      <c r="D1610">
        <v>99.9</v>
      </c>
      <c r="E1610">
        <v>76.12</v>
      </c>
      <c r="F1610">
        <v>15.65</v>
      </c>
      <c r="G1610">
        <v>50.046500000000002</v>
      </c>
      <c r="H1610">
        <v>0.1</v>
      </c>
      <c r="K1610">
        <v>29803</v>
      </c>
      <c r="L1610" t="s">
        <v>8555</v>
      </c>
      <c r="M1610">
        <v>0.1</v>
      </c>
    </row>
    <row r="1611" spans="1:13" x14ac:dyDescent="0.25">
      <c r="A1611" t="s">
        <v>8556</v>
      </c>
      <c r="B1611">
        <v>57499</v>
      </c>
      <c r="C1611">
        <v>7898276972267</v>
      </c>
      <c r="D1611">
        <v>139.9</v>
      </c>
      <c r="E1611">
        <v>96.19</v>
      </c>
      <c r="F1611">
        <v>20.92</v>
      </c>
      <c r="G1611">
        <v>62.7211</v>
      </c>
      <c r="H1611">
        <v>0.1</v>
      </c>
      <c r="K1611">
        <v>57499</v>
      </c>
      <c r="L1611" t="s">
        <v>8556</v>
      </c>
      <c r="M1611">
        <v>0.1</v>
      </c>
    </row>
    <row r="1612" spans="1:13" x14ac:dyDescent="0.25">
      <c r="A1612" t="s">
        <v>8557</v>
      </c>
      <c r="B1612">
        <v>69593</v>
      </c>
      <c r="C1612">
        <v>7808765760879</v>
      </c>
      <c r="D1612">
        <v>19.899999999999999</v>
      </c>
      <c r="E1612">
        <v>13.61</v>
      </c>
      <c r="F1612">
        <v>20.79</v>
      </c>
      <c r="G1612">
        <v>8.9474999999999998</v>
      </c>
      <c r="H1612">
        <v>0.53300000000000003</v>
      </c>
      <c r="K1612">
        <v>69593</v>
      </c>
      <c r="L1612" t="s">
        <v>8557</v>
      </c>
      <c r="M1612">
        <v>0.53300000000000003</v>
      </c>
    </row>
    <row r="1613" spans="1:13" x14ac:dyDescent="0.25">
      <c r="A1613" t="s">
        <v>8558</v>
      </c>
      <c r="B1613">
        <v>69591</v>
      </c>
      <c r="C1613">
        <v>7808765731633</v>
      </c>
      <c r="D1613">
        <v>34.9</v>
      </c>
      <c r="E1613">
        <v>20.41</v>
      </c>
      <c r="F1613">
        <v>27.29</v>
      </c>
      <c r="G1613">
        <v>13.421200000000001</v>
      </c>
      <c r="H1613">
        <v>0.5</v>
      </c>
      <c r="K1613">
        <v>69591</v>
      </c>
      <c r="L1613" t="s">
        <v>8558</v>
      </c>
      <c r="M1613">
        <v>0.5</v>
      </c>
    </row>
    <row r="1614" spans="1:13" x14ac:dyDescent="0.25">
      <c r="A1614" t="s">
        <v>8559</v>
      </c>
      <c r="B1614">
        <v>69589</v>
      </c>
      <c r="C1614">
        <v>7808765761036</v>
      </c>
      <c r="D1614">
        <v>34.9</v>
      </c>
      <c r="E1614">
        <v>20.41</v>
      </c>
      <c r="F1614">
        <v>27.29</v>
      </c>
      <c r="G1614">
        <v>13.4213</v>
      </c>
      <c r="H1614">
        <v>0.7</v>
      </c>
      <c r="K1614">
        <v>69589</v>
      </c>
      <c r="L1614" t="s">
        <v>8559</v>
      </c>
      <c r="M1614">
        <v>0.7</v>
      </c>
    </row>
    <row r="1615" spans="1:13" x14ac:dyDescent="0.25">
      <c r="A1615" t="s">
        <v>8560</v>
      </c>
      <c r="B1615">
        <v>69590</v>
      </c>
      <c r="C1615">
        <v>7808765762491</v>
      </c>
      <c r="D1615">
        <v>34.9</v>
      </c>
      <c r="E1615">
        <v>20.41</v>
      </c>
      <c r="F1615">
        <v>27.29</v>
      </c>
      <c r="G1615">
        <v>13.4213</v>
      </c>
      <c r="H1615">
        <v>0.33300000000000002</v>
      </c>
      <c r="K1615">
        <v>69590</v>
      </c>
      <c r="L1615" t="s">
        <v>8560</v>
      </c>
      <c r="M1615">
        <v>0.33300000000000002</v>
      </c>
    </row>
    <row r="1616" spans="1:13" x14ac:dyDescent="0.25">
      <c r="A1616" t="s">
        <v>8561</v>
      </c>
      <c r="B1616">
        <v>65121</v>
      </c>
      <c r="C1616">
        <v>1000000003345</v>
      </c>
      <c r="D1616" s="1">
        <v>2199.9</v>
      </c>
      <c r="E1616" s="1">
        <v>1396.44</v>
      </c>
      <c r="F1616">
        <v>24.01</v>
      </c>
      <c r="G1616">
        <v>918.15719999999999</v>
      </c>
      <c r="H1616">
        <v>0</v>
      </c>
      <c r="K1616">
        <v>65121</v>
      </c>
      <c r="L1616" t="s">
        <v>8561</v>
      </c>
      <c r="M1616">
        <v>0</v>
      </c>
    </row>
    <row r="1617" spans="1:13" x14ac:dyDescent="0.25">
      <c r="A1617" t="s">
        <v>8562</v>
      </c>
      <c r="B1617">
        <v>64871</v>
      </c>
      <c r="C1617">
        <v>1000000003352</v>
      </c>
      <c r="D1617" s="1">
        <v>1699.9</v>
      </c>
      <c r="E1617">
        <v>974.78</v>
      </c>
      <c r="F1617">
        <v>28.05</v>
      </c>
      <c r="G1617">
        <v>640.91999999999996</v>
      </c>
      <c r="H1617">
        <v>0</v>
      </c>
      <c r="K1617">
        <v>64871</v>
      </c>
      <c r="L1617" t="s">
        <v>8562</v>
      </c>
      <c r="M1617">
        <v>0</v>
      </c>
    </row>
    <row r="1618" spans="1:13" x14ac:dyDescent="0.25">
      <c r="A1618" t="s">
        <v>8563</v>
      </c>
      <c r="B1618">
        <v>67600</v>
      </c>
      <c r="C1618">
        <v>1000000003871</v>
      </c>
      <c r="D1618" s="1">
        <v>2299.9</v>
      </c>
      <c r="E1618" s="1">
        <v>1357.64</v>
      </c>
      <c r="F1618">
        <v>26.94</v>
      </c>
      <c r="G1618">
        <v>892.6472</v>
      </c>
      <c r="H1618">
        <v>0</v>
      </c>
      <c r="K1618">
        <v>67600</v>
      </c>
      <c r="L1618" t="s">
        <v>8563</v>
      </c>
      <c r="M1618">
        <v>0</v>
      </c>
    </row>
    <row r="1619" spans="1:13" x14ac:dyDescent="0.25">
      <c r="A1619" t="s">
        <v>8564</v>
      </c>
      <c r="B1619">
        <v>68470</v>
      </c>
      <c r="C1619">
        <v>1000000003888</v>
      </c>
      <c r="D1619" s="1">
        <v>1999.9</v>
      </c>
      <c r="E1619" s="1">
        <v>1223.6199999999999</v>
      </c>
      <c r="F1619">
        <v>25.52</v>
      </c>
      <c r="G1619">
        <v>804.52829999999994</v>
      </c>
      <c r="H1619">
        <v>0</v>
      </c>
      <c r="K1619">
        <v>68470</v>
      </c>
      <c r="L1619" t="s">
        <v>8564</v>
      </c>
      <c r="M1619">
        <v>0</v>
      </c>
    </row>
    <row r="1620" spans="1:13" x14ac:dyDescent="0.25">
      <c r="A1620" t="s">
        <v>8565</v>
      </c>
      <c r="B1620">
        <v>64869</v>
      </c>
      <c r="C1620">
        <v>8026530000039</v>
      </c>
      <c r="D1620">
        <v>159.9</v>
      </c>
      <c r="E1620">
        <v>99.46</v>
      </c>
      <c r="F1620">
        <v>24.85</v>
      </c>
      <c r="G1620">
        <v>65.3917</v>
      </c>
      <c r="H1620">
        <v>3.3000000000000002E-2</v>
      </c>
      <c r="K1620">
        <v>64869</v>
      </c>
      <c r="L1620" t="s">
        <v>8565</v>
      </c>
      <c r="M1620">
        <v>3.3000000000000002E-2</v>
      </c>
    </row>
    <row r="1621" spans="1:13" x14ac:dyDescent="0.25">
      <c r="A1621" t="s">
        <v>8566</v>
      </c>
      <c r="B1621">
        <v>49091</v>
      </c>
      <c r="C1621">
        <v>7790314005961</v>
      </c>
      <c r="D1621">
        <v>36.9</v>
      </c>
      <c r="E1621">
        <v>21.04</v>
      </c>
      <c r="F1621">
        <v>28.18</v>
      </c>
      <c r="G1621">
        <v>13.8636</v>
      </c>
      <c r="H1621">
        <v>3.633</v>
      </c>
      <c r="K1621">
        <v>49091</v>
      </c>
      <c r="L1621" t="s">
        <v>8566</v>
      </c>
      <c r="M1621">
        <v>0.93300000000000005</v>
      </c>
    </row>
    <row r="1622" spans="1:13" x14ac:dyDescent="0.25">
      <c r="A1622" t="s">
        <v>8567</v>
      </c>
      <c r="B1622">
        <v>64344</v>
      </c>
      <c r="C1622">
        <v>7790314006104</v>
      </c>
      <c r="D1622">
        <v>36.9</v>
      </c>
      <c r="E1622">
        <v>21.02</v>
      </c>
      <c r="F1622">
        <v>27.45</v>
      </c>
      <c r="G1622">
        <v>14.132300000000001</v>
      </c>
      <c r="H1622">
        <v>1.7330000000000001</v>
      </c>
      <c r="K1622">
        <v>64344</v>
      </c>
      <c r="L1622" t="s">
        <v>8567</v>
      </c>
      <c r="M1622">
        <v>0.3</v>
      </c>
    </row>
    <row r="1623" spans="1:13" x14ac:dyDescent="0.25">
      <c r="A1623" t="s">
        <v>8568</v>
      </c>
      <c r="B1623">
        <v>49092</v>
      </c>
      <c r="C1623">
        <v>7790314005947</v>
      </c>
      <c r="D1623">
        <v>36.9</v>
      </c>
      <c r="E1623">
        <v>20.81</v>
      </c>
      <c r="F1623">
        <v>28.37</v>
      </c>
      <c r="G1623">
        <v>13.793100000000001</v>
      </c>
      <c r="H1623">
        <v>4.3</v>
      </c>
      <c r="K1623">
        <v>49092</v>
      </c>
      <c r="L1623" t="s">
        <v>8568</v>
      </c>
      <c r="M1623">
        <v>1.2669999999999999</v>
      </c>
    </row>
    <row r="1624" spans="1:13" x14ac:dyDescent="0.25">
      <c r="A1624" t="s">
        <v>8569</v>
      </c>
      <c r="B1624">
        <v>64343</v>
      </c>
      <c r="C1624">
        <v>7790314074974</v>
      </c>
      <c r="D1624">
        <v>36.9</v>
      </c>
      <c r="E1624">
        <v>21.19</v>
      </c>
      <c r="F1624">
        <v>27.8</v>
      </c>
      <c r="G1624">
        <v>14.0047</v>
      </c>
      <c r="H1624">
        <v>2.867</v>
      </c>
      <c r="K1624">
        <v>64343</v>
      </c>
      <c r="L1624" t="s">
        <v>8569</v>
      </c>
      <c r="M1624">
        <v>0.96699999999999997</v>
      </c>
    </row>
    <row r="1625" spans="1:13" x14ac:dyDescent="0.25">
      <c r="A1625" t="s">
        <v>8570</v>
      </c>
      <c r="B1625">
        <v>57524</v>
      </c>
      <c r="C1625">
        <v>7790314009402</v>
      </c>
      <c r="D1625">
        <v>36.9</v>
      </c>
      <c r="E1625">
        <v>21.5</v>
      </c>
      <c r="F1625">
        <v>27.43</v>
      </c>
      <c r="G1625">
        <v>14.1404</v>
      </c>
      <c r="H1625">
        <v>0.63300000000000001</v>
      </c>
      <c r="K1625">
        <v>57524</v>
      </c>
      <c r="L1625" t="s">
        <v>8570</v>
      </c>
      <c r="M1625">
        <v>0.23300000000000001</v>
      </c>
    </row>
    <row r="1626" spans="1:13" x14ac:dyDescent="0.25">
      <c r="A1626" t="s">
        <v>8571</v>
      </c>
      <c r="B1626">
        <v>30625</v>
      </c>
      <c r="C1626">
        <v>3469891135166</v>
      </c>
      <c r="D1626">
        <v>69.900000000000006</v>
      </c>
      <c r="E1626">
        <v>32.979999999999997</v>
      </c>
      <c r="F1626">
        <v>34.729999999999997</v>
      </c>
      <c r="G1626">
        <v>21.6829</v>
      </c>
      <c r="H1626">
        <v>0.13300000000000001</v>
      </c>
      <c r="K1626">
        <v>30625</v>
      </c>
      <c r="L1626" t="s">
        <v>8571</v>
      </c>
      <c r="M1626">
        <v>0.13300000000000001</v>
      </c>
    </row>
    <row r="1627" spans="1:13" x14ac:dyDescent="0.25">
      <c r="A1627" t="s">
        <v>8572</v>
      </c>
      <c r="B1627">
        <v>68445</v>
      </c>
      <c r="C1627">
        <v>7790314075742</v>
      </c>
      <c r="D1627">
        <v>49.9</v>
      </c>
      <c r="E1627">
        <v>50.43</v>
      </c>
      <c r="F1627">
        <v>-0.71</v>
      </c>
      <c r="G1627">
        <v>33.162700000000001</v>
      </c>
      <c r="H1627">
        <v>0.73299999999999998</v>
      </c>
      <c r="K1627">
        <v>68445</v>
      </c>
      <c r="L1627" t="s">
        <v>8572</v>
      </c>
      <c r="M1627">
        <v>6.7000000000000004E-2</v>
      </c>
    </row>
    <row r="1628" spans="1:13" x14ac:dyDescent="0.25">
      <c r="A1628" t="s">
        <v>8573</v>
      </c>
      <c r="B1628">
        <v>68446</v>
      </c>
      <c r="C1628">
        <v>7790314079290</v>
      </c>
      <c r="D1628">
        <v>49.9</v>
      </c>
      <c r="E1628">
        <v>50.33</v>
      </c>
      <c r="F1628">
        <v>-0.56000000000000005</v>
      </c>
      <c r="G1628">
        <v>33.090200000000003</v>
      </c>
      <c r="H1628">
        <v>0.46700000000000003</v>
      </c>
      <c r="K1628">
        <v>68446</v>
      </c>
      <c r="L1628" t="s">
        <v>8573</v>
      </c>
      <c r="M1628">
        <v>3.3000000000000002E-2</v>
      </c>
    </row>
    <row r="1629" spans="1:13" x14ac:dyDescent="0.25">
      <c r="A1629" t="s">
        <v>8574</v>
      </c>
      <c r="B1629">
        <v>68444</v>
      </c>
      <c r="C1629">
        <v>7790314075735</v>
      </c>
      <c r="D1629">
        <v>49.9</v>
      </c>
      <c r="E1629">
        <v>50.43</v>
      </c>
      <c r="F1629">
        <v>-0.71</v>
      </c>
      <c r="G1629">
        <v>33.162399999999998</v>
      </c>
      <c r="H1629">
        <v>0.9</v>
      </c>
      <c r="K1629">
        <v>68444</v>
      </c>
      <c r="L1629" t="s">
        <v>8574</v>
      </c>
      <c r="M1629">
        <v>3.3000000000000002E-2</v>
      </c>
    </row>
    <row r="1630" spans="1:13" x14ac:dyDescent="0.25">
      <c r="A1630" t="s">
        <v>8575</v>
      </c>
      <c r="B1630">
        <v>63177</v>
      </c>
      <c r="C1630">
        <v>5601989001344</v>
      </c>
      <c r="D1630" s="1">
        <v>3499.9</v>
      </c>
      <c r="E1630" s="1">
        <v>2324.09</v>
      </c>
      <c r="F1630">
        <v>22.09</v>
      </c>
      <c r="G1630" s="1">
        <v>1528.0896</v>
      </c>
      <c r="H1630">
        <v>0</v>
      </c>
      <c r="K1630">
        <v>63177</v>
      </c>
      <c r="L1630" t="s">
        <v>8575</v>
      </c>
      <c r="M1630">
        <v>0</v>
      </c>
    </row>
    <row r="1631" spans="1:13" x14ac:dyDescent="0.25">
      <c r="A1631" t="s">
        <v>8576</v>
      </c>
      <c r="B1631">
        <v>39705</v>
      </c>
      <c r="C1631">
        <v>8410113003508</v>
      </c>
      <c r="D1631">
        <v>229.9</v>
      </c>
      <c r="E1631">
        <v>129.16999999999999</v>
      </c>
      <c r="F1631">
        <v>28.78</v>
      </c>
      <c r="G1631">
        <v>84.996399999999994</v>
      </c>
      <c r="H1631">
        <v>0</v>
      </c>
      <c r="K1631">
        <v>39705</v>
      </c>
      <c r="L1631" t="s">
        <v>8576</v>
      </c>
      <c r="M1631">
        <v>0</v>
      </c>
    </row>
    <row r="1632" spans="1:13" x14ac:dyDescent="0.25">
      <c r="A1632" t="s">
        <v>8577</v>
      </c>
      <c r="B1632">
        <v>27515</v>
      </c>
      <c r="C1632">
        <v>8410113003089</v>
      </c>
      <c r="D1632">
        <v>69.900000000000006</v>
      </c>
      <c r="E1632">
        <v>55.93</v>
      </c>
      <c r="F1632">
        <v>13.12</v>
      </c>
      <c r="G1632">
        <v>36.787999999999997</v>
      </c>
      <c r="H1632">
        <v>0.36699999999999999</v>
      </c>
      <c r="K1632">
        <v>27515</v>
      </c>
      <c r="L1632" t="s">
        <v>8577</v>
      </c>
      <c r="M1632">
        <v>0</v>
      </c>
    </row>
    <row r="1633" spans="1:13" x14ac:dyDescent="0.25">
      <c r="A1633" t="s">
        <v>8578</v>
      </c>
      <c r="B1633">
        <v>39704</v>
      </c>
      <c r="C1633">
        <v>8410113003119</v>
      </c>
      <c r="D1633">
        <v>179.9</v>
      </c>
      <c r="E1633">
        <v>96.19</v>
      </c>
      <c r="F1633">
        <v>30.66</v>
      </c>
      <c r="G1633">
        <v>63.133899999999997</v>
      </c>
      <c r="H1633">
        <v>0</v>
      </c>
      <c r="K1633">
        <v>39704</v>
      </c>
      <c r="L1633" t="s">
        <v>8578</v>
      </c>
      <c r="M1633">
        <v>0</v>
      </c>
    </row>
    <row r="1634" spans="1:13" x14ac:dyDescent="0.25">
      <c r="A1634" t="s">
        <v>8579</v>
      </c>
      <c r="B1634">
        <v>49104</v>
      </c>
      <c r="C1634">
        <v>8410113007476</v>
      </c>
      <c r="D1634">
        <v>349.9</v>
      </c>
      <c r="E1634">
        <v>195.86</v>
      </c>
      <c r="F1634">
        <v>25.1</v>
      </c>
      <c r="G1634">
        <v>142.22489999999999</v>
      </c>
      <c r="H1634">
        <v>0</v>
      </c>
      <c r="K1634">
        <v>49104</v>
      </c>
      <c r="L1634" t="s">
        <v>8579</v>
      </c>
      <c r="M1634">
        <v>0</v>
      </c>
    </row>
    <row r="1635" spans="1:13" x14ac:dyDescent="0.25">
      <c r="A1635" t="s">
        <v>8580</v>
      </c>
      <c r="B1635">
        <v>27516</v>
      </c>
      <c r="C1635">
        <v>8410113001139</v>
      </c>
      <c r="D1635">
        <v>99.9</v>
      </c>
      <c r="E1635">
        <v>83.14</v>
      </c>
      <c r="F1635">
        <v>11.03</v>
      </c>
      <c r="G1635">
        <v>54.668399999999998</v>
      </c>
      <c r="H1635">
        <v>0.26700000000000002</v>
      </c>
      <c r="K1635">
        <v>27516</v>
      </c>
      <c r="L1635" t="s">
        <v>8580</v>
      </c>
      <c r="M1635">
        <v>0.26700000000000002</v>
      </c>
    </row>
    <row r="1636" spans="1:13" x14ac:dyDescent="0.25">
      <c r="A1636" t="s">
        <v>8581</v>
      </c>
      <c r="B1636">
        <v>47076</v>
      </c>
      <c r="C1636">
        <v>8410113009005</v>
      </c>
      <c r="D1636">
        <v>99.9</v>
      </c>
      <c r="E1636">
        <v>85.47</v>
      </c>
      <c r="F1636">
        <v>9.49</v>
      </c>
      <c r="G1636">
        <v>56.200200000000002</v>
      </c>
      <c r="H1636">
        <v>0.4</v>
      </c>
      <c r="K1636">
        <v>47076</v>
      </c>
      <c r="L1636" t="s">
        <v>8581</v>
      </c>
      <c r="M1636">
        <v>0</v>
      </c>
    </row>
    <row r="1637" spans="1:13" x14ac:dyDescent="0.25">
      <c r="A1637" t="s">
        <v>8582</v>
      </c>
      <c r="B1637">
        <v>65344</v>
      </c>
      <c r="C1637">
        <v>7790240094466</v>
      </c>
      <c r="D1637">
        <v>69.900000000000006</v>
      </c>
      <c r="E1637">
        <v>51.64</v>
      </c>
      <c r="F1637">
        <v>17.18</v>
      </c>
      <c r="G1637">
        <v>33.951799999999999</v>
      </c>
      <c r="H1637">
        <v>0.1</v>
      </c>
      <c r="K1637">
        <v>65344</v>
      </c>
      <c r="L1637" t="s">
        <v>8582</v>
      </c>
      <c r="M1637">
        <v>6.7000000000000004E-2</v>
      </c>
    </row>
    <row r="1638" spans="1:13" x14ac:dyDescent="0.25">
      <c r="A1638" t="s">
        <v>8583</v>
      </c>
      <c r="B1638">
        <v>67637</v>
      </c>
      <c r="C1638">
        <v>7790577044837</v>
      </c>
      <c r="D1638">
        <v>112.9</v>
      </c>
      <c r="E1638">
        <v>69.61</v>
      </c>
      <c r="F1638">
        <v>25.21</v>
      </c>
      <c r="G1638">
        <v>45.771099999999997</v>
      </c>
      <c r="H1638">
        <v>0</v>
      </c>
      <c r="K1638">
        <v>67637</v>
      </c>
      <c r="L1638" t="s">
        <v>8583</v>
      </c>
      <c r="M1638">
        <v>0</v>
      </c>
    </row>
    <row r="1639" spans="1:13" x14ac:dyDescent="0.25">
      <c r="A1639" t="s">
        <v>8584</v>
      </c>
      <c r="B1639">
        <v>67634</v>
      </c>
      <c r="C1639">
        <v>7790577002141</v>
      </c>
      <c r="D1639">
        <v>112.9</v>
      </c>
      <c r="E1639">
        <v>69.62</v>
      </c>
      <c r="F1639">
        <v>25.21</v>
      </c>
      <c r="G1639">
        <v>45.7729</v>
      </c>
      <c r="H1639">
        <v>0.1</v>
      </c>
      <c r="K1639">
        <v>67634</v>
      </c>
      <c r="L1639" t="s">
        <v>8584</v>
      </c>
      <c r="M1639">
        <v>6.7000000000000004E-2</v>
      </c>
    </row>
    <row r="1640" spans="1:13" x14ac:dyDescent="0.25">
      <c r="A1640" t="s">
        <v>8585</v>
      </c>
      <c r="B1640">
        <v>54756</v>
      </c>
      <c r="C1640">
        <v>7790577002165</v>
      </c>
      <c r="D1640">
        <v>112.9</v>
      </c>
      <c r="E1640">
        <v>69.75</v>
      </c>
      <c r="F1640">
        <v>25.15</v>
      </c>
      <c r="G1640">
        <v>45.838299999999997</v>
      </c>
      <c r="H1640">
        <v>0.8</v>
      </c>
      <c r="K1640">
        <v>54756</v>
      </c>
      <c r="L1640" t="s">
        <v>8585</v>
      </c>
      <c r="M1640">
        <v>0.1</v>
      </c>
    </row>
    <row r="1641" spans="1:13" x14ac:dyDescent="0.25">
      <c r="A1641" t="s">
        <v>8586</v>
      </c>
      <c r="B1641">
        <v>46837</v>
      </c>
      <c r="C1641">
        <v>7790577002882</v>
      </c>
      <c r="D1641">
        <v>112.9</v>
      </c>
      <c r="E1641">
        <v>67.41</v>
      </c>
      <c r="F1641">
        <v>26.36</v>
      </c>
      <c r="G1641">
        <v>44.465899999999998</v>
      </c>
      <c r="H1641">
        <v>0.16700000000000001</v>
      </c>
      <c r="K1641">
        <v>46837</v>
      </c>
      <c r="L1641" t="s">
        <v>8586</v>
      </c>
      <c r="M1641">
        <v>6.7000000000000004E-2</v>
      </c>
    </row>
    <row r="1642" spans="1:13" x14ac:dyDescent="0.25">
      <c r="A1642" t="s">
        <v>8587</v>
      </c>
      <c r="B1642">
        <v>67635</v>
      </c>
      <c r="C1642">
        <v>7790577002172</v>
      </c>
      <c r="D1642">
        <v>112.9</v>
      </c>
      <c r="E1642">
        <v>69.62</v>
      </c>
      <c r="F1642">
        <v>25.21</v>
      </c>
      <c r="G1642">
        <v>45.772500000000001</v>
      </c>
      <c r="H1642">
        <v>0</v>
      </c>
      <c r="K1642">
        <v>67635</v>
      </c>
      <c r="L1642" t="s">
        <v>8587</v>
      </c>
      <c r="M1642">
        <v>0</v>
      </c>
    </row>
    <row r="1643" spans="1:13" x14ac:dyDescent="0.25">
      <c r="A1643" t="s">
        <v>8588</v>
      </c>
      <c r="B1643">
        <v>67636</v>
      </c>
      <c r="C1643">
        <v>7790577040617</v>
      </c>
      <c r="D1643">
        <v>112.9</v>
      </c>
      <c r="E1643">
        <v>69.62</v>
      </c>
      <c r="F1643">
        <v>25.21</v>
      </c>
      <c r="G1643">
        <v>45.773000000000003</v>
      </c>
      <c r="H1643">
        <v>6.7000000000000004E-2</v>
      </c>
      <c r="K1643">
        <v>67636</v>
      </c>
      <c r="L1643" t="s">
        <v>8588</v>
      </c>
      <c r="M1643">
        <v>0</v>
      </c>
    </row>
    <row r="1644" spans="1:13" x14ac:dyDescent="0.25">
      <c r="A1644" t="s">
        <v>8589</v>
      </c>
      <c r="B1644">
        <v>45485</v>
      </c>
      <c r="C1644">
        <v>7804315002383</v>
      </c>
      <c r="D1644">
        <v>54.9</v>
      </c>
      <c r="E1644">
        <v>39.86</v>
      </c>
      <c r="F1644">
        <v>17.48</v>
      </c>
      <c r="G1644">
        <v>26.5001</v>
      </c>
      <c r="H1644">
        <v>0.26700000000000002</v>
      </c>
      <c r="K1644">
        <v>45485</v>
      </c>
      <c r="L1644" t="s">
        <v>8589</v>
      </c>
      <c r="M1644">
        <v>3.3000000000000002E-2</v>
      </c>
    </row>
    <row r="1645" spans="1:13" x14ac:dyDescent="0.25">
      <c r="A1645" t="s">
        <v>8590</v>
      </c>
      <c r="B1645">
        <v>57712</v>
      </c>
      <c r="C1645">
        <v>7804315002222</v>
      </c>
      <c r="D1645">
        <v>54.9</v>
      </c>
      <c r="E1645">
        <v>40.19</v>
      </c>
      <c r="F1645">
        <v>21.42</v>
      </c>
      <c r="G1645">
        <v>24.3367</v>
      </c>
      <c r="H1645">
        <v>6.7000000000000004E-2</v>
      </c>
      <c r="K1645">
        <v>57712</v>
      </c>
      <c r="L1645" t="s">
        <v>8590</v>
      </c>
      <c r="M1645">
        <v>3.3000000000000002E-2</v>
      </c>
    </row>
    <row r="1646" spans="1:13" x14ac:dyDescent="0.25">
      <c r="A1646" t="s">
        <v>8591</v>
      </c>
      <c r="B1646">
        <v>45487</v>
      </c>
      <c r="C1646">
        <v>7804315000693</v>
      </c>
      <c r="D1646">
        <v>54.9</v>
      </c>
      <c r="E1646">
        <v>46.99</v>
      </c>
      <c r="F1646">
        <v>8.39</v>
      </c>
      <c r="G1646">
        <v>31.492899999999999</v>
      </c>
      <c r="H1646">
        <v>0.16700000000000001</v>
      </c>
      <c r="K1646">
        <v>45487</v>
      </c>
      <c r="L1646" t="s">
        <v>8591</v>
      </c>
      <c r="M1646">
        <v>0.1</v>
      </c>
    </row>
    <row r="1647" spans="1:13" x14ac:dyDescent="0.25">
      <c r="A1647" t="s">
        <v>8592</v>
      </c>
      <c r="B1647">
        <v>55362</v>
      </c>
      <c r="C1647">
        <v>7804315001973</v>
      </c>
      <c r="D1647">
        <v>139.9</v>
      </c>
      <c r="E1647">
        <v>84.61</v>
      </c>
      <c r="F1647">
        <v>26.05</v>
      </c>
      <c r="G1647">
        <v>55.541499999999999</v>
      </c>
      <c r="H1647">
        <v>0</v>
      </c>
      <c r="K1647">
        <v>55362</v>
      </c>
      <c r="L1647" t="s">
        <v>8592</v>
      </c>
      <c r="M1647">
        <v>0</v>
      </c>
    </row>
    <row r="1648" spans="1:13" x14ac:dyDescent="0.25">
      <c r="A1648" t="s">
        <v>8593</v>
      </c>
      <c r="B1648">
        <v>55365</v>
      </c>
      <c r="C1648">
        <v>7804315003335</v>
      </c>
      <c r="D1648">
        <v>187.04</v>
      </c>
      <c r="E1648">
        <v>119.2</v>
      </c>
      <c r="F1648">
        <v>23.84</v>
      </c>
      <c r="G1648">
        <v>78.386499999999998</v>
      </c>
      <c r="H1648">
        <v>0</v>
      </c>
      <c r="K1648">
        <v>55365</v>
      </c>
      <c r="L1648" t="s">
        <v>8593</v>
      </c>
      <c r="M1648">
        <v>3.3000000000000002E-2</v>
      </c>
    </row>
    <row r="1649" spans="1:13" x14ac:dyDescent="0.25">
      <c r="A1649" t="s">
        <v>8594</v>
      </c>
      <c r="B1649">
        <v>57639</v>
      </c>
      <c r="C1649">
        <v>7804315003342</v>
      </c>
      <c r="D1649">
        <v>199.9</v>
      </c>
      <c r="E1649">
        <v>137.11000000000001</v>
      </c>
      <c r="F1649">
        <v>21.61</v>
      </c>
      <c r="G1649">
        <v>88.227199999999996</v>
      </c>
      <c r="H1649">
        <v>0</v>
      </c>
      <c r="K1649">
        <v>57639</v>
      </c>
      <c r="L1649" t="s">
        <v>8594</v>
      </c>
      <c r="M1649">
        <v>0</v>
      </c>
    </row>
    <row r="1650" spans="1:13" x14ac:dyDescent="0.25">
      <c r="A1650" t="s">
        <v>8595</v>
      </c>
      <c r="B1650">
        <v>55366</v>
      </c>
      <c r="C1650">
        <v>7804315002864</v>
      </c>
      <c r="D1650">
        <v>179.9</v>
      </c>
      <c r="E1650">
        <v>138.15</v>
      </c>
      <c r="F1650">
        <v>14.63</v>
      </c>
      <c r="G1650">
        <v>91.962900000000005</v>
      </c>
      <c r="H1650">
        <v>0</v>
      </c>
      <c r="K1650">
        <v>55366</v>
      </c>
      <c r="L1650" t="s">
        <v>8595</v>
      </c>
      <c r="M1650">
        <v>0</v>
      </c>
    </row>
    <row r="1651" spans="1:13" x14ac:dyDescent="0.25">
      <c r="A1651" t="s">
        <v>8596</v>
      </c>
      <c r="B1651">
        <v>57638</v>
      </c>
      <c r="C1651">
        <v>7804315004455</v>
      </c>
      <c r="D1651">
        <v>189.9</v>
      </c>
      <c r="E1651">
        <v>147.93</v>
      </c>
      <c r="F1651">
        <v>14.56</v>
      </c>
      <c r="G1651">
        <v>97.206400000000002</v>
      </c>
      <c r="H1651">
        <v>0</v>
      </c>
      <c r="K1651">
        <v>57638</v>
      </c>
      <c r="L1651" t="s">
        <v>8596</v>
      </c>
      <c r="M1651">
        <v>0</v>
      </c>
    </row>
    <row r="1652" spans="1:13" x14ac:dyDescent="0.25">
      <c r="A1652" t="s">
        <v>8597</v>
      </c>
      <c r="B1652">
        <v>35675</v>
      </c>
      <c r="C1652">
        <v>7804315010005</v>
      </c>
      <c r="D1652">
        <v>39.9</v>
      </c>
      <c r="E1652">
        <v>29.06</v>
      </c>
      <c r="F1652">
        <v>17.850000000000001</v>
      </c>
      <c r="G1652">
        <v>19.110099999999999</v>
      </c>
      <c r="H1652">
        <v>1.167</v>
      </c>
      <c r="K1652">
        <v>35675</v>
      </c>
      <c r="L1652" t="s">
        <v>8597</v>
      </c>
      <c r="M1652">
        <v>1.167</v>
      </c>
    </row>
    <row r="1653" spans="1:13" x14ac:dyDescent="0.25">
      <c r="A1653" t="s">
        <v>8598</v>
      </c>
      <c r="B1653">
        <v>35678</v>
      </c>
      <c r="C1653">
        <v>7804315304807</v>
      </c>
      <c r="D1653">
        <v>39.9</v>
      </c>
      <c r="E1653">
        <v>28.22</v>
      </c>
      <c r="F1653">
        <v>19.260000000000002</v>
      </c>
      <c r="G1653">
        <v>18.5488</v>
      </c>
      <c r="H1653">
        <v>0.3</v>
      </c>
      <c r="K1653">
        <v>35678</v>
      </c>
      <c r="L1653" t="s">
        <v>8598</v>
      </c>
      <c r="M1653">
        <v>0.3</v>
      </c>
    </row>
    <row r="1654" spans="1:13" x14ac:dyDescent="0.25">
      <c r="A1654" t="s">
        <v>8599</v>
      </c>
      <c r="B1654">
        <v>57268</v>
      </c>
      <c r="C1654">
        <v>7804315012054</v>
      </c>
      <c r="D1654">
        <v>39.9</v>
      </c>
      <c r="E1654">
        <v>28.18</v>
      </c>
      <c r="F1654">
        <v>19.32</v>
      </c>
      <c r="G1654">
        <v>18.5273</v>
      </c>
      <c r="H1654">
        <v>3.3000000000000002E-2</v>
      </c>
      <c r="K1654">
        <v>57268</v>
      </c>
      <c r="L1654" t="s">
        <v>8599</v>
      </c>
      <c r="M1654">
        <v>3.3000000000000002E-2</v>
      </c>
    </row>
    <row r="1655" spans="1:13" x14ac:dyDescent="0.25">
      <c r="A1655" t="s">
        <v>8600</v>
      </c>
      <c r="B1655">
        <v>45486</v>
      </c>
      <c r="C1655">
        <v>7804315030027</v>
      </c>
      <c r="D1655">
        <v>39.9</v>
      </c>
      <c r="E1655">
        <v>30.28</v>
      </c>
      <c r="F1655">
        <v>16.89</v>
      </c>
      <c r="G1655">
        <v>19.4938</v>
      </c>
      <c r="H1655">
        <v>0.16700000000000001</v>
      </c>
      <c r="K1655">
        <v>45486</v>
      </c>
      <c r="L1655" t="s">
        <v>8600</v>
      </c>
      <c r="M1655">
        <v>0.16700000000000001</v>
      </c>
    </row>
    <row r="1656" spans="1:13" x14ac:dyDescent="0.25">
      <c r="A1656" t="s">
        <v>8601</v>
      </c>
      <c r="B1656">
        <v>59832</v>
      </c>
      <c r="C1656">
        <v>7798132917695</v>
      </c>
      <c r="D1656">
        <v>69.900000000000006</v>
      </c>
      <c r="E1656">
        <v>39.11</v>
      </c>
      <c r="F1656">
        <v>29.44</v>
      </c>
      <c r="G1656">
        <v>25.377600000000001</v>
      </c>
      <c r="H1656">
        <v>3.3000000000000002E-2</v>
      </c>
      <c r="K1656">
        <v>59832</v>
      </c>
      <c r="L1656" t="s">
        <v>8601</v>
      </c>
      <c r="M1656">
        <v>0.26700000000000002</v>
      </c>
    </row>
    <row r="1657" spans="1:13" x14ac:dyDescent="0.25">
      <c r="A1657" t="s">
        <v>8602</v>
      </c>
      <c r="B1657">
        <v>59831</v>
      </c>
      <c r="C1657">
        <v>7798132917688</v>
      </c>
      <c r="D1657">
        <v>70.319999999999993</v>
      </c>
      <c r="E1657">
        <v>38.58</v>
      </c>
      <c r="F1657">
        <v>29.49</v>
      </c>
      <c r="G1657">
        <v>25.494499999999999</v>
      </c>
      <c r="H1657">
        <v>0.26700000000000002</v>
      </c>
      <c r="K1657">
        <v>59831</v>
      </c>
      <c r="L1657" t="s">
        <v>8602</v>
      </c>
      <c r="M1657">
        <v>0.23300000000000001</v>
      </c>
    </row>
    <row r="1658" spans="1:13" x14ac:dyDescent="0.25">
      <c r="A1658" t="s">
        <v>8603</v>
      </c>
      <c r="B1658">
        <v>59830</v>
      </c>
      <c r="C1658">
        <v>7798132917718</v>
      </c>
      <c r="D1658">
        <v>69.900000000000006</v>
      </c>
      <c r="E1658">
        <v>37.9</v>
      </c>
      <c r="F1658">
        <v>29.26</v>
      </c>
      <c r="G1658">
        <v>25.504200000000001</v>
      </c>
      <c r="H1658">
        <v>1.7330000000000001</v>
      </c>
      <c r="K1658">
        <v>59830</v>
      </c>
      <c r="L1658" t="s">
        <v>8603</v>
      </c>
      <c r="M1658">
        <v>0.46700000000000003</v>
      </c>
    </row>
    <row r="1659" spans="1:13" x14ac:dyDescent="0.25">
      <c r="A1659" t="s">
        <v>8604</v>
      </c>
      <c r="B1659">
        <v>68721</v>
      </c>
      <c r="C1659">
        <v>5201201111365</v>
      </c>
      <c r="D1659">
        <v>199.9</v>
      </c>
      <c r="E1659">
        <v>137.66999999999999</v>
      </c>
      <c r="F1659">
        <v>20.47</v>
      </c>
      <c r="G1659">
        <v>90.521500000000003</v>
      </c>
      <c r="H1659">
        <v>0</v>
      </c>
      <c r="K1659">
        <v>68721</v>
      </c>
      <c r="L1659" t="s">
        <v>8604</v>
      </c>
      <c r="M1659">
        <v>0</v>
      </c>
    </row>
    <row r="1660" spans="1:13" x14ac:dyDescent="0.25">
      <c r="A1660" t="s">
        <v>8605</v>
      </c>
      <c r="B1660">
        <v>68723</v>
      </c>
      <c r="C1660">
        <v>5201201611308</v>
      </c>
      <c r="D1660">
        <v>199.9</v>
      </c>
      <c r="E1660">
        <v>141.26</v>
      </c>
      <c r="F1660">
        <v>19.29</v>
      </c>
      <c r="G1660">
        <v>92.878900000000002</v>
      </c>
      <c r="H1660">
        <v>0</v>
      </c>
      <c r="K1660">
        <v>68723</v>
      </c>
      <c r="L1660" t="s">
        <v>8605</v>
      </c>
      <c r="M1660">
        <v>0</v>
      </c>
    </row>
    <row r="1661" spans="1:13" x14ac:dyDescent="0.25">
      <c r="A1661" t="s">
        <v>8606</v>
      </c>
      <c r="B1661">
        <v>48281</v>
      </c>
      <c r="C1661">
        <v>7802180089256</v>
      </c>
      <c r="D1661">
        <v>799.9</v>
      </c>
      <c r="E1661">
        <v>477.13</v>
      </c>
      <c r="F1661">
        <v>26.53</v>
      </c>
      <c r="G1661">
        <v>313.7122</v>
      </c>
      <c r="H1661">
        <v>0</v>
      </c>
      <c r="K1661">
        <v>48281</v>
      </c>
      <c r="L1661" t="s">
        <v>8606</v>
      </c>
      <c r="M1661">
        <v>0</v>
      </c>
    </row>
    <row r="1662" spans="1:13" x14ac:dyDescent="0.25">
      <c r="A1662" t="s">
        <v>8607</v>
      </c>
      <c r="B1662">
        <v>44705</v>
      </c>
      <c r="C1662">
        <v>7802180001937</v>
      </c>
      <c r="D1662">
        <v>299.89999999999998</v>
      </c>
      <c r="E1662">
        <v>159.12</v>
      </c>
      <c r="F1662">
        <v>33.64</v>
      </c>
      <c r="G1662">
        <v>96.309899999999999</v>
      </c>
      <c r="H1662">
        <v>0</v>
      </c>
      <c r="K1662">
        <v>44705</v>
      </c>
      <c r="L1662" t="s">
        <v>8607</v>
      </c>
      <c r="M1662">
        <v>0</v>
      </c>
    </row>
    <row r="1663" spans="1:13" x14ac:dyDescent="0.25">
      <c r="A1663" t="s">
        <v>8608</v>
      </c>
      <c r="B1663">
        <v>59844</v>
      </c>
      <c r="C1663">
        <v>7802180003894</v>
      </c>
      <c r="D1663">
        <v>299.89999999999998</v>
      </c>
      <c r="E1663">
        <v>140.09</v>
      </c>
      <c r="F1663">
        <v>35.04</v>
      </c>
      <c r="G1663">
        <v>92.110200000000006</v>
      </c>
      <c r="H1663">
        <v>0</v>
      </c>
      <c r="K1663">
        <v>59844</v>
      </c>
      <c r="L1663" t="s">
        <v>8608</v>
      </c>
      <c r="M1663">
        <v>0</v>
      </c>
    </row>
    <row r="1664" spans="1:13" x14ac:dyDescent="0.25">
      <c r="A1664" t="s">
        <v>8609</v>
      </c>
      <c r="B1664">
        <v>44609</v>
      </c>
      <c r="C1664">
        <v>7802180002644</v>
      </c>
      <c r="D1664">
        <v>299.89999999999998</v>
      </c>
      <c r="E1664">
        <v>145.16</v>
      </c>
      <c r="F1664">
        <v>33.92</v>
      </c>
      <c r="G1664">
        <v>95.443299999999994</v>
      </c>
      <c r="H1664">
        <v>0</v>
      </c>
      <c r="K1664">
        <v>44609</v>
      </c>
      <c r="L1664" t="s">
        <v>8609</v>
      </c>
      <c r="M1664">
        <v>0</v>
      </c>
    </row>
    <row r="1665" spans="1:13" x14ac:dyDescent="0.25">
      <c r="A1665" t="s">
        <v>8610</v>
      </c>
      <c r="B1665">
        <v>44607</v>
      </c>
      <c r="C1665">
        <v>7802180001944</v>
      </c>
      <c r="D1665">
        <v>299.89999999999998</v>
      </c>
      <c r="E1665">
        <v>155.36000000000001</v>
      </c>
      <c r="F1665">
        <v>35.74</v>
      </c>
      <c r="G1665">
        <v>90.009900000000002</v>
      </c>
      <c r="H1665">
        <v>0</v>
      </c>
      <c r="K1665">
        <v>44607</v>
      </c>
      <c r="L1665" t="s">
        <v>8610</v>
      </c>
      <c r="M1665">
        <v>0</v>
      </c>
    </row>
    <row r="1666" spans="1:13" x14ac:dyDescent="0.25">
      <c r="A1666" t="s">
        <v>8611</v>
      </c>
      <c r="B1666">
        <v>68872</v>
      </c>
      <c r="C1666">
        <v>7802180004334</v>
      </c>
      <c r="D1666">
        <v>299.89999999999998</v>
      </c>
      <c r="E1666">
        <v>134.91999999999999</v>
      </c>
      <c r="F1666">
        <v>36.17</v>
      </c>
      <c r="G1666">
        <v>88.71</v>
      </c>
      <c r="H1666">
        <v>6.7000000000000004E-2</v>
      </c>
      <c r="K1666">
        <v>68872</v>
      </c>
      <c r="L1666" t="s">
        <v>8611</v>
      </c>
      <c r="M1666">
        <v>0</v>
      </c>
    </row>
    <row r="1667" spans="1:13" x14ac:dyDescent="0.25">
      <c r="A1667" t="s">
        <v>8612</v>
      </c>
      <c r="B1667">
        <v>44612</v>
      </c>
      <c r="C1667">
        <v>7802180002637</v>
      </c>
      <c r="D1667">
        <v>299.89999999999998</v>
      </c>
      <c r="E1667">
        <v>165.36</v>
      </c>
      <c r="F1667">
        <v>31.69</v>
      </c>
      <c r="G1667">
        <v>102.1606</v>
      </c>
      <c r="H1667">
        <v>0</v>
      </c>
      <c r="K1667">
        <v>44612</v>
      </c>
      <c r="L1667" t="s">
        <v>8612</v>
      </c>
      <c r="M1667">
        <v>0</v>
      </c>
    </row>
    <row r="1668" spans="1:13" x14ac:dyDescent="0.25">
      <c r="A1668" t="s">
        <v>8613</v>
      </c>
      <c r="B1668">
        <v>69594</v>
      </c>
      <c r="C1668">
        <v>7808765739769</v>
      </c>
      <c r="D1668">
        <v>19.899999999999999</v>
      </c>
      <c r="E1668">
        <v>13.61</v>
      </c>
      <c r="F1668">
        <v>20.79</v>
      </c>
      <c r="G1668">
        <v>8.9474999999999998</v>
      </c>
      <c r="H1668">
        <v>0.96699999999999997</v>
      </c>
      <c r="K1668">
        <v>69594</v>
      </c>
      <c r="L1668" t="s">
        <v>8613</v>
      </c>
      <c r="M1668">
        <v>0.96699999999999997</v>
      </c>
    </row>
    <row r="1669" spans="1:13" x14ac:dyDescent="0.25">
      <c r="A1669" t="s">
        <v>8614</v>
      </c>
      <c r="B1669">
        <v>69588</v>
      </c>
      <c r="C1669">
        <v>7808765731640</v>
      </c>
      <c r="D1669">
        <v>34.9</v>
      </c>
      <c r="E1669">
        <v>20.41</v>
      </c>
      <c r="F1669">
        <v>27.29</v>
      </c>
      <c r="G1669">
        <v>13.421200000000001</v>
      </c>
      <c r="H1669">
        <v>0.83299999999999996</v>
      </c>
      <c r="K1669">
        <v>69588</v>
      </c>
      <c r="L1669" t="s">
        <v>8614</v>
      </c>
      <c r="M1669">
        <v>0.83299999999999996</v>
      </c>
    </row>
    <row r="1670" spans="1:13" x14ac:dyDescent="0.25">
      <c r="A1670" t="s">
        <v>8615</v>
      </c>
      <c r="B1670">
        <v>65311</v>
      </c>
      <c r="C1670">
        <v>7791203002436</v>
      </c>
      <c r="D1670">
        <v>229.9</v>
      </c>
      <c r="E1670">
        <v>142.25</v>
      </c>
      <c r="F1670">
        <v>25.07</v>
      </c>
      <c r="G1670">
        <v>93.528400000000005</v>
      </c>
      <c r="H1670">
        <v>0</v>
      </c>
      <c r="K1670">
        <v>65311</v>
      </c>
      <c r="L1670" t="s">
        <v>8615</v>
      </c>
      <c r="M1670">
        <v>0</v>
      </c>
    </row>
    <row r="1671" spans="1:13" x14ac:dyDescent="0.25">
      <c r="A1671" t="s">
        <v>8616</v>
      </c>
      <c r="B1671">
        <v>67001</v>
      </c>
      <c r="C1671">
        <v>8436014246486</v>
      </c>
      <c r="D1671" s="1">
        <v>2899.9</v>
      </c>
      <c r="E1671" s="1">
        <v>1909</v>
      </c>
      <c r="F1671">
        <v>22.47</v>
      </c>
      <c r="G1671" s="1">
        <v>1255.17</v>
      </c>
      <c r="H1671">
        <v>0</v>
      </c>
      <c r="K1671">
        <v>67001</v>
      </c>
      <c r="L1671" t="s">
        <v>8616</v>
      </c>
      <c r="M1671">
        <v>0</v>
      </c>
    </row>
    <row r="1672" spans="1:13" x14ac:dyDescent="0.25">
      <c r="A1672" t="s">
        <v>8617</v>
      </c>
      <c r="B1672">
        <v>64414</v>
      </c>
      <c r="C1672">
        <v>7808725401194</v>
      </c>
      <c r="D1672">
        <v>163.86</v>
      </c>
      <c r="E1672">
        <v>111.15</v>
      </c>
      <c r="F1672">
        <v>21.15</v>
      </c>
      <c r="G1672">
        <v>73.0822</v>
      </c>
      <c r="H1672">
        <v>0</v>
      </c>
      <c r="K1672">
        <v>64414</v>
      </c>
      <c r="L1672" t="s">
        <v>8617</v>
      </c>
      <c r="M1672">
        <v>0</v>
      </c>
    </row>
    <row r="1673" spans="1:13" x14ac:dyDescent="0.25">
      <c r="A1673" t="s">
        <v>8618</v>
      </c>
      <c r="B1673">
        <v>55133</v>
      </c>
      <c r="C1673">
        <v>7808725405208</v>
      </c>
      <c r="D1673">
        <v>164.9</v>
      </c>
      <c r="E1673">
        <v>111.15</v>
      </c>
      <c r="F1673">
        <v>21.43</v>
      </c>
      <c r="G1673">
        <v>73.0822</v>
      </c>
      <c r="H1673">
        <v>0</v>
      </c>
      <c r="K1673">
        <v>55133</v>
      </c>
      <c r="L1673" t="s">
        <v>8618</v>
      </c>
      <c r="M1673">
        <v>0</v>
      </c>
    </row>
    <row r="1674" spans="1:13" x14ac:dyDescent="0.25">
      <c r="A1674" t="s">
        <v>8619</v>
      </c>
      <c r="B1674">
        <v>55132</v>
      </c>
      <c r="C1674">
        <v>7808725403938</v>
      </c>
      <c r="D1674">
        <v>165.41</v>
      </c>
      <c r="E1674">
        <v>111.15</v>
      </c>
      <c r="F1674">
        <v>21.57</v>
      </c>
      <c r="G1674">
        <v>73.080699999999993</v>
      </c>
      <c r="H1674">
        <v>0</v>
      </c>
      <c r="K1674">
        <v>55132</v>
      </c>
      <c r="L1674" t="s">
        <v>8619</v>
      </c>
      <c r="M1674">
        <v>0</v>
      </c>
    </row>
    <row r="1675" spans="1:13" x14ac:dyDescent="0.25">
      <c r="A1675" t="s">
        <v>8620</v>
      </c>
      <c r="B1675">
        <v>64413</v>
      </c>
      <c r="C1675">
        <v>7808725409848</v>
      </c>
      <c r="D1675">
        <v>160.13</v>
      </c>
      <c r="E1675">
        <v>111.15</v>
      </c>
      <c r="F1675">
        <v>20.11</v>
      </c>
      <c r="G1675">
        <v>73.083100000000002</v>
      </c>
      <c r="H1675">
        <v>0</v>
      </c>
      <c r="K1675">
        <v>64413</v>
      </c>
      <c r="L1675" t="s">
        <v>8620</v>
      </c>
      <c r="M1675">
        <v>0</v>
      </c>
    </row>
    <row r="1676" spans="1:13" x14ac:dyDescent="0.25">
      <c r="A1676" t="s">
        <v>8621</v>
      </c>
      <c r="B1676">
        <v>63985</v>
      </c>
      <c r="C1676">
        <v>7808725400487</v>
      </c>
      <c r="D1676">
        <v>119.9</v>
      </c>
      <c r="E1676">
        <v>85.11</v>
      </c>
      <c r="F1676">
        <v>19.059999999999999</v>
      </c>
      <c r="G1676">
        <v>55.978400000000001</v>
      </c>
      <c r="H1676">
        <v>3.3000000000000002E-2</v>
      </c>
      <c r="K1676">
        <v>63985</v>
      </c>
      <c r="L1676" t="s">
        <v>8621</v>
      </c>
      <c r="M1676">
        <v>3.3000000000000002E-2</v>
      </c>
    </row>
    <row r="1677" spans="1:13" x14ac:dyDescent="0.25">
      <c r="A1677" t="s">
        <v>8622</v>
      </c>
      <c r="B1677">
        <v>63986</v>
      </c>
      <c r="C1677">
        <v>7808725405246</v>
      </c>
      <c r="D1677">
        <v>119.9</v>
      </c>
      <c r="E1677">
        <v>84.97</v>
      </c>
      <c r="F1677">
        <v>19.16</v>
      </c>
      <c r="G1677">
        <v>55.866300000000003</v>
      </c>
      <c r="H1677">
        <v>0</v>
      </c>
      <c r="K1677">
        <v>63986</v>
      </c>
      <c r="L1677" t="s">
        <v>8622</v>
      </c>
      <c r="M1677">
        <v>0</v>
      </c>
    </row>
    <row r="1678" spans="1:13" x14ac:dyDescent="0.25">
      <c r="A1678" t="s">
        <v>8623</v>
      </c>
      <c r="B1678">
        <v>63987</v>
      </c>
      <c r="C1678">
        <v>7808725401453</v>
      </c>
      <c r="D1678">
        <v>119.9</v>
      </c>
      <c r="E1678">
        <v>85.11</v>
      </c>
      <c r="F1678">
        <v>19.059999999999999</v>
      </c>
      <c r="G1678">
        <v>55.978700000000003</v>
      </c>
      <c r="H1678">
        <v>0</v>
      </c>
      <c r="K1678">
        <v>63987</v>
      </c>
      <c r="L1678" t="s">
        <v>8623</v>
      </c>
      <c r="M1678">
        <v>0</v>
      </c>
    </row>
    <row r="1679" spans="1:13" x14ac:dyDescent="0.25">
      <c r="A1679" t="s">
        <v>8624</v>
      </c>
      <c r="B1679">
        <v>35825</v>
      </c>
      <c r="C1679">
        <v>7808725400135</v>
      </c>
      <c r="D1679">
        <v>79.900000000000006</v>
      </c>
      <c r="E1679">
        <v>45.35</v>
      </c>
      <c r="F1679">
        <v>28.31</v>
      </c>
      <c r="G1679">
        <v>29.911200000000001</v>
      </c>
      <c r="H1679">
        <v>0.16700000000000001</v>
      </c>
      <c r="K1679">
        <v>35825</v>
      </c>
      <c r="L1679" t="s">
        <v>8624</v>
      </c>
      <c r="M1679">
        <v>0.13300000000000001</v>
      </c>
    </row>
    <row r="1680" spans="1:13" x14ac:dyDescent="0.25">
      <c r="A1680" t="s">
        <v>8625</v>
      </c>
      <c r="B1680">
        <v>35822</v>
      </c>
      <c r="C1680">
        <v>7808725400166</v>
      </c>
      <c r="D1680">
        <v>79.900000000000006</v>
      </c>
      <c r="E1680">
        <v>44.3</v>
      </c>
      <c r="F1680">
        <v>28.91</v>
      </c>
      <c r="G1680">
        <v>29.4389</v>
      </c>
      <c r="H1680">
        <v>0</v>
      </c>
      <c r="K1680">
        <v>35822</v>
      </c>
      <c r="L1680" t="s">
        <v>8625</v>
      </c>
      <c r="M1680">
        <v>0</v>
      </c>
    </row>
    <row r="1681" spans="1:13" x14ac:dyDescent="0.25">
      <c r="A1681" t="s">
        <v>8626</v>
      </c>
      <c r="B1681">
        <v>55135</v>
      </c>
      <c r="C1681">
        <v>7808725400838</v>
      </c>
      <c r="D1681">
        <v>79.900000000000006</v>
      </c>
      <c r="E1681">
        <v>54.62</v>
      </c>
      <c r="F1681">
        <v>20.8</v>
      </c>
      <c r="G1681">
        <v>35.912300000000002</v>
      </c>
      <c r="H1681">
        <v>0</v>
      </c>
      <c r="K1681">
        <v>55135</v>
      </c>
      <c r="L1681" t="s">
        <v>8626</v>
      </c>
      <c r="M1681">
        <v>0</v>
      </c>
    </row>
    <row r="1682" spans="1:13" x14ac:dyDescent="0.25">
      <c r="A1682" t="s">
        <v>8627</v>
      </c>
      <c r="B1682">
        <v>55149</v>
      </c>
      <c r="C1682">
        <v>7808725401606</v>
      </c>
      <c r="D1682">
        <v>79.900000000000006</v>
      </c>
      <c r="E1682">
        <v>45.75</v>
      </c>
      <c r="F1682">
        <v>28.1</v>
      </c>
      <c r="G1682">
        <v>30.078800000000001</v>
      </c>
      <c r="H1682">
        <v>0.13300000000000001</v>
      </c>
      <c r="K1682">
        <v>55149</v>
      </c>
      <c r="L1682" t="s">
        <v>8627</v>
      </c>
      <c r="M1682">
        <v>0.13300000000000001</v>
      </c>
    </row>
    <row r="1683" spans="1:13" x14ac:dyDescent="0.25">
      <c r="A1683" t="s">
        <v>8628</v>
      </c>
      <c r="B1683">
        <v>36362</v>
      </c>
      <c r="C1683">
        <v>7808725400258</v>
      </c>
      <c r="D1683">
        <v>79.900000000000006</v>
      </c>
      <c r="E1683">
        <v>44.75</v>
      </c>
      <c r="F1683">
        <v>28.42</v>
      </c>
      <c r="G1683">
        <v>29.825500000000002</v>
      </c>
      <c r="H1683">
        <v>0.13300000000000001</v>
      </c>
      <c r="K1683">
        <v>36362</v>
      </c>
      <c r="L1683" t="s">
        <v>8628</v>
      </c>
      <c r="M1683">
        <v>0.13300000000000001</v>
      </c>
    </row>
    <row r="1684" spans="1:13" x14ac:dyDescent="0.25">
      <c r="A1684" t="s">
        <v>8629</v>
      </c>
      <c r="B1684">
        <v>67460</v>
      </c>
      <c r="C1684">
        <v>7808725411681</v>
      </c>
      <c r="D1684">
        <v>59.9</v>
      </c>
      <c r="E1684">
        <v>36.78</v>
      </c>
      <c r="F1684">
        <v>25.81</v>
      </c>
      <c r="G1684">
        <v>23.9236</v>
      </c>
      <c r="H1684">
        <v>0.33300000000000002</v>
      </c>
      <c r="K1684">
        <v>67460</v>
      </c>
      <c r="L1684" t="s">
        <v>8629</v>
      </c>
      <c r="M1684">
        <v>0.16700000000000001</v>
      </c>
    </row>
    <row r="1685" spans="1:13" x14ac:dyDescent="0.25">
      <c r="A1685" t="s">
        <v>8630</v>
      </c>
      <c r="B1685">
        <v>61817</v>
      </c>
      <c r="C1685">
        <v>7808725405666</v>
      </c>
      <c r="D1685">
        <v>79.900000000000006</v>
      </c>
      <c r="E1685">
        <v>45.49</v>
      </c>
      <c r="F1685">
        <v>28.28</v>
      </c>
      <c r="G1685">
        <v>29.938400000000001</v>
      </c>
      <c r="H1685">
        <v>0</v>
      </c>
      <c r="K1685">
        <v>61817</v>
      </c>
      <c r="L1685" t="s">
        <v>8630</v>
      </c>
      <c r="M1685">
        <v>0</v>
      </c>
    </row>
    <row r="1686" spans="1:13" x14ac:dyDescent="0.25">
      <c r="A1686" t="s">
        <v>8631</v>
      </c>
      <c r="B1686">
        <v>61816</v>
      </c>
      <c r="C1686">
        <v>7808725406717</v>
      </c>
      <c r="D1686">
        <v>79.900000000000006</v>
      </c>
      <c r="E1686">
        <v>40.78</v>
      </c>
      <c r="F1686">
        <v>30.89</v>
      </c>
      <c r="G1686">
        <v>27.853999999999999</v>
      </c>
      <c r="H1686">
        <v>0</v>
      </c>
      <c r="K1686">
        <v>61816</v>
      </c>
      <c r="L1686" t="s">
        <v>8631</v>
      </c>
      <c r="M1686">
        <v>0</v>
      </c>
    </row>
    <row r="1687" spans="1:13" x14ac:dyDescent="0.25">
      <c r="A1687" t="s">
        <v>8632</v>
      </c>
      <c r="B1687">
        <v>63984</v>
      </c>
      <c r="C1687">
        <v>7808725402504</v>
      </c>
      <c r="D1687">
        <v>359.9</v>
      </c>
      <c r="E1687">
        <v>255.47</v>
      </c>
      <c r="F1687">
        <v>19.079999999999998</v>
      </c>
      <c r="G1687">
        <v>167.9709</v>
      </c>
      <c r="H1687">
        <v>0</v>
      </c>
      <c r="K1687">
        <v>63984</v>
      </c>
      <c r="L1687" t="s">
        <v>8632</v>
      </c>
      <c r="M1687">
        <v>0</v>
      </c>
    </row>
    <row r="1688" spans="1:13" x14ac:dyDescent="0.25">
      <c r="A1688" t="s">
        <v>8633</v>
      </c>
      <c r="B1688">
        <v>23516</v>
      </c>
      <c r="C1688">
        <v>5601531118124</v>
      </c>
      <c r="D1688">
        <v>69.900000000000006</v>
      </c>
      <c r="E1688">
        <v>50.01</v>
      </c>
      <c r="F1688">
        <v>16.920000000000002</v>
      </c>
      <c r="G1688">
        <v>34.1342</v>
      </c>
      <c r="H1688">
        <v>3.3000000000000002E-2</v>
      </c>
      <c r="K1688">
        <v>23516</v>
      </c>
      <c r="L1688" t="s">
        <v>8633</v>
      </c>
      <c r="M1688">
        <v>3.3000000000000002E-2</v>
      </c>
    </row>
    <row r="1689" spans="1:13" x14ac:dyDescent="0.25">
      <c r="A1689" t="s">
        <v>8634</v>
      </c>
      <c r="B1689">
        <v>59589</v>
      </c>
      <c r="C1689">
        <v>5601448250641</v>
      </c>
      <c r="D1689">
        <v>69.900000000000006</v>
      </c>
      <c r="E1689">
        <v>30.07</v>
      </c>
      <c r="F1689">
        <v>38.659999999999997</v>
      </c>
      <c r="G1689">
        <v>18.938300000000002</v>
      </c>
      <c r="H1689">
        <v>0.53300000000000003</v>
      </c>
      <c r="K1689">
        <v>59589</v>
      </c>
      <c r="L1689" t="s">
        <v>8634</v>
      </c>
      <c r="M1689">
        <v>0.13300000000000001</v>
      </c>
    </row>
    <row r="1690" spans="1:13" x14ac:dyDescent="0.25">
      <c r="A1690" t="s">
        <v>8635</v>
      </c>
      <c r="B1690">
        <v>59588</v>
      </c>
      <c r="C1690">
        <v>5601448207126</v>
      </c>
      <c r="D1690">
        <v>39.9</v>
      </c>
      <c r="E1690">
        <v>16.62</v>
      </c>
      <c r="F1690">
        <v>38.49</v>
      </c>
      <c r="G1690">
        <v>10.875500000000001</v>
      </c>
      <c r="H1690">
        <v>0.8</v>
      </c>
      <c r="K1690">
        <v>59588</v>
      </c>
      <c r="L1690" t="s">
        <v>8635</v>
      </c>
      <c r="M1690">
        <v>0.76700000000000002</v>
      </c>
    </row>
    <row r="1691" spans="1:13" x14ac:dyDescent="0.25">
      <c r="A1691" t="s">
        <v>8636</v>
      </c>
      <c r="B1691">
        <v>59585</v>
      </c>
      <c r="C1691">
        <v>5601448206624</v>
      </c>
      <c r="D1691">
        <v>39.9</v>
      </c>
      <c r="E1691">
        <v>17.559999999999999</v>
      </c>
      <c r="F1691">
        <v>36.82</v>
      </c>
      <c r="G1691">
        <v>11.543799999999999</v>
      </c>
      <c r="H1691">
        <v>7.867</v>
      </c>
      <c r="K1691">
        <v>59585</v>
      </c>
      <c r="L1691" t="s">
        <v>8636</v>
      </c>
      <c r="M1691">
        <v>3.8</v>
      </c>
    </row>
    <row r="1692" spans="1:13" x14ac:dyDescent="0.25">
      <c r="A1692" t="s">
        <v>8637</v>
      </c>
      <c r="B1692">
        <v>59586</v>
      </c>
      <c r="C1692">
        <v>5601448206600</v>
      </c>
      <c r="D1692">
        <v>39.9</v>
      </c>
      <c r="E1692">
        <v>23.79</v>
      </c>
      <c r="F1692">
        <v>26.55</v>
      </c>
      <c r="G1692">
        <v>15.640599999999999</v>
      </c>
      <c r="H1692">
        <v>6.7000000000000004E-2</v>
      </c>
      <c r="K1692">
        <v>59586</v>
      </c>
      <c r="L1692" t="s">
        <v>8637</v>
      </c>
      <c r="M1692">
        <v>6.7000000000000004E-2</v>
      </c>
    </row>
    <row r="1693" spans="1:13" x14ac:dyDescent="0.25">
      <c r="A1693" t="s">
        <v>8638</v>
      </c>
      <c r="B1693">
        <v>59590</v>
      </c>
      <c r="C1693">
        <v>5601448201001</v>
      </c>
      <c r="D1693">
        <v>39.9</v>
      </c>
      <c r="E1693">
        <v>19.53</v>
      </c>
      <c r="F1693">
        <v>33.590000000000003</v>
      </c>
      <c r="G1693">
        <v>12.8314</v>
      </c>
      <c r="H1693">
        <v>4.1669999999999998</v>
      </c>
      <c r="K1693">
        <v>59590</v>
      </c>
      <c r="L1693" t="s">
        <v>8638</v>
      </c>
      <c r="M1693">
        <v>1.867</v>
      </c>
    </row>
    <row r="1694" spans="1:13" x14ac:dyDescent="0.25">
      <c r="A1694" t="s">
        <v>8639</v>
      </c>
      <c r="B1694">
        <v>62002</v>
      </c>
      <c r="C1694">
        <v>7808731405315</v>
      </c>
      <c r="D1694">
        <v>99.9</v>
      </c>
      <c r="E1694">
        <v>62.5</v>
      </c>
      <c r="F1694">
        <v>29.43</v>
      </c>
      <c r="G1694">
        <v>36.279299999999999</v>
      </c>
      <c r="H1694">
        <v>0</v>
      </c>
      <c r="K1694">
        <v>62002</v>
      </c>
      <c r="L1694" t="s">
        <v>8639</v>
      </c>
      <c r="M1694">
        <v>0</v>
      </c>
    </row>
    <row r="1695" spans="1:13" x14ac:dyDescent="0.25">
      <c r="A1695" t="s">
        <v>8640</v>
      </c>
      <c r="B1695">
        <v>61999</v>
      </c>
      <c r="C1695">
        <v>7808731405322</v>
      </c>
      <c r="D1695">
        <v>99.9</v>
      </c>
      <c r="E1695">
        <v>58.96</v>
      </c>
      <c r="F1695">
        <v>26.95</v>
      </c>
      <c r="G1695">
        <v>38.756799999999998</v>
      </c>
      <c r="H1695">
        <v>0</v>
      </c>
      <c r="K1695">
        <v>61999</v>
      </c>
      <c r="L1695" t="s">
        <v>8640</v>
      </c>
      <c r="M1695">
        <v>0</v>
      </c>
    </row>
    <row r="1696" spans="1:13" x14ac:dyDescent="0.25">
      <c r="A1696" t="s">
        <v>8641</v>
      </c>
      <c r="B1696">
        <v>69770</v>
      </c>
      <c r="C1696">
        <v>5604026999871</v>
      </c>
      <c r="D1696">
        <v>139.9</v>
      </c>
      <c r="E1696">
        <v>99.29</v>
      </c>
      <c r="F1696">
        <v>19.09</v>
      </c>
      <c r="G1696">
        <v>65.281099999999995</v>
      </c>
      <c r="H1696">
        <v>0</v>
      </c>
      <c r="K1696">
        <v>69770</v>
      </c>
      <c r="L1696" t="s">
        <v>8641</v>
      </c>
      <c r="M1696">
        <v>0</v>
      </c>
    </row>
    <row r="1697" spans="1:13" x14ac:dyDescent="0.25">
      <c r="A1697" t="s">
        <v>8642</v>
      </c>
      <c r="B1697">
        <v>69769</v>
      </c>
      <c r="C1697">
        <v>5604026999949</v>
      </c>
      <c r="D1697">
        <v>69.900000000000006</v>
      </c>
      <c r="E1697">
        <v>49.31</v>
      </c>
      <c r="F1697">
        <v>19.38</v>
      </c>
      <c r="G1697">
        <v>32.415799999999997</v>
      </c>
      <c r="H1697">
        <v>0</v>
      </c>
      <c r="K1697">
        <v>69769</v>
      </c>
      <c r="L1697" t="s">
        <v>8642</v>
      </c>
      <c r="M1697">
        <v>0</v>
      </c>
    </row>
    <row r="1698" spans="1:13" x14ac:dyDescent="0.25">
      <c r="A1698" t="s">
        <v>8643</v>
      </c>
      <c r="B1698">
        <v>64860</v>
      </c>
      <c r="C1698">
        <v>8001935353201</v>
      </c>
      <c r="D1698">
        <v>169.9</v>
      </c>
      <c r="E1698">
        <v>81.25</v>
      </c>
      <c r="F1698">
        <v>34.31</v>
      </c>
      <c r="G1698">
        <v>53.417900000000003</v>
      </c>
      <c r="H1698">
        <v>3.3000000000000002E-2</v>
      </c>
      <c r="K1698">
        <v>64860</v>
      </c>
      <c r="L1698" t="s">
        <v>8643</v>
      </c>
      <c r="M1698">
        <v>3.3000000000000002E-2</v>
      </c>
    </row>
    <row r="1699" spans="1:13" x14ac:dyDescent="0.25">
      <c r="A1699" t="s">
        <v>8644</v>
      </c>
      <c r="B1699">
        <v>64861</v>
      </c>
      <c r="C1699">
        <v>8001935221425</v>
      </c>
      <c r="D1699">
        <v>240.96</v>
      </c>
      <c r="E1699">
        <v>117.75</v>
      </c>
      <c r="F1699">
        <v>33.57</v>
      </c>
      <c r="G1699">
        <v>77.531400000000005</v>
      </c>
      <c r="H1699">
        <v>0.433</v>
      </c>
      <c r="K1699">
        <v>64861</v>
      </c>
      <c r="L1699" t="s">
        <v>8644</v>
      </c>
      <c r="M1699">
        <v>3.3000000000000002E-2</v>
      </c>
    </row>
    <row r="1700" spans="1:13" x14ac:dyDescent="0.25">
      <c r="A1700" t="s">
        <v>8645</v>
      </c>
      <c r="B1700">
        <v>29004</v>
      </c>
      <c r="C1700">
        <v>8006114000075</v>
      </c>
      <c r="D1700">
        <v>539.9</v>
      </c>
      <c r="E1700">
        <v>371.62</v>
      </c>
      <c r="F1700">
        <v>20.170000000000002</v>
      </c>
      <c r="G1700">
        <v>246.09800000000001</v>
      </c>
      <c r="H1700">
        <v>0</v>
      </c>
      <c r="K1700">
        <v>29004</v>
      </c>
      <c r="L1700" t="s">
        <v>8645</v>
      </c>
      <c r="M1700">
        <v>0</v>
      </c>
    </row>
    <row r="1701" spans="1:13" x14ac:dyDescent="0.25">
      <c r="A1701" t="s">
        <v>8646</v>
      </c>
      <c r="B1701">
        <v>29804</v>
      </c>
      <c r="C1701">
        <v>7898276971086</v>
      </c>
      <c r="D1701">
        <v>299.99</v>
      </c>
      <c r="E1701">
        <v>204.51</v>
      </c>
      <c r="F1701">
        <v>20.93</v>
      </c>
      <c r="G1701">
        <v>134.46729999999999</v>
      </c>
      <c r="H1701">
        <v>0</v>
      </c>
      <c r="K1701">
        <v>29804</v>
      </c>
      <c r="L1701" t="s">
        <v>8646</v>
      </c>
      <c r="M1701">
        <v>0</v>
      </c>
    </row>
    <row r="1702" spans="1:13" x14ac:dyDescent="0.25">
      <c r="A1702" t="s">
        <v>8647</v>
      </c>
      <c r="B1702">
        <v>57769</v>
      </c>
      <c r="C1702">
        <v>8423954260573</v>
      </c>
      <c r="D1702">
        <v>599.9</v>
      </c>
      <c r="E1702">
        <v>397.97</v>
      </c>
      <c r="F1702">
        <v>22.13</v>
      </c>
      <c r="G1702">
        <v>261.6669</v>
      </c>
      <c r="H1702">
        <v>0</v>
      </c>
      <c r="K1702">
        <v>57769</v>
      </c>
      <c r="L1702" t="s">
        <v>8647</v>
      </c>
      <c r="M1702">
        <v>0</v>
      </c>
    </row>
    <row r="1703" spans="1:13" x14ac:dyDescent="0.25">
      <c r="A1703" t="s">
        <v>8648</v>
      </c>
      <c r="B1703">
        <v>63451</v>
      </c>
      <c r="C1703">
        <v>8436572381834</v>
      </c>
      <c r="D1703">
        <v>99.9</v>
      </c>
      <c r="E1703">
        <v>59</v>
      </c>
      <c r="F1703">
        <v>26.92</v>
      </c>
      <c r="G1703">
        <v>38.792499999999997</v>
      </c>
      <c r="H1703">
        <v>0</v>
      </c>
      <c r="K1703">
        <v>63451</v>
      </c>
      <c r="L1703" t="s">
        <v>8648</v>
      </c>
      <c r="M1703">
        <v>0</v>
      </c>
    </row>
    <row r="1704" spans="1:13" x14ac:dyDescent="0.25">
      <c r="A1704" t="s">
        <v>8649</v>
      </c>
      <c r="B1704">
        <v>63450</v>
      </c>
      <c r="C1704">
        <v>8436572381827</v>
      </c>
      <c r="D1704">
        <v>69.900000000000006</v>
      </c>
      <c r="E1704">
        <v>46</v>
      </c>
      <c r="F1704">
        <v>22.48</v>
      </c>
      <c r="G1704">
        <v>30.245000000000001</v>
      </c>
      <c r="H1704">
        <v>0</v>
      </c>
      <c r="K1704">
        <v>63450</v>
      </c>
      <c r="L1704" t="s">
        <v>8649</v>
      </c>
      <c r="M1704">
        <v>0</v>
      </c>
    </row>
    <row r="1705" spans="1:13" x14ac:dyDescent="0.25">
      <c r="A1705" t="s">
        <v>8650</v>
      </c>
      <c r="B1705">
        <v>57768</v>
      </c>
      <c r="C1705">
        <v>8423954260061</v>
      </c>
      <c r="D1705">
        <v>799.9</v>
      </c>
      <c r="E1705">
        <v>466.85</v>
      </c>
      <c r="F1705">
        <v>27.55</v>
      </c>
      <c r="G1705">
        <v>305.5421</v>
      </c>
      <c r="H1705">
        <v>0</v>
      </c>
      <c r="K1705">
        <v>57768</v>
      </c>
      <c r="L1705" t="s">
        <v>8650</v>
      </c>
      <c r="M1705">
        <v>0</v>
      </c>
    </row>
    <row r="1706" spans="1:13" x14ac:dyDescent="0.25">
      <c r="A1706" t="s">
        <v>8651</v>
      </c>
      <c r="B1706">
        <v>63818</v>
      </c>
      <c r="C1706">
        <v>8429744000480</v>
      </c>
      <c r="D1706">
        <v>99.9</v>
      </c>
      <c r="E1706">
        <v>34.840000000000003</v>
      </c>
      <c r="F1706">
        <v>42.82</v>
      </c>
      <c r="G1706">
        <v>22.905799999999999</v>
      </c>
      <c r="H1706">
        <v>0.4</v>
      </c>
      <c r="K1706">
        <v>63818</v>
      </c>
      <c r="L1706" t="s">
        <v>8651</v>
      </c>
      <c r="M1706">
        <v>0</v>
      </c>
    </row>
    <row r="1707" spans="1:13" x14ac:dyDescent="0.25">
      <c r="A1707" t="s">
        <v>8652</v>
      </c>
      <c r="B1707">
        <v>63817</v>
      </c>
      <c r="C1707">
        <v>8429744000114</v>
      </c>
      <c r="D1707">
        <v>59.9</v>
      </c>
      <c r="E1707">
        <v>48.99</v>
      </c>
      <c r="F1707">
        <v>11.97</v>
      </c>
      <c r="G1707">
        <v>32.211599999999997</v>
      </c>
      <c r="H1707">
        <v>1.4</v>
      </c>
      <c r="K1707">
        <v>63817</v>
      </c>
      <c r="L1707" t="s">
        <v>8652</v>
      </c>
      <c r="M1707">
        <v>0</v>
      </c>
    </row>
    <row r="1708" spans="1:13" x14ac:dyDescent="0.25">
      <c r="A1708" t="s">
        <v>8653</v>
      </c>
      <c r="B1708">
        <v>63819</v>
      </c>
      <c r="C1708">
        <v>8429744000473</v>
      </c>
      <c r="D1708">
        <v>69.900000000000006</v>
      </c>
      <c r="E1708">
        <v>27.97</v>
      </c>
      <c r="F1708">
        <v>39.44</v>
      </c>
      <c r="G1708">
        <v>18.387899999999998</v>
      </c>
      <c r="H1708">
        <v>1.667</v>
      </c>
      <c r="K1708">
        <v>63819</v>
      </c>
      <c r="L1708" t="s">
        <v>8653</v>
      </c>
      <c r="M1708">
        <v>6.7000000000000004E-2</v>
      </c>
    </row>
    <row r="1709" spans="1:13" x14ac:dyDescent="0.25">
      <c r="A1709" t="s">
        <v>8654</v>
      </c>
      <c r="B1709">
        <v>33098</v>
      </c>
      <c r="C1709">
        <v>5602720094076</v>
      </c>
      <c r="D1709">
        <v>49.9</v>
      </c>
      <c r="E1709">
        <v>33.32</v>
      </c>
      <c r="F1709">
        <v>21.85</v>
      </c>
      <c r="G1709">
        <v>21.907299999999999</v>
      </c>
      <c r="H1709">
        <v>6.7000000000000004E-2</v>
      </c>
      <c r="K1709">
        <v>33098</v>
      </c>
      <c r="L1709" t="s">
        <v>8654</v>
      </c>
      <c r="M1709">
        <v>6.7000000000000004E-2</v>
      </c>
    </row>
    <row r="1710" spans="1:13" x14ac:dyDescent="0.25">
      <c r="A1710" t="s">
        <v>8655</v>
      </c>
      <c r="B1710">
        <v>58814</v>
      </c>
      <c r="C1710">
        <v>5604123000708</v>
      </c>
      <c r="D1710" s="1">
        <v>2699.9</v>
      </c>
      <c r="E1710" s="1">
        <v>1600.98</v>
      </c>
      <c r="F1710">
        <v>26.68</v>
      </c>
      <c r="G1710" s="1">
        <v>1054.7883999999999</v>
      </c>
      <c r="H1710">
        <v>0</v>
      </c>
      <c r="K1710">
        <v>58814</v>
      </c>
      <c r="L1710" t="s">
        <v>8655</v>
      </c>
      <c r="M1710">
        <v>0</v>
      </c>
    </row>
    <row r="1711" spans="1:13" x14ac:dyDescent="0.25">
      <c r="A1711" t="s">
        <v>8656</v>
      </c>
      <c r="B1711">
        <v>52997</v>
      </c>
      <c r="C1711">
        <v>5601007475706</v>
      </c>
      <c r="D1711">
        <v>669.9</v>
      </c>
      <c r="E1711">
        <v>478.43</v>
      </c>
      <c r="F1711">
        <v>18.79</v>
      </c>
      <c r="G1711">
        <v>314.57</v>
      </c>
      <c r="H1711">
        <v>0</v>
      </c>
      <c r="K1711">
        <v>52997</v>
      </c>
      <c r="L1711" t="s">
        <v>8656</v>
      </c>
      <c r="M1711">
        <v>0</v>
      </c>
    </row>
    <row r="1712" spans="1:13" x14ac:dyDescent="0.25">
      <c r="A1712" t="s">
        <v>8657</v>
      </c>
      <c r="B1712">
        <v>64295</v>
      </c>
      <c r="C1712">
        <v>7898266930987</v>
      </c>
      <c r="D1712">
        <v>22.9</v>
      </c>
      <c r="E1712">
        <v>16.45</v>
      </c>
      <c r="F1712">
        <v>18.55</v>
      </c>
      <c r="G1712">
        <v>10.8089</v>
      </c>
      <c r="H1712">
        <v>6.7000000000000004E-2</v>
      </c>
      <c r="K1712">
        <v>64295</v>
      </c>
      <c r="L1712" t="s">
        <v>8657</v>
      </c>
      <c r="M1712">
        <v>6.7000000000000004E-2</v>
      </c>
    </row>
    <row r="1713" spans="1:13" x14ac:dyDescent="0.25">
      <c r="A1713" t="s">
        <v>8658</v>
      </c>
      <c r="B1713">
        <v>62094</v>
      </c>
      <c r="C1713">
        <v>7898266930642</v>
      </c>
      <c r="D1713">
        <v>59.9</v>
      </c>
      <c r="E1713">
        <v>39.42</v>
      </c>
      <c r="F1713">
        <v>22.48</v>
      </c>
      <c r="G1713">
        <v>25.920400000000001</v>
      </c>
      <c r="H1713">
        <v>1.367</v>
      </c>
      <c r="K1713">
        <v>62094</v>
      </c>
      <c r="L1713" t="s">
        <v>8658</v>
      </c>
      <c r="M1713">
        <v>1.3</v>
      </c>
    </row>
    <row r="1714" spans="1:13" x14ac:dyDescent="0.25">
      <c r="A1714" t="s">
        <v>8659</v>
      </c>
      <c r="B1714">
        <v>64519</v>
      </c>
      <c r="C1714">
        <v>5281087100332</v>
      </c>
      <c r="D1714">
        <v>99.9</v>
      </c>
      <c r="E1714">
        <v>69.41</v>
      </c>
      <c r="F1714">
        <v>20.07</v>
      </c>
      <c r="G1714">
        <v>45.6374</v>
      </c>
      <c r="H1714">
        <v>0</v>
      </c>
      <c r="K1714">
        <v>64519</v>
      </c>
      <c r="L1714" t="s">
        <v>8659</v>
      </c>
      <c r="M1714">
        <v>0</v>
      </c>
    </row>
    <row r="1715" spans="1:13" x14ac:dyDescent="0.25">
      <c r="A1715" t="s">
        <v>8660</v>
      </c>
      <c r="B1715">
        <v>64520</v>
      </c>
      <c r="C1715">
        <v>5281087100318</v>
      </c>
      <c r="D1715">
        <v>99.9</v>
      </c>
      <c r="E1715">
        <v>69.41</v>
      </c>
      <c r="F1715">
        <v>20.07</v>
      </c>
      <c r="G1715">
        <v>45.636899999999997</v>
      </c>
      <c r="H1715">
        <v>3.3000000000000002E-2</v>
      </c>
      <c r="K1715">
        <v>64520</v>
      </c>
      <c r="L1715" t="s">
        <v>8660</v>
      </c>
      <c r="M1715">
        <v>3.3000000000000002E-2</v>
      </c>
    </row>
    <row r="1716" spans="1:13" x14ac:dyDescent="0.25">
      <c r="A1716" t="s">
        <v>8661</v>
      </c>
      <c r="B1716">
        <v>64517</v>
      </c>
      <c r="C1716">
        <v>5281087100264</v>
      </c>
      <c r="D1716">
        <v>149.9</v>
      </c>
      <c r="E1716">
        <v>95.91</v>
      </c>
      <c r="F1716">
        <v>23.68</v>
      </c>
      <c r="G1716">
        <v>63.060600000000001</v>
      </c>
      <c r="H1716">
        <v>0</v>
      </c>
      <c r="K1716">
        <v>64517</v>
      </c>
      <c r="L1716" t="s">
        <v>8661</v>
      </c>
      <c r="M1716">
        <v>0</v>
      </c>
    </row>
    <row r="1717" spans="1:13" x14ac:dyDescent="0.25">
      <c r="A1717" t="s">
        <v>8662</v>
      </c>
      <c r="B1717">
        <v>64514</v>
      </c>
      <c r="C1717">
        <v>5281087022528</v>
      </c>
      <c r="D1717">
        <v>299.89999999999998</v>
      </c>
      <c r="E1717">
        <v>188.7</v>
      </c>
      <c r="F1717">
        <v>24.38</v>
      </c>
      <c r="G1717">
        <v>124.071</v>
      </c>
      <c r="H1717">
        <v>0</v>
      </c>
      <c r="K1717">
        <v>64514</v>
      </c>
      <c r="L1717" t="s">
        <v>8662</v>
      </c>
      <c r="M1717">
        <v>0</v>
      </c>
    </row>
    <row r="1718" spans="1:13" x14ac:dyDescent="0.25">
      <c r="A1718" t="s">
        <v>8663</v>
      </c>
      <c r="B1718">
        <v>64518</v>
      </c>
      <c r="C1718">
        <v>5281087100349</v>
      </c>
      <c r="D1718">
        <v>149.9</v>
      </c>
      <c r="E1718">
        <v>95.9</v>
      </c>
      <c r="F1718">
        <v>23.69</v>
      </c>
      <c r="G1718">
        <v>63.052799999999998</v>
      </c>
      <c r="H1718">
        <v>0</v>
      </c>
      <c r="K1718">
        <v>64518</v>
      </c>
      <c r="L1718" t="s">
        <v>8663</v>
      </c>
      <c r="M1718">
        <v>0</v>
      </c>
    </row>
    <row r="1719" spans="1:13" x14ac:dyDescent="0.25">
      <c r="A1719" t="s">
        <v>8664</v>
      </c>
      <c r="B1719">
        <v>64515</v>
      </c>
      <c r="C1719">
        <v>5281087022542</v>
      </c>
      <c r="D1719">
        <v>219.9</v>
      </c>
      <c r="E1719">
        <v>135.68</v>
      </c>
      <c r="F1719">
        <v>25.18</v>
      </c>
      <c r="G1719">
        <v>89.212400000000002</v>
      </c>
      <c r="H1719">
        <v>0</v>
      </c>
      <c r="K1719">
        <v>64515</v>
      </c>
      <c r="L1719" t="s">
        <v>8664</v>
      </c>
      <c r="M1719">
        <v>0</v>
      </c>
    </row>
    <row r="1720" spans="1:13" x14ac:dyDescent="0.25">
      <c r="A1720" t="s">
        <v>8665</v>
      </c>
      <c r="B1720">
        <v>64513</v>
      </c>
      <c r="C1720">
        <v>5281087022566</v>
      </c>
      <c r="D1720">
        <v>749.9</v>
      </c>
      <c r="E1720">
        <v>467.04</v>
      </c>
      <c r="F1720">
        <v>24.8</v>
      </c>
      <c r="G1720">
        <v>307.0763</v>
      </c>
      <c r="H1720">
        <v>0</v>
      </c>
      <c r="K1720">
        <v>64513</v>
      </c>
      <c r="L1720" t="s">
        <v>8665</v>
      </c>
      <c r="M1720">
        <v>0</v>
      </c>
    </row>
    <row r="1721" spans="1:13" x14ac:dyDescent="0.25">
      <c r="A1721" t="s">
        <v>8666</v>
      </c>
      <c r="B1721">
        <v>64516</v>
      </c>
      <c r="C1721">
        <v>5281087100356</v>
      </c>
      <c r="D1721">
        <v>149.9</v>
      </c>
      <c r="E1721">
        <v>95.91</v>
      </c>
      <c r="F1721">
        <v>23.68</v>
      </c>
      <c r="G1721">
        <v>63.061300000000003</v>
      </c>
      <c r="H1721">
        <v>0</v>
      </c>
      <c r="K1721">
        <v>64516</v>
      </c>
      <c r="L1721" t="s">
        <v>8666</v>
      </c>
      <c r="M1721">
        <v>0</v>
      </c>
    </row>
    <row r="1722" spans="1:13" x14ac:dyDescent="0.25">
      <c r="A1722" t="s">
        <v>8667</v>
      </c>
      <c r="B1722">
        <v>64521</v>
      </c>
      <c r="C1722">
        <v>5281087100783</v>
      </c>
      <c r="D1722">
        <v>149.9</v>
      </c>
      <c r="E1722">
        <v>95.91</v>
      </c>
      <c r="F1722">
        <v>23.68</v>
      </c>
      <c r="G1722">
        <v>63.061199999999999</v>
      </c>
      <c r="H1722">
        <v>0</v>
      </c>
      <c r="K1722">
        <v>64521</v>
      </c>
      <c r="L1722" t="s">
        <v>8667</v>
      </c>
      <c r="M1722">
        <v>0</v>
      </c>
    </row>
    <row r="1723" spans="1:13" x14ac:dyDescent="0.25">
      <c r="A1723" t="s">
        <v>8668</v>
      </c>
      <c r="B1723">
        <v>46797</v>
      </c>
      <c r="C1723">
        <v>86003841857</v>
      </c>
      <c r="D1723">
        <v>99.9</v>
      </c>
      <c r="E1723">
        <v>67.89</v>
      </c>
      <c r="F1723">
        <v>21.06</v>
      </c>
      <c r="G1723">
        <v>44.640599999999999</v>
      </c>
      <c r="H1723">
        <v>0</v>
      </c>
      <c r="K1723">
        <v>46797</v>
      </c>
      <c r="L1723" t="s">
        <v>8668</v>
      </c>
      <c r="M1723">
        <v>0</v>
      </c>
    </row>
    <row r="1724" spans="1:13" x14ac:dyDescent="0.25">
      <c r="A1724" t="s">
        <v>8669</v>
      </c>
      <c r="B1724">
        <v>46799</v>
      </c>
      <c r="C1724">
        <v>86003820043</v>
      </c>
      <c r="D1724">
        <v>99.9</v>
      </c>
      <c r="E1724">
        <v>67.89</v>
      </c>
      <c r="F1724">
        <v>21.06</v>
      </c>
      <c r="G1724">
        <v>44.640599999999999</v>
      </c>
      <c r="H1724">
        <v>0</v>
      </c>
      <c r="K1724">
        <v>46799</v>
      </c>
      <c r="L1724" t="s">
        <v>8669</v>
      </c>
      <c r="M1724">
        <v>0</v>
      </c>
    </row>
    <row r="1725" spans="1:13" x14ac:dyDescent="0.25">
      <c r="A1725" t="s">
        <v>8670</v>
      </c>
      <c r="B1725">
        <v>46798</v>
      </c>
      <c r="C1725">
        <v>86003820029</v>
      </c>
      <c r="D1725">
        <v>99.9</v>
      </c>
      <c r="E1725">
        <v>69.17</v>
      </c>
      <c r="F1725">
        <v>19.14</v>
      </c>
      <c r="G1725">
        <v>46.562899999999999</v>
      </c>
      <c r="H1725">
        <v>0</v>
      </c>
      <c r="K1725">
        <v>46798</v>
      </c>
      <c r="L1725" t="s">
        <v>8670</v>
      </c>
      <c r="M1725">
        <v>0</v>
      </c>
    </row>
    <row r="1726" spans="1:13" x14ac:dyDescent="0.25">
      <c r="A1726" t="s">
        <v>8671</v>
      </c>
      <c r="B1726">
        <v>54725</v>
      </c>
      <c r="C1726">
        <v>7290005966033</v>
      </c>
      <c r="D1726">
        <v>139.9</v>
      </c>
      <c r="E1726">
        <v>78.02</v>
      </c>
      <c r="F1726">
        <v>29.08</v>
      </c>
      <c r="G1726">
        <v>51.298099999999998</v>
      </c>
      <c r="H1726">
        <v>0.2</v>
      </c>
      <c r="K1726">
        <v>54725</v>
      </c>
      <c r="L1726" t="s">
        <v>8671</v>
      </c>
      <c r="M1726">
        <v>6.7000000000000004E-2</v>
      </c>
    </row>
    <row r="1727" spans="1:13" x14ac:dyDescent="0.25">
      <c r="A1727" t="s">
        <v>8672</v>
      </c>
      <c r="B1727">
        <v>54724</v>
      </c>
      <c r="C1727">
        <v>7290005966088</v>
      </c>
      <c r="D1727">
        <v>139.9</v>
      </c>
      <c r="E1727">
        <v>72.489999999999995</v>
      </c>
      <c r="F1727">
        <v>31.54</v>
      </c>
      <c r="G1727">
        <v>47.860199999999999</v>
      </c>
      <c r="H1727">
        <v>0.73299999999999998</v>
      </c>
      <c r="K1727">
        <v>54724</v>
      </c>
      <c r="L1727" t="s">
        <v>8672</v>
      </c>
      <c r="M1727">
        <v>0.13300000000000001</v>
      </c>
    </row>
    <row r="1728" spans="1:13" x14ac:dyDescent="0.25">
      <c r="A1728" t="s">
        <v>8673</v>
      </c>
      <c r="B1728">
        <v>35816</v>
      </c>
      <c r="C1728">
        <v>9322214008988</v>
      </c>
      <c r="D1728">
        <v>87.7</v>
      </c>
      <c r="E1728">
        <v>38.020000000000003</v>
      </c>
      <c r="F1728">
        <v>37.43</v>
      </c>
      <c r="G1728">
        <v>24.8368</v>
      </c>
      <c r="H1728">
        <v>0.16700000000000001</v>
      </c>
      <c r="K1728">
        <v>35816</v>
      </c>
      <c r="L1728" t="s">
        <v>8673</v>
      </c>
      <c r="M1728">
        <v>3.3000000000000002E-2</v>
      </c>
    </row>
    <row r="1729" spans="1:13" x14ac:dyDescent="0.25">
      <c r="A1729" t="s">
        <v>8674</v>
      </c>
      <c r="B1729">
        <v>35824</v>
      </c>
      <c r="C1729">
        <v>9322214007387</v>
      </c>
      <c r="D1729">
        <v>87.83</v>
      </c>
      <c r="E1729">
        <v>53.61</v>
      </c>
      <c r="F1729">
        <v>25.68</v>
      </c>
      <c r="G1729">
        <v>35.194400000000002</v>
      </c>
      <c r="H1729">
        <v>1.5669999999999999</v>
      </c>
      <c r="K1729">
        <v>35824</v>
      </c>
      <c r="L1729" t="s">
        <v>8674</v>
      </c>
      <c r="M1729">
        <v>0.86699999999999999</v>
      </c>
    </row>
    <row r="1730" spans="1:13" x14ac:dyDescent="0.25">
      <c r="A1730" t="s">
        <v>8675</v>
      </c>
      <c r="B1730">
        <v>3188</v>
      </c>
      <c r="C1730">
        <v>9322214011407</v>
      </c>
      <c r="D1730">
        <v>85.96</v>
      </c>
      <c r="E1730">
        <v>44</v>
      </c>
      <c r="F1730">
        <v>30.4</v>
      </c>
      <c r="G1730">
        <v>30.388400000000001</v>
      </c>
      <c r="H1730">
        <v>0.23300000000000001</v>
      </c>
      <c r="K1730">
        <v>3188</v>
      </c>
      <c r="L1730" t="s">
        <v>8675</v>
      </c>
      <c r="M1730">
        <v>0.1</v>
      </c>
    </row>
    <row r="1731" spans="1:13" x14ac:dyDescent="0.25">
      <c r="A1731" t="s">
        <v>8676</v>
      </c>
      <c r="B1731">
        <v>3189</v>
      </c>
      <c r="C1731">
        <v>9322214011414</v>
      </c>
      <c r="D1731">
        <v>85.18</v>
      </c>
      <c r="E1731">
        <v>43.22</v>
      </c>
      <c r="F1731">
        <v>30.68</v>
      </c>
      <c r="G1731">
        <v>29.8752</v>
      </c>
      <c r="H1731">
        <v>0.13300000000000001</v>
      </c>
      <c r="K1731">
        <v>3189</v>
      </c>
      <c r="L1731" t="s">
        <v>8676</v>
      </c>
      <c r="M1731">
        <v>0.1</v>
      </c>
    </row>
    <row r="1732" spans="1:13" x14ac:dyDescent="0.25">
      <c r="A1732" t="s">
        <v>8677</v>
      </c>
      <c r="B1732">
        <v>35823</v>
      </c>
      <c r="C1732">
        <v>9322214007400</v>
      </c>
      <c r="D1732">
        <v>85.87</v>
      </c>
      <c r="E1732">
        <v>37.979999999999997</v>
      </c>
      <c r="F1732">
        <v>36.93</v>
      </c>
      <c r="G1732">
        <v>24.744399999999999</v>
      </c>
      <c r="H1732">
        <v>0.8</v>
      </c>
      <c r="K1732">
        <v>35823</v>
      </c>
      <c r="L1732" t="s">
        <v>8677</v>
      </c>
      <c r="M1732">
        <v>0.13300000000000001</v>
      </c>
    </row>
    <row r="1733" spans="1:13" x14ac:dyDescent="0.25">
      <c r="A1733" t="s">
        <v>8678</v>
      </c>
      <c r="B1733">
        <v>11432</v>
      </c>
      <c r="C1733">
        <v>7891050005328</v>
      </c>
      <c r="D1733">
        <v>119.9</v>
      </c>
      <c r="E1733">
        <v>80.95</v>
      </c>
      <c r="F1733">
        <v>29.59</v>
      </c>
      <c r="G1733">
        <v>73.335999999999999</v>
      </c>
      <c r="H1733">
        <v>0.6</v>
      </c>
      <c r="K1733">
        <v>11432</v>
      </c>
      <c r="L1733" t="s">
        <v>8678</v>
      </c>
      <c r="M1733">
        <v>0.5</v>
      </c>
    </row>
    <row r="1734" spans="1:13" x14ac:dyDescent="0.25">
      <c r="A1734" t="s">
        <v>8679</v>
      </c>
      <c r="B1734">
        <v>45790</v>
      </c>
      <c r="C1734">
        <v>7312040017010</v>
      </c>
      <c r="D1734">
        <v>99.9</v>
      </c>
      <c r="E1734">
        <v>72.31</v>
      </c>
      <c r="F1734">
        <v>23.06</v>
      </c>
      <c r="G1734">
        <v>67.620900000000006</v>
      </c>
      <c r="H1734">
        <v>0.76700000000000002</v>
      </c>
      <c r="K1734">
        <v>45790</v>
      </c>
      <c r="L1734" t="s">
        <v>8679</v>
      </c>
      <c r="M1734">
        <v>0.7</v>
      </c>
    </row>
    <row r="1735" spans="1:13" x14ac:dyDescent="0.25">
      <c r="A1735" t="s">
        <v>8680</v>
      </c>
      <c r="B1735">
        <v>45796</v>
      </c>
      <c r="C1735">
        <v>7312040090754</v>
      </c>
      <c r="D1735">
        <v>99.9</v>
      </c>
      <c r="E1735">
        <v>73.650000000000006</v>
      </c>
      <c r="F1735">
        <v>22.03</v>
      </c>
      <c r="G1735">
        <v>68.651600000000002</v>
      </c>
      <c r="H1735">
        <v>0.23300000000000001</v>
      </c>
      <c r="K1735">
        <v>45796</v>
      </c>
      <c r="L1735" t="s">
        <v>8680</v>
      </c>
      <c r="M1735">
        <v>0.13300000000000001</v>
      </c>
    </row>
    <row r="1736" spans="1:13" x14ac:dyDescent="0.25">
      <c r="A1736" t="s">
        <v>8681</v>
      </c>
      <c r="B1736">
        <v>45792</v>
      </c>
      <c r="C1736">
        <v>7312040350117</v>
      </c>
      <c r="D1736">
        <v>99.9</v>
      </c>
      <c r="E1736">
        <v>76.430000000000007</v>
      </c>
      <c r="F1736">
        <v>21.33</v>
      </c>
      <c r="G1736">
        <v>69.354799999999997</v>
      </c>
      <c r="H1736">
        <v>0.26700000000000002</v>
      </c>
      <c r="K1736">
        <v>45792</v>
      </c>
      <c r="L1736" t="s">
        <v>8681</v>
      </c>
      <c r="M1736">
        <v>0.16700000000000001</v>
      </c>
    </row>
    <row r="1737" spans="1:13" x14ac:dyDescent="0.25">
      <c r="A1737" t="s">
        <v>8682</v>
      </c>
      <c r="B1737">
        <v>47016</v>
      </c>
      <c r="C1737">
        <v>7312040217519</v>
      </c>
      <c r="D1737">
        <v>239.9</v>
      </c>
      <c r="E1737">
        <v>105.64</v>
      </c>
      <c r="F1737">
        <v>50.79</v>
      </c>
      <c r="G1737">
        <v>95.866100000000003</v>
      </c>
      <c r="H1737">
        <v>0</v>
      </c>
      <c r="K1737">
        <v>47016</v>
      </c>
      <c r="L1737" t="s">
        <v>8682</v>
      </c>
      <c r="M1737">
        <v>0</v>
      </c>
    </row>
    <row r="1738" spans="1:13" x14ac:dyDescent="0.25">
      <c r="A1738" t="s">
        <v>8683</v>
      </c>
      <c r="B1738">
        <v>60914</v>
      </c>
      <c r="C1738">
        <v>7312040006755</v>
      </c>
      <c r="D1738">
        <v>114.9</v>
      </c>
      <c r="E1738">
        <v>84.04</v>
      </c>
      <c r="F1738">
        <v>24.35</v>
      </c>
      <c r="G1738">
        <v>76.293999999999997</v>
      </c>
      <c r="H1738">
        <v>3.3000000000000002E-2</v>
      </c>
      <c r="K1738">
        <v>60914</v>
      </c>
      <c r="L1738" t="s">
        <v>8683</v>
      </c>
      <c r="M1738">
        <v>0</v>
      </c>
    </row>
    <row r="1739" spans="1:13" x14ac:dyDescent="0.25">
      <c r="A1739" t="s">
        <v>8684</v>
      </c>
      <c r="B1739">
        <v>60370</v>
      </c>
      <c r="C1739">
        <v>5010103932851</v>
      </c>
      <c r="D1739">
        <v>859.9</v>
      </c>
      <c r="E1739">
        <v>571.42999999999995</v>
      </c>
      <c r="F1739">
        <v>30.44</v>
      </c>
      <c r="G1739">
        <v>518.56920000000002</v>
      </c>
      <c r="H1739">
        <v>0</v>
      </c>
      <c r="K1739">
        <v>60370</v>
      </c>
      <c r="L1739" t="s">
        <v>8684</v>
      </c>
      <c r="M1739">
        <v>0</v>
      </c>
    </row>
    <row r="1740" spans="1:13" x14ac:dyDescent="0.25">
      <c r="A1740" t="s">
        <v>8685</v>
      </c>
      <c r="B1740">
        <v>23573</v>
      </c>
      <c r="C1740">
        <v>88076161863</v>
      </c>
      <c r="D1740">
        <v>199.9</v>
      </c>
      <c r="E1740">
        <v>131.6</v>
      </c>
      <c r="F1740">
        <v>31.07</v>
      </c>
      <c r="G1740">
        <v>119.291</v>
      </c>
      <c r="H1740">
        <v>3.3000000000000002E-2</v>
      </c>
      <c r="K1740">
        <v>23573</v>
      </c>
      <c r="L1740" t="s">
        <v>8685</v>
      </c>
      <c r="M1740">
        <v>6.7000000000000004E-2</v>
      </c>
    </row>
    <row r="1741" spans="1:13" x14ac:dyDescent="0.25">
      <c r="A1741" t="s">
        <v>8686</v>
      </c>
      <c r="B1741">
        <v>27217</v>
      </c>
      <c r="C1741">
        <v>88076175051</v>
      </c>
      <c r="D1741">
        <v>219.9</v>
      </c>
      <c r="E1741">
        <v>165.56</v>
      </c>
      <c r="F1741">
        <v>23.49</v>
      </c>
      <c r="G1741">
        <v>147.90649999999999</v>
      </c>
      <c r="H1741">
        <v>0.23300000000000001</v>
      </c>
      <c r="K1741">
        <v>27217</v>
      </c>
      <c r="L1741" t="s">
        <v>8686</v>
      </c>
      <c r="M1741">
        <v>1.6</v>
      </c>
    </row>
    <row r="1742" spans="1:13" x14ac:dyDescent="0.25">
      <c r="A1742" t="s">
        <v>8687</v>
      </c>
      <c r="B1742">
        <v>60795</v>
      </c>
      <c r="C1742">
        <v>627040411414</v>
      </c>
      <c r="D1742">
        <v>629.9</v>
      </c>
      <c r="E1742">
        <v>459.34</v>
      </c>
      <c r="F1742">
        <v>24.57</v>
      </c>
      <c r="G1742">
        <v>416.85160000000002</v>
      </c>
      <c r="H1742">
        <v>0</v>
      </c>
      <c r="K1742">
        <v>60795</v>
      </c>
      <c r="L1742" t="s">
        <v>8687</v>
      </c>
      <c r="M1742">
        <v>0</v>
      </c>
    </row>
    <row r="1743" spans="1:13" x14ac:dyDescent="0.25">
      <c r="A1743" t="s">
        <v>8688</v>
      </c>
      <c r="B1743">
        <v>29352</v>
      </c>
      <c r="C1743">
        <v>7891125015139</v>
      </c>
      <c r="D1743">
        <v>189.9</v>
      </c>
      <c r="E1743">
        <v>136.72</v>
      </c>
      <c r="F1743">
        <v>25.41</v>
      </c>
      <c r="G1743">
        <v>124.0714</v>
      </c>
      <c r="H1743">
        <v>0.56699999999999995</v>
      </c>
      <c r="K1743">
        <v>29352</v>
      </c>
      <c r="L1743" t="s">
        <v>8688</v>
      </c>
      <c r="M1743">
        <v>0.2</v>
      </c>
    </row>
    <row r="1744" spans="1:13" x14ac:dyDescent="0.25">
      <c r="A1744" t="s">
        <v>8689</v>
      </c>
      <c r="B1744">
        <v>29354</v>
      </c>
      <c r="C1744">
        <v>80480985721</v>
      </c>
      <c r="D1744">
        <v>189.9</v>
      </c>
      <c r="E1744">
        <v>138.16999999999999</v>
      </c>
      <c r="F1744">
        <v>24.72</v>
      </c>
      <c r="G1744">
        <v>125.39</v>
      </c>
      <c r="H1744">
        <v>3.3000000000000002E-2</v>
      </c>
      <c r="K1744">
        <v>29354</v>
      </c>
      <c r="L1744" t="s">
        <v>8689</v>
      </c>
      <c r="M1744">
        <v>3.3000000000000002E-2</v>
      </c>
    </row>
    <row r="1745" spans="1:13" x14ac:dyDescent="0.25">
      <c r="A1745" t="s">
        <v>8690</v>
      </c>
      <c r="B1745">
        <v>23587</v>
      </c>
      <c r="C1745">
        <v>851562100772</v>
      </c>
      <c r="D1745">
        <v>129.9</v>
      </c>
      <c r="E1745">
        <v>74.3</v>
      </c>
      <c r="F1745">
        <v>38.9</v>
      </c>
      <c r="G1745">
        <v>67.357500000000002</v>
      </c>
      <c r="H1745">
        <v>0.2</v>
      </c>
      <c r="K1745">
        <v>23587</v>
      </c>
      <c r="L1745" t="s">
        <v>8690</v>
      </c>
      <c r="M1745">
        <v>0.2</v>
      </c>
    </row>
    <row r="1746" spans="1:13" x14ac:dyDescent="0.25">
      <c r="A1746" t="s">
        <v>8691</v>
      </c>
      <c r="B1746">
        <v>61923</v>
      </c>
      <c r="C1746">
        <v>85156775002</v>
      </c>
      <c r="D1746">
        <v>119.9</v>
      </c>
      <c r="E1746">
        <v>70.099999999999994</v>
      </c>
      <c r="F1746">
        <v>34.21</v>
      </c>
      <c r="G1746">
        <v>67.794399999999996</v>
      </c>
      <c r="H1746">
        <v>3.3000000000000002E-2</v>
      </c>
      <c r="K1746">
        <v>61923</v>
      </c>
      <c r="L1746" t="s">
        <v>8691</v>
      </c>
      <c r="M1746">
        <v>0</v>
      </c>
    </row>
    <row r="1747" spans="1:13" x14ac:dyDescent="0.25">
      <c r="A1747" t="s">
        <v>8692</v>
      </c>
      <c r="B1747">
        <v>64679</v>
      </c>
      <c r="C1747">
        <v>85156675005</v>
      </c>
      <c r="D1747">
        <v>119.9</v>
      </c>
      <c r="E1747">
        <v>65.98</v>
      </c>
      <c r="F1747">
        <v>40.81</v>
      </c>
      <c r="G1747">
        <v>59.880600000000001</v>
      </c>
      <c r="H1747">
        <v>3.3000000000000002E-2</v>
      </c>
      <c r="K1747">
        <v>64679</v>
      </c>
      <c r="L1747" t="s">
        <v>8692</v>
      </c>
      <c r="M1747">
        <v>3.3000000000000002E-2</v>
      </c>
    </row>
    <row r="1748" spans="1:13" x14ac:dyDescent="0.25">
      <c r="A1748" t="s">
        <v>8693</v>
      </c>
      <c r="B1748">
        <v>60956</v>
      </c>
      <c r="C1748">
        <v>5942122001303</v>
      </c>
      <c r="D1748">
        <v>59.9</v>
      </c>
      <c r="E1748">
        <v>41.78</v>
      </c>
      <c r="F1748">
        <v>27.46</v>
      </c>
      <c r="G1748">
        <v>37.912399999999998</v>
      </c>
      <c r="H1748">
        <v>3.3000000000000002E-2</v>
      </c>
      <c r="K1748">
        <v>60956</v>
      </c>
      <c r="L1748" t="s">
        <v>8693</v>
      </c>
      <c r="M1748">
        <v>3.3000000000000002E-2</v>
      </c>
    </row>
    <row r="1749" spans="1:13" x14ac:dyDescent="0.25">
      <c r="A1749" t="s">
        <v>8694</v>
      </c>
      <c r="B1749">
        <v>60297</v>
      </c>
      <c r="C1749">
        <v>7891050002006</v>
      </c>
      <c r="D1749">
        <v>59.9</v>
      </c>
      <c r="E1749">
        <v>48.25</v>
      </c>
      <c r="F1749">
        <v>21.22</v>
      </c>
      <c r="G1749">
        <v>41.6492</v>
      </c>
      <c r="H1749">
        <v>0.96699999999999997</v>
      </c>
      <c r="K1749">
        <v>60297</v>
      </c>
      <c r="L1749" t="s">
        <v>8694</v>
      </c>
      <c r="M1749">
        <v>0.23300000000000001</v>
      </c>
    </row>
    <row r="1750" spans="1:13" x14ac:dyDescent="0.25">
      <c r="A1750" t="s">
        <v>8695</v>
      </c>
      <c r="B1750">
        <v>13393</v>
      </c>
      <c r="C1750">
        <v>7891050000903</v>
      </c>
      <c r="D1750">
        <v>34.9</v>
      </c>
      <c r="E1750">
        <v>29.1</v>
      </c>
      <c r="F1750">
        <v>19.32</v>
      </c>
      <c r="G1750">
        <v>24.927700000000002</v>
      </c>
      <c r="H1750">
        <v>0.433</v>
      </c>
      <c r="K1750">
        <v>13393</v>
      </c>
      <c r="L1750" t="s">
        <v>8695</v>
      </c>
      <c r="M1750">
        <v>0.433</v>
      </c>
    </row>
    <row r="1751" spans="1:13" x14ac:dyDescent="0.25">
      <c r="A1751" t="s">
        <v>8696</v>
      </c>
      <c r="B1751">
        <v>56223</v>
      </c>
      <c r="C1751">
        <v>82000727606</v>
      </c>
      <c r="D1751">
        <v>69.900000000000006</v>
      </c>
      <c r="E1751">
        <v>47.73</v>
      </c>
      <c r="F1751">
        <v>28.64</v>
      </c>
      <c r="G1751">
        <v>43.411999999999999</v>
      </c>
      <c r="H1751">
        <v>2.9670000000000001</v>
      </c>
      <c r="K1751">
        <v>56223</v>
      </c>
      <c r="L1751" t="s">
        <v>8696</v>
      </c>
      <c r="M1751">
        <v>1.8</v>
      </c>
    </row>
    <row r="1752" spans="1:13" x14ac:dyDescent="0.25">
      <c r="A1752" t="s">
        <v>8697</v>
      </c>
      <c r="B1752">
        <v>2873</v>
      </c>
      <c r="C1752">
        <v>7893218000473</v>
      </c>
      <c r="D1752">
        <v>45.9</v>
      </c>
      <c r="E1752">
        <v>32.43</v>
      </c>
      <c r="F1752">
        <v>27.07</v>
      </c>
      <c r="G1752">
        <v>29.227799999999998</v>
      </c>
      <c r="H1752">
        <v>9.4670000000000005</v>
      </c>
      <c r="K1752">
        <v>2873</v>
      </c>
      <c r="L1752" t="s">
        <v>8697</v>
      </c>
      <c r="M1752">
        <v>5.0999999999999996</v>
      </c>
    </row>
    <row r="1753" spans="1:13" x14ac:dyDescent="0.25">
      <c r="A1753" t="s">
        <v>8698</v>
      </c>
      <c r="B1753">
        <v>32836</v>
      </c>
      <c r="C1753">
        <v>7893218002576</v>
      </c>
      <c r="D1753">
        <v>29.9</v>
      </c>
      <c r="E1753">
        <v>21.43</v>
      </c>
      <c r="F1753">
        <v>25.76</v>
      </c>
      <c r="G1753">
        <v>19.432700000000001</v>
      </c>
      <c r="H1753">
        <v>6.867</v>
      </c>
      <c r="K1753">
        <v>32836</v>
      </c>
      <c r="L1753" t="s">
        <v>8698</v>
      </c>
      <c r="M1753">
        <v>5.2329999999999997</v>
      </c>
    </row>
    <row r="1754" spans="1:13" x14ac:dyDescent="0.25">
      <c r="A1754" t="s">
        <v>8699</v>
      </c>
      <c r="B1754">
        <v>64095</v>
      </c>
      <c r="C1754">
        <v>4901777284920</v>
      </c>
      <c r="D1754">
        <v>209.9</v>
      </c>
      <c r="E1754">
        <v>159.4</v>
      </c>
      <c r="F1754">
        <v>21.83</v>
      </c>
      <c r="G1754">
        <v>144.65299999999999</v>
      </c>
      <c r="H1754">
        <v>3.3000000000000002E-2</v>
      </c>
      <c r="K1754">
        <v>64095</v>
      </c>
      <c r="L1754" t="s">
        <v>8699</v>
      </c>
      <c r="M1754">
        <v>3.3000000000000002E-2</v>
      </c>
    </row>
    <row r="1755" spans="1:13" x14ac:dyDescent="0.25">
      <c r="A1755" t="s">
        <v>8700</v>
      </c>
      <c r="B1755">
        <v>2867</v>
      </c>
      <c r="C1755">
        <v>7898255980191</v>
      </c>
      <c r="D1755">
        <v>34.9</v>
      </c>
      <c r="E1755">
        <v>25.37</v>
      </c>
      <c r="F1755">
        <v>24.77</v>
      </c>
      <c r="G1755">
        <v>23.025600000000001</v>
      </c>
      <c r="H1755">
        <v>1.9670000000000001</v>
      </c>
      <c r="K1755">
        <v>2867</v>
      </c>
      <c r="L1755" t="s">
        <v>8700</v>
      </c>
      <c r="M1755">
        <v>0.76700000000000002</v>
      </c>
    </row>
    <row r="1756" spans="1:13" x14ac:dyDescent="0.25">
      <c r="A1756" t="s">
        <v>8701</v>
      </c>
      <c r="B1756">
        <v>49164</v>
      </c>
      <c r="C1756">
        <v>7891050002747</v>
      </c>
      <c r="D1756">
        <v>79.900000000000006</v>
      </c>
      <c r="E1756">
        <v>59.44</v>
      </c>
      <c r="F1756">
        <v>22.8</v>
      </c>
      <c r="G1756">
        <v>54.2883</v>
      </c>
      <c r="H1756">
        <v>6.7000000000000004E-2</v>
      </c>
      <c r="K1756">
        <v>49164</v>
      </c>
      <c r="L1756" t="s">
        <v>8701</v>
      </c>
      <c r="M1756">
        <v>6.7000000000000004E-2</v>
      </c>
    </row>
    <row r="1757" spans="1:13" x14ac:dyDescent="0.25">
      <c r="A1757" t="s">
        <v>8702</v>
      </c>
      <c r="B1757">
        <v>45977</v>
      </c>
      <c r="C1757">
        <v>87000005525</v>
      </c>
      <c r="D1757">
        <v>249.9</v>
      </c>
      <c r="E1757">
        <v>174.93</v>
      </c>
      <c r="F1757">
        <v>22.93</v>
      </c>
      <c r="G1757">
        <v>169.482</v>
      </c>
      <c r="H1757">
        <v>0</v>
      </c>
      <c r="K1757">
        <v>45977</v>
      </c>
      <c r="L1757" t="s">
        <v>8702</v>
      </c>
      <c r="M1757">
        <v>0</v>
      </c>
    </row>
    <row r="1758" spans="1:13" x14ac:dyDescent="0.25">
      <c r="A1758" t="s">
        <v>8703</v>
      </c>
      <c r="B1758">
        <v>31463</v>
      </c>
      <c r="C1758">
        <v>81128025885</v>
      </c>
      <c r="D1758">
        <v>249.9</v>
      </c>
      <c r="E1758">
        <v>182.48</v>
      </c>
      <c r="F1758">
        <v>24.48</v>
      </c>
      <c r="G1758">
        <v>165.5984</v>
      </c>
      <c r="H1758">
        <v>0.13300000000000001</v>
      </c>
      <c r="K1758">
        <v>31463</v>
      </c>
      <c r="L1758" t="s">
        <v>8703</v>
      </c>
      <c r="M1758">
        <v>0.13300000000000001</v>
      </c>
    </row>
    <row r="1759" spans="1:13" x14ac:dyDescent="0.25">
      <c r="A1759" t="s">
        <v>8704</v>
      </c>
      <c r="B1759">
        <v>22882</v>
      </c>
      <c r="C1759">
        <v>82184038734</v>
      </c>
      <c r="D1759">
        <v>249.9</v>
      </c>
      <c r="E1759">
        <v>178.63</v>
      </c>
      <c r="F1759">
        <v>26.36</v>
      </c>
      <c r="G1759">
        <v>160.89869999999999</v>
      </c>
      <c r="H1759">
        <v>0.13300000000000001</v>
      </c>
      <c r="K1759">
        <v>22882</v>
      </c>
      <c r="L1759" t="s">
        <v>8704</v>
      </c>
      <c r="M1759">
        <v>0.13300000000000001</v>
      </c>
    </row>
    <row r="1760" spans="1:13" x14ac:dyDescent="0.25">
      <c r="A1760" t="s">
        <v>8705</v>
      </c>
      <c r="B1760">
        <v>22881</v>
      </c>
      <c r="C1760">
        <v>82184200698</v>
      </c>
      <c r="D1760">
        <v>169.9</v>
      </c>
      <c r="E1760">
        <v>125.18</v>
      </c>
      <c r="F1760">
        <v>21.46</v>
      </c>
      <c r="G1760">
        <v>117.71769999999999</v>
      </c>
      <c r="H1760">
        <v>1.4670000000000001</v>
      </c>
      <c r="K1760">
        <v>22881</v>
      </c>
      <c r="L1760" t="s">
        <v>8705</v>
      </c>
      <c r="M1760">
        <v>1.4</v>
      </c>
    </row>
    <row r="1761" spans="1:13" x14ac:dyDescent="0.25">
      <c r="A1761" t="s">
        <v>8706</v>
      </c>
      <c r="B1761">
        <v>54538</v>
      </c>
      <c r="C1761">
        <v>7898945131346</v>
      </c>
      <c r="D1761">
        <v>169.9</v>
      </c>
      <c r="E1761">
        <v>121.82</v>
      </c>
      <c r="F1761">
        <v>24.41</v>
      </c>
      <c r="G1761">
        <v>112.7114</v>
      </c>
      <c r="H1761">
        <v>3.3000000000000002E-2</v>
      </c>
      <c r="K1761">
        <v>54538</v>
      </c>
      <c r="L1761" t="s">
        <v>8706</v>
      </c>
      <c r="M1761">
        <v>3.3000000000000002E-2</v>
      </c>
    </row>
    <row r="1762" spans="1:13" x14ac:dyDescent="0.25">
      <c r="A1762" t="s">
        <v>8707</v>
      </c>
      <c r="B1762">
        <v>44269</v>
      </c>
      <c r="C1762">
        <v>821840905108</v>
      </c>
      <c r="D1762">
        <v>79.900000000000006</v>
      </c>
      <c r="E1762">
        <v>53.18</v>
      </c>
      <c r="F1762">
        <v>30.41</v>
      </c>
      <c r="G1762">
        <v>48.213200000000001</v>
      </c>
      <c r="H1762">
        <v>0.36699999999999999</v>
      </c>
      <c r="K1762">
        <v>44269</v>
      </c>
      <c r="L1762" t="s">
        <v>8707</v>
      </c>
      <c r="M1762">
        <v>0.33300000000000002</v>
      </c>
    </row>
    <row r="1763" spans="1:13" x14ac:dyDescent="0.25">
      <c r="A1763" t="s">
        <v>8708</v>
      </c>
      <c r="B1763">
        <v>58989</v>
      </c>
      <c r="C1763">
        <v>82184001363</v>
      </c>
      <c r="D1763">
        <v>79.900000000000006</v>
      </c>
      <c r="E1763">
        <v>53.33</v>
      </c>
      <c r="F1763">
        <v>30.18</v>
      </c>
      <c r="G1763">
        <v>48.396099999999997</v>
      </c>
      <c r="H1763">
        <v>0.2</v>
      </c>
      <c r="K1763">
        <v>58989</v>
      </c>
      <c r="L1763" t="s">
        <v>8708</v>
      </c>
      <c r="M1763">
        <v>0.2</v>
      </c>
    </row>
    <row r="1764" spans="1:13" x14ac:dyDescent="0.25">
      <c r="A1764" t="s">
        <v>8709</v>
      </c>
      <c r="B1764">
        <v>69152</v>
      </c>
      <c r="C1764">
        <v>5099873089798</v>
      </c>
      <c r="D1764">
        <v>129.9</v>
      </c>
      <c r="E1764">
        <v>91.81</v>
      </c>
      <c r="F1764">
        <v>26.61</v>
      </c>
      <c r="G1764">
        <v>83.322299999999998</v>
      </c>
      <c r="H1764">
        <v>0.5</v>
      </c>
      <c r="K1764">
        <v>69152</v>
      </c>
      <c r="L1764" t="s">
        <v>8709</v>
      </c>
      <c r="M1764">
        <v>0.433</v>
      </c>
    </row>
    <row r="1765" spans="1:13" x14ac:dyDescent="0.25">
      <c r="A1765" t="s">
        <v>8710</v>
      </c>
      <c r="B1765">
        <v>57272</v>
      </c>
      <c r="C1765">
        <v>82184004364</v>
      </c>
      <c r="D1765">
        <v>169.9</v>
      </c>
      <c r="E1765">
        <v>133.76</v>
      </c>
      <c r="F1765">
        <v>19.309999999999999</v>
      </c>
      <c r="G1765">
        <v>121.3836</v>
      </c>
      <c r="H1765">
        <v>0.33300000000000002</v>
      </c>
      <c r="K1765">
        <v>57272</v>
      </c>
      <c r="L1765" t="s">
        <v>8710</v>
      </c>
      <c r="M1765">
        <v>0.26700000000000002</v>
      </c>
    </row>
    <row r="1766" spans="1:13" x14ac:dyDescent="0.25">
      <c r="A1766" t="s">
        <v>8711</v>
      </c>
      <c r="B1766">
        <v>69150</v>
      </c>
      <c r="C1766">
        <v>5099873017623</v>
      </c>
      <c r="D1766">
        <v>139.9</v>
      </c>
      <c r="E1766">
        <v>104.54</v>
      </c>
      <c r="F1766">
        <v>22.94</v>
      </c>
      <c r="G1766">
        <v>94.868300000000005</v>
      </c>
      <c r="H1766">
        <v>6.7000000000000004E-2</v>
      </c>
      <c r="K1766">
        <v>69150</v>
      </c>
      <c r="L1766" t="s">
        <v>8711</v>
      </c>
      <c r="M1766">
        <v>6.7000000000000004E-2</v>
      </c>
    </row>
    <row r="1767" spans="1:13" x14ac:dyDescent="0.25">
      <c r="A1767" t="s">
        <v>8712</v>
      </c>
      <c r="B1767">
        <v>69153</v>
      </c>
      <c r="C1767">
        <v>5099873006351</v>
      </c>
      <c r="D1767">
        <v>139.9</v>
      </c>
      <c r="E1767">
        <v>107.41</v>
      </c>
      <c r="F1767">
        <v>21.08</v>
      </c>
      <c r="G1767">
        <v>97.470299999999995</v>
      </c>
      <c r="H1767">
        <v>0.2</v>
      </c>
      <c r="K1767">
        <v>69153</v>
      </c>
      <c r="L1767" t="s">
        <v>8712</v>
      </c>
      <c r="M1767">
        <v>0.16700000000000001</v>
      </c>
    </row>
    <row r="1768" spans="1:13" x14ac:dyDescent="0.25">
      <c r="A1768" t="s">
        <v>8713</v>
      </c>
      <c r="B1768">
        <v>23486</v>
      </c>
      <c r="C1768">
        <v>82184000328</v>
      </c>
      <c r="D1768">
        <v>169.9</v>
      </c>
      <c r="E1768">
        <v>113.77</v>
      </c>
      <c r="F1768">
        <v>29.82</v>
      </c>
      <c r="G1768">
        <v>103.51349999999999</v>
      </c>
      <c r="H1768">
        <v>0.3</v>
      </c>
      <c r="K1768">
        <v>23486</v>
      </c>
      <c r="L1768" t="s">
        <v>8713</v>
      </c>
      <c r="M1768">
        <v>0.26700000000000002</v>
      </c>
    </row>
    <row r="1769" spans="1:13" x14ac:dyDescent="0.25">
      <c r="A1769" t="s">
        <v>8714</v>
      </c>
      <c r="B1769">
        <v>69151</v>
      </c>
      <c r="C1769">
        <v>5099873001370</v>
      </c>
      <c r="D1769">
        <v>139.9</v>
      </c>
      <c r="E1769">
        <v>105.14</v>
      </c>
      <c r="F1769">
        <v>22.55</v>
      </c>
      <c r="G1769">
        <v>95.411199999999994</v>
      </c>
      <c r="H1769">
        <v>0.13300000000000001</v>
      </c>
      <c r="K1769">
        <v>69151</v>
      </c>
      <c r="L1769" t="s">
        <v>8714</v>
      </c>
      <c r="M1769">
        <v>0.13300000000000001</v>
      </c>
    </row>
    <row r="1770" spans="1:13" x14ac:dyDescent="0.25">
      <c r="A1770" t="s">
        <v>8715</v>
      </c>
      <c r="B1770">
        <v>22883</v>
      </c>
      <c r="C1770">
        <v>82184087008</v>
      </c>
      <c r="D1770">
        <v>396.57</v>
      </c>
      <c r="E1770">
        <v>236.8</v>
      </c>
      <c r="F1770">
        <v>33.32</v>
      </c>
      <c r="G1770">
        <v>227.76390000000001</v>
      </c>
      <c r="H1770">
        <v>0</v>
      </c>
      <c r="K1770">
        <v>22883</v>
      </c>
      <c r="L1770" t="s">
        <v>8715</v>
      </c>
      <c r="M1770">
        <v>0</v>
      </c>
    </row>
    <row r="1771" spans="1:13" x14ac:dyDescent="0.25">
      <c r="A1771" t="s">
        <v>8716</v>
      </c>
      <c r="B1771">
        <v>57511</v>
      </c>
      <c r="C1771">
        <v>5011007023331</v>
      </c>
      <c r="D1771">
        <v>139.9</v>
      </c>
      <c r="E1771">
        <v>84.95</v>
      </c>
      <c r="F1771">
        <v>35.65</v>
      </c>
      <c r="G1771">
        <v>77.087900000000005</v>
      </c>
      <c r="H1771">
        <v>0.36699999999999999</v>
      </c>
      <c r="K1771">
        <v>57511</v>
      </c>
      <c r="L1771" t="s">
        <v>8716</v>
      </c>
      <c r="M1771">
        <v>6.7000000000000004E-2</v>
      </c>
    </row>
    <row r="1772" spans="1:13" x14ac:dyDescent="0.25">
      <c r="A1772" t="s">
        <v>8717</v>
      </c>
      <c r="B1772">
        <v>49163</v>
      </c>
      <c r="C1772">
        <v>5011007003029</v>
      </c>
      <c r="D1772">
        <v>124.9</v>
      </c>
      <c r="E1772">
        <v>84.83</v>
      </c>
      <c r="F1772">
        <v>29.11</v>
      </c>
      <c r="G1772">
        <v>76.982900000000001</v>
      </c>
      <c r="H1772">
        <v>0.96699999999999997</v>
      </c>
      <c r="K1772">
        <v>49163</v>
      </c>
      <c r="L1772" t="s">
        <v>8717</v>
      </c>
      <c r="M1772">
        <v>0.3</v>
      </c>
    </row>
    <row r="1773" spans="1:13" x14ac:dyDescent="0.25">
      <c r="A1773" t="s">
        <v>8718</v>
      </c>
      <c r="B1773">
        <v>64100</v>
      </c>
      <c r="C1773">
        <v>806860437822</v>
      </c>
      <c r="D1773">
        <v>129.9</v>
      </c>
      <c r="E1773">
        <v>94.63</v>
      </c>
      <c r="F1773">
        <v>24.64</v>
      </c>
      <c r="G1773">
        <v>85.879400000000004</v>
      </c>
      <c r="H1773">
        <v>6.7000000000000004E-2</v>
      </c>
      <c r="K1773">
        <v>64100</v>
      </c>
      <c r="L1773" t="s">
        <v>8718</v>
      </c>
      <c r="M1773">
        <v>6.7000000000000004E-2</v>
      </c>
    </row>
    <row r="1774" spans="1:13" x14ac:dyDescent="0.25">
      <c r="A1774" t="s">
        <v>8719</v>
      </c>
      <c r="B1774">
        <v>31190</v>
      </c>
      <c r="C1774">
        <v>80686003205</v>
      </c>
      <c r="D1774">
        <v>184.9</v>
      </c>
      <c r="E1774">
        <v>133.94</v>
      </c>
      <c r="F1774">
        <v>25.01</v>
      </c>
      <c r="G1774">
        <v>121.55110000000001</v>
      </c>
      <c r="H1774">
        <v>0.2</v>
      </c>
      <c r="K1774">
        <v>31190</v>
      </c>
      <c r="L1774" t="s">
        <v>8719</v>
      </c>
      <c r="M1774">
        <v>6.7000000000000004E-2</v>
      </c>
    </row>
    <row r="1775" spans="1:13" x14ac:dyDescent="0.25">
      <c r="A1775" t="s">
        <v>8720</v>
      </c>
      <c r="B1775">
        <v>60123</v>
      </c>
      <c r="C1775">
        <v>80686006077</v>
      </c>
      <c r="D1775">
        <v>129.9</v>
      </c>
      <c r="E1775">
        <v>93.41</v>
      </c>
      <c r="F1775">
        <v>25.49</v>
      </c>
      <c r="G1775">
        <v>84.771199999999993</v>
      </c>
      <c r="H1775">
        <v>0.16700000000000001</v>
      </c>
      <c r="K1775">
        <v>60123</v>
      </c>
      <c r="L1775" t="s">
        <v>8720</v>
      </c>
      <c r="M1775">
        <v>0.13300000000000001</v>
      </c>
    </row>
    <row r="1776" spans="1:13" x14ac:dyDescent="0.25">
      <c r="A1776" t="s">
        <v>8721</v>
      </c>
      <c r="B1776">
        <v>64099</v>
      </c>
      <c r="C1776">
        <v>5060045582263</v>
      </c>
      <c r="D1776">
        <v>179.9</v>
      </c>
      <c r="E1776">
        <v>141.97</v>
      </c>
      <c r="F1776">
        <v>19.13</v>
      </c>
      <c r="G1776">
        <v>128.84</v>
      </c>
      <c r="H1776">
        <v>0.1</v>
      </c>
      <c r="K1776">
        <v>64099</v>
      </c>
      <c r="L1776" t="s">
        <v>8721</v>
      </c>
      <c r="M1776">
        <v>0.1</v>
      </c>
    </row>
    <row r="1777" spans="1:13" x14ac:dyDescent="0.25">
      <c r="A1777" t="s">
        <v>8722</v>
      </c>
      <c r="B1777">
        <v>60124</v>
      </c>
      <c r="C1777">
        <v>806860276384</v>
      </c>
      <c r="D1777">
        <v>129.9</v>
      </c>
      <c r="E1777">
        <v>89.65</v>
      </c>
      <c r="F1777">
        <v>26.06</v>
      </c>
      <c r="G1777">
        <v>84.027299999999997</v>
      </c>
      <c r="H1777">
        <v>2.2330000000000001</v>
      </c>
      <c r="K1777">
        <v>60124</v>
      </c>
      <c r="L1777" t="s">
        <v>8722</v>
      </c>
      <c r="M1777">
        <v>0.76700000000000002</v>
      </c>
    </row>
    <row r="1778" spans="1:13" x14ac:dyDescent="0.25">
      <c r="A1778" t="s">
        <v>8723</v>
      </c>
      <c r="B1778">
        <v>67444</v>
      </c>
      <c r="C1778">
        <v>3047100056251</v>
      </c>
      <c r="D1778">
        <v>449.9</v>
      </c>
      <c r="E1778">
        <v>304.38</v>
      </c>
      <c r="F1778">
        <v>29.28</v>
      </c>
      <c r="G1778">
        <v>276.55840000000001</v>
      </c>
      <c r="H1778">
        <v>0</v>
      </c>
      <c r="K1778">
        <v>67444</v>
      </c>
      <c r="L1778" t="s">
        <v>8723</v>
      </c>
      <c r="M1778">
        <v>0</v>
      </c>
    </row>
    <row r="1779" spans="1:13" x14ac:dyDescent="0.25">
      <c r="A1779" t="s">
        <v>8724</v>
      </c>
      <c r="B1779">
        <v>64107</v>
      </c>
      <c r="C1779">
        <v>5000299620915</v>
      </c>
      <c r="D1779">
        <v>549.9</v>
      </c>
      <c r="E1779">
        <v>391.35</v>
      </c>
      <c r="F1779">
        <v>25.64</v>
      </c>
      <c r="G1779">
        <v>358.05619999999999</v>
      </c>
      <c r="H1779">
        <v>0</v>
      </c>
      <c r="K1779">
        <v>64107</v>
      </c>
      <c r="L1779" t="s">
        <v>8724</v>
      </c>
      <c r="M1779">
        <v>0</v>
      </c>
    </row>
    <row r="1780" spans="1:13" x14ac:dyDescent="0.25">
      <c r="A1780" t="s">
        <v>8725</v>
      </c>
      <c r="B1780">
        <v>45800</v>
      </c>
      <c r="C1780">
        <v>5010106113530</v>
      </c>
      <c r="D1780">
        <v>69.900000000000006</v>
      </c>
      <c r="E1780">
        <v>84.91</v>
      </c>
      <c r="F1780">
        <v>-19.48</v>
      </c>
      <c r="G1780">
        <v>77.051599999999993</v>
      </c>
      <c r="H1780">
        <v>0.33300000000000002</v>
      </c>
      <c r="K1780">
        <v>45800</v>
      </c>
      <c r="L1780" t="s">
        <v>8725</v>
      </c>
      <c r="M1780">
        <v>3.3000000000000002E-2</v>
      </c>
    </row>
    <row r="1781" spans="1:13" x14ac:dyDescent="0.25">
      <c r="A1781" t="s">
        <v>8726</v>
      </c>
      <c r="B1781">
        <v>13284</v>
      </c>
      <c r="C1781">
        <v>7891050003072</v>
      </c>
      <c r="D1781">
        <v>119.9</v>
      </c>
      <c r="E1781">
        <v>141.66</v>
      </c>
      <c r="F1781">
        <v>-19.309999999999999</v>
      </c>
      <c r="G1781">
        <v>131.96520000000001</v>
      </c>
      <c r="H1781">
        <v>3.0329999999999999</v>
      </c>
      <c r="K1781">
        <v>13284</v>
      </c>
      <c r="L1781" t="s">
        <v>8726</v>
      </c>
      <c r="M1781">
        <v>3.3000000000000002E-2</v>
      </c>
    </row>
    <row r="1782" spans="1:13" x14ac:dyDescent="0.25">
      <c r="A1782" t="s">
        <v>8727</v>
      </c>
      <c r="B1782">
        <v>59183</v>
      </c>
      <c r="C1782">
        <v>5000299628096</v>
      </c>
      <c r="D1782">
        <v>99.9</v>
      </c>
      <c r="E1782">
        <v>68.150000000000006</v>
      </c>
      <c r="F1782">
        <v>28.84</v>
      </c>
      <c r="G1782">
        <v>61.8506</v>
      </c>
      <c r="H1782">
        <v>0.13300000000000001</v>
      </c>
      <c r="K1782">
        <v>59183</v>
      </c>
      <c r="L1782" t="s">
        <v>8727</v>
      </c>
      <c r="M1782">
        <v>6.7000000000000004E-2</v>
      </c>
    </row>
    <row r="1783" spans="1:13" x14ac:dyDescent="0.25">
      <c r="A1783" t="s">
        <v>8728</v>
      </c>
      <c r="B1783">
        <v>11433</v>
      </c>
      <c r="C1783">
        <v>5010106111956</v>
      </c>
      <c r="D1783">
        <v>119.9</v>
      </c>
      <c r="E1783">
        <v>67.47</v>
      </c>
      <c r="F1783">
        <v>39.78</v>
      </c>
      <c r="G1783">
        <v>61.109200000000001</v>
      </c>
      <c r="H1783">
        <v>1.367</v>
      </c>
      <c r="K1783">
        <v>11433</v>
      </c>
      <c r="L1783" t="s">
        <v>8728</v>
      </c>
      <c r="M1783">
        <v>0.4</v>
      </c>
    </row>
    <row r="1784" spans="1:13" x14ac:dyDescent="0.25">
      <c r="A1784" t="s">
        <v>8729</v>
      </c>
      <c r="B1784">
        <v>45798</v>
      </c>
      <c r="C1784">
        <v>5010106113585</v>
      </c>
      <c r="D1784">
        <v>74.900000000000006</v>
      </c>
      <c r="E1784">
        <v>51.08</v>
      </c>
      <c r="F1784">
        <v>25.99</v>
      </c>
      <c r="G1784">
        <v>48.509</v>
      </c>
      <c r="H1784">
        <v>0.23300000000000001</v>
      </c>
      <c r="K1784">
        <v>45798</v>
      </c>
      <c r="L1784" t="s">
        <v>8729</v>
      </c>
      <c r="M1784">
        <v>0.23300000000000001</v>
      </c>
    </row>
    <row r="1785" spans="1:13" x14ac:dyDescent="0.25">
      <c r="A1785" t="s">
        <v>8730</v>
      </c>
      <c r="B1785">
        <v>42581</v>
      </c>
      <c r="C1785">
        <v>5000387905634</v>
      </c>
      <c r="D1785">
        <v>54.9</v>
      </c>
      <c r="E1785">
        <v>42.22</v>
      </c>
      <c r="F1785">
        <v>20.85</v>
      </c>
      <c r="G1785">
        <v>38.377499999999998</v>
      </c>
      <c r="H1785">
        <v>0.6</v>
      </c>
      <c r="K1785">
        <v>42581</v>
      </c>
      <c r="L1785" t="s">
        <v>8730</v>
      </c>
      <c r="M1785">
        <v>0.6</v>
      </c>
    </row>
    <row r="1786" spans="1:13" x14ac:dyDescent="0.25">
      <c r="A1786" t="s">
        <v>8731</v>
      </c>
      <c r="B1786">
        <v>23567</v>
      </c>
      <c r="C1786">
        <v>7893218003375</v>
      </c>
      <c r="D1786">
        <v>99.9</v>
      </c>
      <c r="E1786">
        <v>71.27</v>
      </c>
      <c r="F1786">
        <v>23.78</v>
      </c>
      <c r="G1786">
        <v>66.907899999999998</v>
      </c>
      <c r="H1786">
        <v>1.0329999999999999</v>
      </c>
      <c r="K1786">
        <v>23567</v>
      </c>
      <c r="L1786" t="s">
        <v>8731</v>
      </c>
      <c r="M1786">
        <v>0.26700000000000002</v>
      </c>
    </row>
    <row r="1787" spans="1:13" x14ac:dyDescent="0.25">
      <c r="A1787" t="s">
        <v>8732</v>
      </c>
      <c r="B1787">
        <v>58008</v>
      </c>
      <c r="C1787">
        <v>5000196006232</v>
      </c>
      <c r="D1787">
        <v>79.900000000000006</v>
      </c>
      <c r="E1787">
        <v>43.5</v>
      </c>
      <c r="F1787">
        <v>40.380000000000003</v>
      </c>
      <c r="G1787">
        <v>40.245199999999997</v>
      </c>
      <c r="H1787">
        <v>4.9000000000000004</v>
      </c>
      <c r="K1787">
        <v>58008</v>
      </c>
      <c r="L1787" t="s">
        <v>8732</v>
      </c>
      <c r="M1787">
        <v>6.7000000000000004E-2</v>
      </c>
    </row>
    <row r="1788" spans="1:13" x14ac:dyDescent="0.25">
      <c r="A1788" t="s">
        <v>8733</v>
      </c>
      <c r="B1788">
        <v>56278</v>
      </c>
      <c r="C1788">
        <v>7891050000101</v>
      </c>
      <c r="D1788">
        <v>79.900000000000006</v>
      </c>
      <c r="E1788">
        <v>59.68</v>
      </c>
      <c r="F1788">
        <v>23.37</v>
      </c>
      <c r="G1788">
        <v>53.840600000000002</v>
      </c>
      <c r="H1788">
        <v>0.1</v>
      </c>
      <c r="K1788">
        <v>56278</v>
      </c>
      <c r="L1788" t="s">
        <v>8733</v>
      </c>
      <c r="M1788">
        <v>0.1</v>
      </c>
    </row>
    <row r="1789" spans="1:13" x14ac:dyDescent="0.25">
      <c r="A1789" t="s">
        <v>8734</v>
      </c>
      <c r="B1789">
        <v>67440</v>
      </c>
      <c r="C1789">
        <v>5000299628768</v>
      </c>
      <c r="D1789">
        <v>129.9</v>
      </c>
      <c r="E1789">
        <v>95.38</v>
      </c>
      <c r="F1789">
        <v>24.12</v>
      </c>
      <c r="G1789">
        <v>86.558800000000005</v>
      </c>
      <c r="H1789">
        <v>0.3</v>
      </c>
      <c r="K1789">
        <v>67440</v>
      </c>
      <c r="L1789" t="s">
        <v>8734</v>
      </c>
      <c r="M1789">
        <v>0.23300000000000001</v>
      </c>
    </row>
    <row r="1790" spans="1:13" x14ac:dyDescent="0.25">
      <c r="A1790" t="s">
        <v>8735</v>
      </c>
      <c r="B1790">
        <v>67441</v>
      </c>
      <c r="C1790">
        <v>5000299628744</v>
      </c>
      <c r="D1790">
        <v>99.9</v>
      </c>
      <c r="E1790">
        <v>75.680000000000007</v>
      </c>
      <c r="F1790">
        <v>22</v>
      </c>
      <c r="G1790">
        <v>68.680800000000005</v>
      </c>
      <c r="H1790">
        <v>0.26700000000000002</v>
      </c>
      <c r="K1790">
        <v>67441</v>
      </c>
      <c r="L1790" t="s">
        <v>8735</v>
      </c>
      <c r="M1790">
        <v>0.23300000000000001</v>
      </c>
    </row>
    <row r="1791" spans="1:13" x14ac:dyDescent="0.25">
      <c r="A1791" t="s">
        <v>8736</v>
      </c>
      <c r="B1791">
        <v>23569</v>
      </c>
      <c r="C1791">
        <v>50196364</v>
      </c>
      <c r="D1791">
        <v>219.9</v>
      </c>
      <c r="E1791">
        <v>172.39</v>
      </c>
      <c r="F1791">
        <v>19.489999999999998</v>
      </c>
      <c r="G1791">
        <v>156.70490000000001</v>
      </c>
      <c r="H1791">
        <v>0.7</v>
      </c>
      <c r="K1791">
        <v>23569</v>
      </c>
      <c r="L1791" t="s">
        <v>8736</v>
      </c>
      <c r="M1791">
        <v>0.36699999999999999</v>
      </c>
    </row>
    <row r="1792" spans="1:13" x14ac:dyDescent="0.25">
      <c r="A1792" t="s">
        <v>8737</v>
      </c>
      <c r="B1792">
        <v>64528</v>
      </c>
      <c r="C1792">
        <v>50196388</v>
      </c>
      <c r="D1792">
        <v>149.9</v>
      </c>
      <c r="E1792">
        <v>114.3</v>
      </c>
      <c r="F1792">
        <v>21.07</v>
      </c>
      <c r="G1792">
        <v>104.4512</v>
      </c>
      <c r="H1792">
        <v>0.83299999999999996</v>
      </c>
      <c r="K1792">
        <v>64528</v>
      </c>
      <c r="L1792" t="s">
        <v>8737</v>
      </c>
      <c r="M1792">
        <v>0.66700000000000004</v>
      </c>
    </row>
    <row r="1793" spans="1:13" x14ac:dyDescent="0.25">
      <c r="A1793" t="s">
        <v>8738</v>
      </c>
      <c r="B1793">
        <v>62730</v>
      </c>
      <c r="C1793">
        <v>5000196003774</v>
      </c>
      <c r="D1793">
        <v>229.9</v>
      </c>
      <c r="E1793">
        <v>154.16</v>
      </c>
      <c r="F1793">
        <v>29.02</v>
      </c>
      <c r="G1793">
        <v>141.91909999999999</v>
      </c>
      <c r="H1793">
        <v>0.23300000000000001</v>
      </c>
      <c r="K1793">
        <v>62730</v>
      </c>
      <c r="L1793" t="s">
        <v>8738</v>
      </c>
      <c r="M1793">
        <v>0.23300000000000001</v>
      </c>
    </row>
    <row r="1794" spans="1:13" x14ac:dyDescent="0.25">
      <c r="A1794" t="s">
        <v>8739</v>
      </c>
      <c r="B1794">
        <v>62729</v>
      </c>
      <c r="C1794">
        <v>50196913</v>
      </c>
      <c r="D1794">
        <v>699.9</v>
      </c>
      <c r="E1794">
        <v>456.28</v>
      </c>
      <c r="F1794">
        <v>31.37</v>
      </c>
      <c r="G1794">
        <v>415.62819999999999</v>
      </c>
      <c r="H1794">
        <v>0</v>
      </c>
      <c r="K1794">
        <v>62729</v>
      </c>
      <c r="L1794" t="s">
        <v>8739</v>
      </c>
      <c r="M1794">
        <v>0</v>
      </c>
    </row>
    <row r="1795" spans="1:13" x14ac:dyDescent="0.25">
      <c r="A1795" t="s">
        <v>8740</v>
      </c>
      <c r="B1795">
        <v>36867</v>
      </c>
      <c r="C1795">
        <v>5000267102634</v>
      </c>
      <c r="D1795">
        <v>469.9</v>
      </c>
      <c r="E1795">
        <v>286.7</v>
      </c>
      <c r="F1795">
        <v>35.380000000000003</v>
      </c>
      <c r="G1795">
        <v>260.18</v>
      </c>
      <c r="H1795">
        <v>3.3000000000000002E-2</v>
      </c>
      <c r="K1795">
        <v>36867</v>
      </c>
      <c r="L1795" t="s">
        <v>8740</v>
      </c>
      <c r="M1795">
        <v>3.3000000000000002E-2</v>
      </c>
    </row>
    <row r="1796" spans="1:13" x14ac:dyDescent="0.25">
      <c r="A1796" t="s">
        <v>8741</v>
      </c>
      <c r="B1796">
        <v>45802</v>
      </c>
      <c r="C1796">
        <v>80432400432</v>
      </c>
      <c r="D1796">
        <v>139.9</v>
      </c>
      <c r="E1796">
        <v>111.71</v>
      </c>
      <c r="F1796">
        <v>16.39</v>
      </c>
      <c r="G1796">
        <v>104.0234</v>
      </c>
      <c r="H1796">
        <v>2.0329999999999999</v>
      </c>
      <c r="K1796">
        <v>45802</v>
      </c>
      <c r="L1796" t="s">
        <v>8741</v>
      </c>
      <c r="M1796">
        <v>0.4</v>
      </c>
    </row>
    <row r="1797" spans="1:13" x14ac:dyDescent="0.25">
      <c r="A1797" t="s">
        <v>8742</v>
      </c>
      <c r="B1797">
        <v>46002</v>
      </c>
      <c r="C1797">
        <v>80432400395</v>
      </c>
      <c r="D1797">
        <v>139.9</v>
      </c>
      <c r="E1797">
        <v>98.59</v>
      </c>
      <c r="F1797">
        <v>26.82</v>
      </c>
      <c r="G1797">
        <v>89.436499999999995</v>
      </c>
      <c r="H1797">
        <v>0.3</v>
      </c>
      <c r="K1797">
        <v>46002</v>
      </c>
      <c r="L1797" t="s">
        <v>8742</v>
      </c>
      <c r="M1797">
        <v>0.2</v>
      </c>
    </row>
    <row r="1798" spans="1:13" x14ac:dyDescent="0.25">
      <c r="A1798" t="s">
        <v>8743</v>
      </c>
      <c r="B1798">
        <v>59767</v>
      </c>
      <c r="C1798">
        <v>7891050006479</v>
      </c>
      <c r="D1798">
        <v>169.9</v>
      </c>
      <c r="E1798">
        <v>121.24</v>
      </c>
      <c r="F1798">
        <v>26.74</v>
      </c>
      <c r="G1798">
        <v>108.7599</v>
      </c>
      <c r="H1798">
        <v>0.23300000000000001</v>
      </c>
      <c r="K1798">
        <v>59767</v>
      </c>
      <c r="L1798" t="s">
        <v>8743</v>
      </c>
      <c r="M1798">
        <v>0.16700000000000001</v>
      </c>
    </row>
    <row r="1799" spans="1:13" x14ac:dyDescent="0.25">
      <c r="A1799" t="s">
        <v>8744</v>
      </c>
      <c r="B1799">
        <v>45804</v>
      </c>
      <c r="C1799">
        <v>5000299225028</v>
      </c>
      <c r="D1799">
        <v>599.9</v>
      </c>
      <c r="E1799">
        <v>427.05</v>
      </c>
      <c r="F1799">
        <v>22.9</v>
      </c>
      <c r="G1799">
        <v>407.05130000000003</v>
      </c>
      <c r="H1799">
        <v>0</v>
      </c>
      <c r="K1799">
        <v>45804</v>
      </c>
      <c r="L1799" t="s">
        <v>8744</v>
      </c>
      <c r="M1799">
        <v>0</v>
      </c>
    </row>
    <row r="1800" spans="1:13" x14ac:dyDescent="0.25">
      <c r="A1800" t="s">
        <v>8745</v>
      </c>
      <c r="B1800">
        <v>29356</v>
      </c>
      <c r="C1800">
        <v>5000277002610</v>
      </c>
      <c r="D1800">
        <v>139.9</v>
      </c>
      <c r="E1800">
        <v>109.23</v>
      </c>
      <c r="F1800">
        <v>19.86</v>
      </c>
      <c r="G1800">
        <v>99.181700000000006</v>
      </c>
      <c r="H1800">
        <v>0.36699999999999999</v>
      </c>
      <c r="K1800">
        <v>29356</v>
      </c>
      <c r="L1800" t="s">
        <v>8745</v>
      </c>
      <c r="M1800">
        <v>0.16700000000000001</v>
      </c>
    </row>
    <row r="1801" spans="1:13" x14ac:dyDescent="0.25">
      <c r="A1801" t="s">
        <v>8746</v>
      </c>
      <c r="B1801">
        <v>57176</v>
      </c>
      <c r="C1801">
        <v>5000277005130</v>
      </c>
      <c r="D1801">
        <v>289.89999999999998</v>
      </c>
      <c r="E1801">
        <v>217.9</v>
      </c>
      <c r="F1801">
        <v>21.36</v>
      </c>
      <c r="G1801">
        <v>201.15860000000001</v>
      </c>
      <c r="H1801">
        <v>3.3000000000000002E-2</v>
      </c>
      <c r="K1801">
        <v>57176</v>
      </c>
      <c r="L1801" t="s">
        <v>8746</v>
      </c>
      <c r="M1801">
        <v>3.3000000000000002E-2</v>
      </c>
    </row>
    <row r="1802" spans="1:13" x14ac:dyDescent="0.25">
      <c r="A1802" t="s">
        <v>8747</v>
      </c>
      <c r="B1802">
        <v>61998</v>
      </c>
      <c r="C1802">
        <v>7640171030500</v>
      </c>
      <c r="D1802" s="1">
        <v>1139.9000000000001</v>
      </c>
      <c r="E1802">
        <v>821.51</v>
      </c>
      <c r="F1802">
        <v>25.35</v>
      </c>
      <c r="G1802">
        <v>745.51790000000005</v>
      </c>
      <c r="H1802">
        <v>0</v>
      </c>
      <c r="K1802">
        <v>61998</v>
      </c>
      <c r="L1802" t="s">
        <v>8747</v>
      </c>
      <c r="M1802">
        <v>0</v>
      </c>
    </row>
    <row r="1803" spans="1:13" x14ac:dyDescent="0.25">
      <c r="A1803" t="s">
        <v>8748</v>
      </c>
      <c r="B1803">
        <v>20827</v>
      </c>
      <c r="C1803">
        <v>5010327000176</v>
      </c>
      <c r="D1803">
        <v>499.9</v>
      </c>
      <c r="E1803">
        <v>395.28</v>
      </c>
      <c r="F1803">
        <v>18.989999999999998</v>
      </c>
      <c r="G1803">
        <v>358.71379999999999</v>
      </c>
      <c r="H1803">
        <v>3.3000000000000002E-2</v>
      </c>
      <c r="K1803">
        <v>20827</v>
      </c>
      <c r="L1803" t="s">
        <v>8748</v>
      </c>
      <c r="M1803">
        <v>3.3000000000000002E-2</v>
      </c>
    </row>
    <row r="1804" spans="1:13" x14ac:dyDescent="0.25">
      <c r="A1804" t="s">
        <v>8749</v>
      </c>
      <c r="B1804">
        <v>28305</v>
      </c>
      <c r="C1804">
        <v>5010327325125</v>
      </c>
      <c r="D1804">
        <v>649.9</v>
      </c>
      <c r="E1804">
        <v>463.93</v>
      </c>
      <c r="F1804">
        <v>25.97</v>
      </c>
      <c r="G1804">
        <v>421.02050000000003</v>
      </c>
      <c r="H1804">
        <v>0</v>
      </c>
      <c r="K1804">
        <v>28305</v>
      </c>
      <c r="L1804" t="s">
        <v>8749</v>
      </c>
      <c r="M1804">
        <v>0</v>
      </c>
    </row>
    <row r="1805" spans="1:13" x14ac:dyDescent="0.25">
      <c r="A1805" t="s">
        <v>8750</v>
      </c>
      <c r="B1805">
        <v>45974</v>
      </c>
      <c r="C1805">
        <v>5000281021997</v>
      </c>
      <c r="D1805">
        <v>589.9</v>
      </c>
      <c r="E1805">
        <v>286.42</v>
      </c>
      <c r="F1805">
        <v>46.36</v>
      </c>
      <c r="G1805">
        <v>261.85340000000002</v>
      </c>
      <c r="H1805">
        <v>0</v>
      </c>
      <c r="K1805">
        <v>45974</v>
      </c>
      <c r="L1805" t="s">
        <v>8750</v>
      </c>
      <c r="M1805">
        <v>0</v>
      </c>
    </row>
    <row r="1806" spans="1:13" x14ac:dyDescent="0.25">
      <c r="A1806" t="s">
        <v>8751</v>
      </c>
      <c r="B1806">
        <v>45805</v>
      </c>
      <c r="C1806">
        <v>5000299609354</v>
      </c>
      <c r="D1806">
        <v>319.89999999999998</v>
      </c>
      <c r="E1806">
        <v>196.09</v>
      </c>
      <c r="F1806">
        <v>30.92</v>
      </c>
      <c r="G1806">
        <v>191.40129999999999</v>
      </c>
      <c r="H1806">
        <v>0</v>
      </c>
      <c r="K1806">
        <v>45805</v>
      </c>
      <c r="L1806" t="s">
        <v>8751</v>
      </c>
      <c r="M1806">
        <v>0</v>
      </c>
    </row>
    <row r="1807" spans="1:13" x14ac:dyDescent="0.25">
      <c r="A1807" t="s">
        <v>8752</v>
      </c>
      <c r="B1807">
        <v>62762</v>
      </c>
      <c r="C1807">
        <v>5010494917949</v>
      </c>
      <c r="D1807">
        <v>669.9</v>
      </c>
      <c r="E1807">
        <v>462.23</v>
      </c>
      <c r="F1807">
        <v>26.97</v>
      </c>
      <c r="G1807">
        <v>427.2715</v>
      </c>
      <c r="H1807">
        <v>0</v>
      </c>
      <c r="K1807">
        <v>62762</v>
      </c>
      <c r="L1807" t="s">
        <v>8752</v>
      </c>
      <c r="M1807">
        <v>0</v>
      </c>
    </row>
    <row r="1808" spans="1:13" x14ac:dyDescent="0.25">
      <c r="A1808" t="s">
        <v>8753</v>
      </c>
      <c r="B1808">
        <v>62764</v>
      </c>
      <c r="C1808">
        <v>5010494951844</v>
      </c>
      <c r="D1808">
        <v>779.9</v>
      </c>
      <c r="E1808">
        <v>548.16999999999996</v>
      </c>
      <c r="F1808">
        <v>26.61</v>
      </c>
      <c r="G1808">
        <v>500.24439999999998</v>
      </c>
      <c r="H1808">
        <v>0</v>
      </c>
      <c r="K1808">
        <v>62764</v>
      </c>
      <c r="L1808" t="s">
        <v>8753</v>
      </c>
      <c r="M1808">
        <v>0</v>
      </c>
    </row>
    <row r="1809" spans="1:13" x14ac:dyDescent="0.25">
      <c r="A1809" t="s">
        <v>8754</v>
      </c>
      <c r="B1809">
        <v>62761</v>
      </c>
      <c r="C1809">
        <v>5010494560183</v>
      </c>
      <c r="D1809">
        <v>459.9</v>
      </c>
      <c r="E1809">
        <v>326.14</v>
      </c>
      <c r="F1809">
        <v>26.17</v>
      </c>
      <c r="G1809">
        <v>297.01190000000003</v>
      </c>
      <c r="H1809">
        <v>0</v>
      </c>
      <c r="K1809">
        <v>62761</v>
      </c>
      <c r="L1809" t="s">
        <v>8754</v>
      </c>
      <c r="M1809">
        <v>0</v>
      </c>
    </row>
    <row r="1810" spans="1:13" x14ac:dyDescent="0.25">
      <c r="A1810" t="s">
        <v>8755</v>
      </c>
      <c r="B1810">
        <v>62763</v>
      </c>
      <c r="C1810">
        <v>5010494951820</v>
      </c>
      <c r="D1810">
        <v>729.9</v>
      </c>
      <c r="E1810">
        <v>513.80999999999995</v>
      </c>
      <c r="F1810">
        <v>26.87</v>
      </c>
      <c r="G1810">
        <v>466.27879999999999</v>
      </c>
      <c r="H1810">
        <v>0</v>
      </c>
      <c r="K1810">
        <v>62763</v>
      </c>
      <c r="L1810" t="s">
        <v>8755</v>
      </c>
      <c r="M1810">
        <v>0</v>
      </c>
    </row>
    <row r="1811" spans="1:13" x14ac:dyDescent="0.25">
      <c r="A1811" t="s">
        <v>8756</v>
      </c>
      <c r="B1811">
        <v>28306</v>
      </c>
      <c r="C1811">
        <v>5010327223209</v>
      </c>
      <c r="D1811">
        <v>89.9</v>
      </c>
      <c r="E1811">
        <v>59.41</v>
      </c>
      <c r="F1811">
        <v>31.2</v>
      </c>
      <c r="G1811">
        <v>53.5398</v>
      </c>
      <c r="H1811">
        <v>4.7329999999999997</v>
      </c>
      <c r="K1811">
        <v>28306</v>
      </c>
      <c r="L1811" t="s">
        <v>8756</v>
      </c>
      <c r="M1811">
        <v>1.2</v>
      </c>
    </row>
    <row r="1812" spans="1:13" x14ac:dyDescent="0.25">
      <c r="A1812" t="s">
        <v>8757</v>
      </c>
      <c r="B1812">
        <v>64093</v>
      </c>
      <c r="C1812">
        <v>4901777275652</v>
      </c>
      <c r="D1812">
        <v>839.9</v>
      </c>
      <c r="E1812">
        <v>606.76</v>
      </c>
      <c r="F1812">
        <v>23.99</v>
      </c>
      <c r="G1812">
        <v>560.71579999999994</v>
      </c>
      <c r="H1812">
        <v>0</v>
      </c>
      <c r="K1812">
        <v>64093</v>
      </c>
      <c r="L1812" t="s">
        <v>8757</v>
      </c>
      <c r="M1812">
        <v>0</v>
      </c>
    </row>
    <row r="1813" spans="1:13" x14ac:dyDescent="0.25">
      <c r="A1813" t="s">
        <v>8758</v>
      </c>
      <c r="B1813">
        <v>51358</v>
      </c>
      <c r="C1813">
        <v>5000267165806</v>
      </c>
      <c r="D1813">
        <v>649.9</v>
      </c>
      <c r="E1813">
        <v>404.33</v>
      </c>
      <c r="F1813">
        <v>28.94</v>
      </c>
      <c r="G1813">
        <v>401.73360000000002</v>
      </c>
      <c r="H1813">
        <v>3.3000000000000002E-2</v>
      </c>
      <c r="K1813">
        <v>51358</v>
      </c>
      <c r="L1813" t="s">
        <v>8758</v>
      </c>
      <c r="M1813">
        <v>3.3000000000000002E-2</v>
      </c>
    </row>
    <row r="1814" spans="1:13" x14ac:dyDescent="0.25">
      <c r="A1814" t="s">
        <v>8759</v>
      </c>
      <c r="B1814">
        <v>2877</v>
      </c>
      <c r="C1814">
        <v>5000267023625</v>
      </c>
      <c r="D1814">
        <v>159.9</v>
      </c>
      <c r="E1814">
        <v>162.09</v>
      </c>
      <c r="F1814">
        <v>-2.1</v>
      </c>
      <c r="G1814">
        <v>148.46250000000001</v>
      </c>
      <c r="H1814">
        <v>4.2</v>
      </c>
      <c r="K1814">
        <v>2877</v>
      </c>
      <c r="L1814" t="s">
        <v>8759</v>
      </c>
      <c r="M1814">
        <v>1.3</v>
      </c>
    </row>
    <row r="1815" spans="1:13" x14ac:dyDescent="0.25">
      <c r="A1815" t="s">
        <v>8760</v>
      </c>
      <c r="B1815">
        <v>39747</v>
      </c>
      <c r="C1815">
        <v>5000267024011</v>
      </c>
      <c r="D1815">
        <v>119.9</v>
      </c>
      <c r="E1815">
        <v>117.94</v>
      </c>
      <c r="F1815">
        <v>1.66</v>
      </c>
      <c r="G1815">
        <v>106.8198</v>
      </c>
      <c r="H1815">
        <v>1</v>
      </c>
      <c r="K1815">
        <v>39747</v>
      </c>
      <c r="L1815" t="s">
        <v>8760</v>
      </c>
      <c r="M1815">
        <v>0.13300000000000001</v>
      </c>
    </row>
    <row r="1816" spans="1:13" x14ac:dyDescent="0.25">
      <c r="A1816" t="s">
        <v>8761</v>
      </c>
      <c r="B1816">
        <v>63160</v>
      </c>
      <c r="C1816">
        <v>5000267190754</v>
      </c>
      <c r="D1816">
        <v>179.9</v>
      </c>
      <c r="E1816">
        <v>128.37</v>
      </c>
      <c r="F1816">
        <v>26</v>
      </c>
      <c r="G1816">
        <v>116.492</v>
      </c>
      <c r="H1816">
        <v>0</v>
      </c>
      <c r="K1816">
        <v>63160</v>
      </c>
      <c r="L1816" t="s">
        <v>8761</v>
      </c>
      <c r="M1816">
        <v>0</v>
      </c>
    </row>
    <row r="1817" spans="1:13" x14ac:dyDescent="0.25">
      <c r="A1817" t="s">
        <v>8762</v>
      </c>
      <c r="B1817">
        <v>61753</v>
      </c>
      <c r="C1817">
        <v>5000267187150</v>
      </c>
      <c r="D1817">
        <v>199.9</v>
      </c>
      <c r="E1817">
        <v>145.72999999999999</v>
      </c>
      <c r="F1817">
        <v>24.46</v>
      </c>
      <c r="G1817">
        <v>132.506</v>
      </c>
      <c r="H1817">
        <v>0.26700000000000002</v>
      </c>
      <c r="K1817">
        <v>61753</v>
      </c>
      <c r="L1817" t="s">
        <v>8762</v>
      </c>
      <c r="M1817">
        <v>6.7000000000000004E-2</v>
      </c>
    </row>
    <row r="1818" spans="1:13" x14ac:dyDescent="0.25">
      <c r="A1818" t="s">
        <v>8763</v>
      </c>
      <c r="B1818">
        <v>25465</v>
      </c>
      <c r="C1818">
        <v>5000267114545</v>
      </c>
      <c r="D1818" s="1">
        <v>1499.9</v>
      </c>
      <c r="E1818" s="1">
        <v>1193.27</v>
      </c>
      <c r="F1818">
        <v>18.329999999999998</v>
      </c>
      <c r="G1818" s="1">
        <v>1086.2947999999999</v>
      </c>
      <c r="H1818">
        <v>0</v>
      </c>
      <c r="K1818">
        <v>25465</v>
      </c>
      <c r="L1818" t="s">
        <v>8763</v>
      </c>
      <c r="M1818">
        <v>0</v>
      </c>
    </row>
    <row r="1819" spans="1:13" x14ac:dyDescent="0.25">
      <c r="A1819" t="s">
        <v>8764</v>
      </c>
      <c r="B1819">
        <v>65591</v>
      </c>
      <c r="C1819">
        <v>5000267188775</v>
      </c>
      <c r="D1819" s="1">
        <v>2399.9</v>
      </c>
      <c r="E1819" s="1">
        <v>1757.31</v>
      </c>
      <c r="F1819">
        <v>24.3</v>
      </c>
      <c r="G1819" s="1">
        <v>1594.7605000000001</v>
      </c>
      <c r="H1819">
        <v>3.3000000000000002E-2</v>
      </c>
      <c r="K1819">
        <v>65591</v>
      </c>
      <c r="L1819" t="s">
        <v>8764</v>
      </c>
      <c r="M1819">
        <v>0</v>
      </c>
    </row>
    <row r="1820" spans="1:13" x14ac:dyDescent="0.25">
      <c r="A1820" t="s">
        <v>8765</v>
      </c>
      <c r="B1820">
        <v>65861</v>
      </c>
      <c r="C1820">
        <v>5000267192871</v>
      </c>
      <c r="D1820" s="1">
        <v>2999.9</v>
      </c>
      <c r="E1820" s="1">
        <v>2253.23</v>
      </c>
      <c r="F1820">
        <v>22.59</v>
      </c>
      <c r="G1820" s="1">
        <v>2044.81</v>
      </c>
      <c r="H1820">
        <v>0</v>
      </c>
      <c r="K1820">
        <v>65861</v>
      </c>
      <c r="L1820" t="s">
        <v>8765</v>
      </c>
      <c r="M1820">
        <v>0</v>
      </c>
    </row>
    <row r="1821" spans="1:13" x14ac:dyDescent="0.25">
      <c r="A1821" t="s">
        <v>8766</v>
      </c>
      <c r="B1821">
        <v>23586</v>
      </c>
      <c r="C1821">
        <v>5000267116310</v>
      </c>
      <c r="D1821">
        <v>289.89999999999998</v>
      </c>
      <c r="E1821">
        <v>214.02</v>
      </c>
      <c r="F1821">
        <v>23.32</v>
      </c>
      <c r="G1821">
        <v>195.46870000000001</v>
      </c>
      <c r="H1821">
        <v>0.4</v>
      </c>
      <c r="K1821">
        <v>23586</v>
      </c>
      <c r="L1821" t="s">
        <v>8766</v>
      </c>
      <c r="M1821">
        <v>0.16700000000000001</v>
      </c>
    </row>
    <row r="1822" spans="1:13" x14ac:dyDescent="0.25">
      <c r="A1822" t="s">
        <v>8767</v>
      </c>
      <c r="B1822">
        <v>23487</v>
      </c>
      <c r="C1822">
        <v>5000267197630</v>
      </c>
      <c r="D1822">
        <v>239.9</v>
      </c>
      <c r="E1822">
        <v>232.01</v>
      </c>
      <c r="F1822">
        <v>-3.24</v>
      </c>
      <c r="G1822">
        <v>225.47210000000001</v>
      </c>
      <c r="H1822">
        <v>0.66700000000000004</v>
      </c>
      <c r="K1822">
        <v>23487</v>
      </c>
      <c r="L1822" t="s">
        <v>8767</v>
      </c>
      <c r="M1822">
        <v>0.4</v>
      </c>
    </row>
    <row r="1823" spans="1:13" x14ac:dyDescent="0.25">
      <c r="A1823" t="s">
        <v>8768</v>
      </c>
      <c r="B1823">
        <v>30817</v>
      </c>
      <c r="C1823">
        <v>5000267134734</v>
      </c>
      <c r="D1823">
        <v>569.9</v>
      </c>
      <c r="E1823">
        <v>426.83</v>
      </c>
      <c r="F1823">
        <v>21.91</v>
      </c>
      <c r="G1823">
        <v>392.33890000000002</v>
      </c>
      <c r="H1823">
        <v>3.3000000000000002E-2</v>
      </c>
      <c r="K1823">
        <v>30817</v>
      </c>
      <c r="L1823" t="s">
        <v>8768</v>
      </c>
      <c r="M1823">
        <v>3.3000000000000002E-2</v>
      </c>
    </row>
    <row r="1824" spans="1:13" x14ac:dyDescent="0.25">
      <c r="A1824" t="s">
        <v>8769</v>
      </c>
      <c r="B1824">
        <v>61193</v>
      </c>
      <c r="C1824">
        <v>5000267106151</v>
      </c>
      <c r="D1824" s="1">
        <v>4199.8999999999996</v>
      </c>
      <c r="E1824" s="1">
        <v>2430.39</v>
      </c>
      <c r="F1824">
        <v>38.229999999999997</v>
      </c>
      <c r="G1824" s="1">
        <v>2205.58</v>
      </c>
      <c r="H1824">
        <v>0</v>
      </c>
      <c r="K1824">
        <v>61193</v>
      </c>
      <c r="L1824" t="s">
        <v>8769</v>
      </c>
      <c r="M1824">
        <v>0</v>
      </c>
    </row>
    <row r="1825" spans="1:13" x14ac:dyDescent="0.25">
      <c r="A1825" t="s">
        <v>8770</v>
      </c>
      <c r="B1825">
        <v>60192</v>
      </c>
      <c r="C1825">
        <v>5000267182926</v>
      </c>
      <c r="D1825">
        <v>799.9</v>
      </c>
      <c r="E1825">
        <v>556.24</v>
      </c>
      <c r="F1825">
        <v>27.64</v>
      </c>
      <c r="G1825">
        <v>504.78829999999999</v>
      </c>
      <c r="H1825">
        <v>0</v>
      </c>
      <c r="K1825">
        <v>60192</v>
      </c>
      <c r="L1825" t="s">
        <v>8770</v>
      </c>
      <c r="M1825">
        <v>0</v>
      </c>
    </row>
    <row r="1826" spans="1:13" x14ac:dyDescent="0.25">
      <c r="A1826" t="s">
        <v>8771</v>
      </c>
      <c r="B1826">
        <v>2879</v>
      </c>
      <c r="C1826">
        <v>5000267190686</v>
      </c>
      <c r="D1826">
        <v>89.9</v>
      </c>
      <c r="E1826">
        <v>85.63</v>
      </c>
      <c r="F1826">
        <v>2.59</v>
      </c>
      <c r="G1826">
        <v>79.252099999999999</v>
      </c>
      <c r="H1826">
        <v>4.3330000000000002</v>
      </c>
      <c r="K1826">
        <v>2879</v>
      </c>
      <c r="L1826" t="s">
        <v>8771</v>
      </c>
      <c r="M1826">
        <v>1.367</v>
      </c>
    </row>
    <row r="1827" spans="1:13" x14ac:dyDescent="0.25">
      <c r="A1827" t="s">
        <v>8772</v>
      </c>
      <c r="B1827">
        <v>39746</v>
      </c>
      <c r="C1827">
        <v>5000267188416</v>
      </c>
      <c r="D1827">
        <v>64.900000000000006</v>
      </c>
      <c r="E1827">
        <v>65.38</v>
      </c>
      <c r="F1827">
        <v>-1.28</v>
      </c>
      <c r="G1827">
        <v>59.73</v>
      </c>
      <c r="H1827">
        <v>2.867</v>
      </c>
      <c r="K1827">
        <v>39746</v>
      </c>
      <c r="L1827" t="s">
        <v>8772</v>
      </c>
      <c r="M1827">
        <v>0.86699999999999999</v>
      </c>
    </row>
    <row r="1828" spans="1:13" x14ac:dyDescent="0.25">
      <c r="A1828" t="s">
        <v>8773</v>
      </c>
      <c r="B1828">
        <v>64459</v>
      </c>
      <c r="C1828">
        <v>5000267186443</v>
      </c>
      <c r="D1828">
        <v>899.9</v>
      </c>
      <c r="E1828">
        <v>522.45000000000005</v>
      </c>
      <c r="F1828">
        <v>38.06</v>
      </c>
      <c r="G1828">
        <v>474.12150000000003</v>
      </c>
      <c r="H1828">
        <v>0</v>
      </c>
      <c r="K1828">
        <v>64459</v>
      </c>
      <c r="L1828" t="s">
        <v>8773</v>
      </c>
      <c r="M1828">
        <v>0</v>
      </c>
    </row>
    <row r="1829" spans="1:13" x14ac:dyDescent="0.25">
      <c r="A1829" t="s">
        <v>8774</v>
      </c>
      <c r="B1829">
        <v>64461</v>
      </c>
      <c r="C1829">
        <v>5000267191003</v>
      </c>
      <c r="D1829" s="1">
        <v>1999.9</v>
      </c>
      <c r="E1829" s="1">
        <v>1420.4</v>
      </c>
      <c r="F1829">
        <v>24.98</v>
      </c>
      <c r="G1829" s="1">
        <v>1315.2754</v>
      </c>
      <c r="H1829">
        <v>0</v>
      </c>
      <c r="K1829">
        <v>64461</v>
      </c>
      <c r="L1829" t="s">
        <v>8774</v>
      </c>
      <c r="M1829">
        <v>0</v>
      </c>
    </row>
    <row r="1830" spans="1:13" x14ac:dyDescent="0.25">
      <c r="A1830" t="s">
        <v>8775</v>
      </c>
      <c r="B1830">
        <v>64460</v>
      </c>
      <c r="C1830">
        <v>5000267186351</v>
      </c>
      <c r="D1830">
        <v>399.9</v>
      </c>
      <c r="E1830">
        <v>281.55</v>
      </c>
      <c r="F1830">
        <v>26.86</v>
      </c>
      <c r="G1830">
        <v>255.5067</v>
      </c>
      <c r="H1830">
        <v>0</v>
      </c>
      <c r="K1830">
        <v>64460</v>
      </c>
      <c r="L1830" t="s">
        <v>8775</v>
      </c>
      <c r="M1830">
        <v>0</v>
      </c>
    </row>
    <row r="1831" spans="1:13" x14ac:dyDescent="0.25">
      <c r="A1831" t="s">
        <v>8776</v>
      </c>
      <c r="B1831">
        <v>62613</v>
      </c>
      <c r="C1831">
        <v>5000267190556</v>
      </c>
      <c r="D1831">
        <v>79.900000000000006</v>
      </c>
      <c r="E1831">
        <v>84.67</v>
      </c>
      <c r="F1831">
        <v>-6.69</v>
      </c>
      <c r="G1831">
        <v>77.854299999999995</v>
      </c>
      <c r="H1831">
        <v>0.8</v>
      </c>
      <c r="K1831">
        <v>62613</v>
      </c>
      <c r="L1831" t="s">
        <v>8776</v>
      </c>
      <c r="M1831">
        <v>0.2</v>
      </c>
    </row>
    <row r="1832" spans="1:13" x14ac:dyDescent="0.25">
      <c r="A1832" t="s">
        <v>8777</v>
      </c>
      <c r="B1832">
        <v>64101</v>
      </c>
      <c r="C1832">
        <v>80686813019</v>
      </c>
      <c r="D1832">
        <v>549.9</v>
      </c>
      <c r="E1832">
        <v>416.29</v>
      </c>
      <c r="F1832">
        <v>22.05</v>
      </c>
      <c r="G1832">
        <v>377.78199999999998</v>
      </c>
      <c r="H1832">
        <v>0</v>
      </c>
      <c r="K1832">
        <v>64101</v>
      </c>
      <c r="L1832" t="s">
        <v>8777</v>
      </c>
      <c r="M1832">
        <v>0</v>
      </c>
    </row>
    <row r="1833" spans="1:13" x14ac:dyDescent="0.25">
      <c r="A1833" t="s">
        <v>8778</v>
      </c>
      <c r="B1833">
        <v>64156</v>
      </c>
      <c r="C1833">
        <v>80686813033</v>
      </c>
      <c r="D1833">
        <v>599.9</v>
      </c>
      <c r="E1833">
        <v>498.45</v>
      </c>
      <c r="F1833">
        <v>15.35</v>
      </c>
      <c r="G1833">
        <v>452.34589999999997</v>
      </c>
      <c r="H1833">
        <v>3.3000000000000002E-2</v>
      </c>
      <c r="K1833">
        <v>64156</v>
      </c>
      <c r="L1833" t="s">
        <v>8778</v>
      </c>
      <c r="M1833">
        <v>3.3000000000000002E-2</v>
      </c>
    </row>
    <row r="1834" spans="1:13" x14ac:dyDescent="0.25">
      <c r="A1834" t="s">
        <v>8779</v>
      </c>
      <c r="B1834">
        <v>37208</v>
      </c>
      <c r="C1834">
        <v>5010314302863</v>
      </c>
      <c r="D1834">
        <v>779.37</v>
      </c>
      <c r="E1834">
        <v>494.67</v>
      </c>
      <c r="F1834">
        <v>33.29</v>
      </c>
      <c r="G1834">
        <v>447.84379999999999</v>
      </c>
      <c r="H1834">
        <v>0.2</v>
      </c>
      <c r="K1834">
        <v>37208</v>
      </c>
      <c r="L1834" t="s">
        <v>8779</v>
      </c>
      <c r="M1834">
        <v>0.13300000000000001</v>
      </c>
    </row>
    <row r="1835" spans="1:13" x14ac:dyDescent="0.25">
      <c r="A1835" t="s">
        <v>8780</v>
      </c>
      <c r="B1835">
        <v>60871</v>
      </c>
      <c r="C1835">
        <v>5010314308469</v>
      </c>
      <c r="D1835" s="1">
        <v>1799.9</v>
      </c>
      <c r="E1835" s="1">
        <v>1280.1500000000001</v>
      </c>
      <c r="F1835">
        <v>27.89</v>
      </c>
      <c r="G1835" s="1">
        <v>1131.3828000000001</v>
      </c>
      <c r="H1835">
        <v>3.3000000000000002E-2</v>
      </c>
      <c r="K1835">
        <v>60871</v>
      </c>
      <c r="L1835" t="s">
        <v>8780</v>
      </c>
      <c r="M1835">
        <v>3.3000000000000002E-2</v>
      </c>
    </row>
    <row r="1836" spans="1:13" x14ac:dyDescent="0.25">
      <c r="A1836" t="s">
        <v>8781</v>
      </c>
      <c r="B1836">
        <v>66884</v>
      </c>
      <c r="C1836">
        <v>5010719187003</v>
      </c>
      <c r="D1836" s="1">
        <v>4449.8999999999996</v>
      </c>
      <c r="E1836" s="1">
        <v>3332.26</v>
      </c>
      <c r="F1836">
        <v>22.83</v>
      </c>
      <c r="G1836" s="1">
        <v>3022.4079999999999</v>
      </c>
      <c r="H1836">
        <v>0</v>
      </c>
      <c r="K1836">
        <v>66884</v>
      </c>
      <c r="L1836" t="s">
        <v>8781</v>
      </c>
      <c r="M1836">
        <v>0</v>
      </c>
    </row>
    <row r="1837" spans="1:13" x14ac:dyDescent="0.25">
      <c r="A1837" t="s">
        <v>8782</v>
      </c>
      <c r="B1837">
        <v>31191</v>
      </c>
      <c r="C1837">
        <v>852461394316</v>
      </c>
      <c r="D1837">
        <v>239.9</v>
      </c>
      <c r="E1837">
        <v>173.13</v>
      </c>
      <c r="F1837">
        <v>25.25</v>
      </c>
      <c r="G1837">
        <v>157.1446</v>
      </c>
      <c r="H1837">
        <v>6.7000000000000004E-2</v>
      </c>
      <c r="K1837">
        <v>31191</v>
      </c>
      <c r="L1837" t="s">
        <v>8782</v>
      </c>
      <c r="M1837">
        <v>6.7000000000000004E-2</v>
      </c>
    </row>
    <row r="1838" spans="1:13" x14ac:dyDescent="0.25">
      <c r="A1838" t="s">
        <v>8783</v>
      </c>
      <c r="B1838">
        <v>59765</v>
      </c>
      <c r="C1838">
        <v>7891050000460</v>
      </c>
      <c r="D1838">
        <v>49.9</v>
      </c>
      <c r="E1838">
        <v>35</v>
      </c>
      <c r="F1838">
        <v>27.09</v>
      </c>
      <c r="G1838">
        <v>31.7653</v>
      </c>
      <c r="H1838">
        <v>0</v>
      </c>
      <c r="K1838">
        <v>59765</v>
      </c>
      <c r="L1838" t="s">
        <v>8783</v>
      </c>
      <c r="M1838">
        <v>0</v>
      </c>
    </row>
    <row r="1839" spans="1:13" x14ac:dyDescent="0.25">
      <c r="A1839" t="s">
        <v>8784</v>
      </c>
      <c r="B1839">
        <v>27203</v>
      </c>
      <c r="C1839">
        <v>5000281004020</v>
      </c>
      <c r="D1839">
        <v>179.9</v>
      </c>
      <c r="E1839">
        <v>133.71</v>
      </c>
      <c r="F1839">
        <v>21.95</v>
      </c>
      <c r="G1839">
        <v>123.7646</v>
      </c>
      <c r="H1839">
        <v>1.7330000000000001</v>
      </c>
      <c r="K1839">
        <v>27203</v>
      </c>
      <c r="L1839" t="s">
        <v>8784</v>
      </c>
      <c r="M1839">
        <v>1.7</v>
      </c>
    </row>
    <row r="1840" spans="1:13" x14ac:dyDescent="0.25">
      <c r="A1840" t="s">
        <v>8785</v>
      </c>
      <c r="B1840">
        <v>57746</v>
      </c>
      <c r="C1840">
        <v>5000281003160</v>
      </c>
      <c r="D1840">
        <v>125.9</v>
      </c>
      <c r="E1840">
        <v>95.54</v>
      </c>
      <c r="F1840">
        <v>21.82</v>
      </c>
      <c r="G1840">
        <v>86.780100000000004</v>
      </c>
      <c r="H1840">
        <v>0.73299999999999998</v>
      </c>
      <c r="K1840">
        <v>57746</v>
      </c>
      <c r="L1840" t="s">
        <v>8785</v>
      </c>
      <c r="M1840">
        <v>0.8</v>
      </c>
    </row>
    <row r="1841" spans="1:13" x14ac:dyDescent="0.25">
      <c r="A1841" t="s">
        <v>8786</v>
      </c>
      <c r="B1841">
        <v>56056</v>
      </c>
      <c r="C1841">
        <v>5000281055091</v>
      </c>
      <c r="D1841">
        <v>479.9</v>
      </c>
      <c r="E1841">
        <v>348.48</v>
      </c>
      <c r="F1841">
        <v>24.51</v>
      </c>
      <c r="G1841">
        <v>317.88119999999998</v>
      </c>
      <c r="H1841">
        <v>3.3000000000000002E-2</v>
      </c>
      <c r="K1841">
        <v>56056</v>
      </c>
      <c r="L1841" t="s">
        <v>8786</v>
      </c>
      <c r="M1841">
        <v>3.3000000000000002E-2</v>
      </c>
    </row>
    <row r="1842" spans="1:13" x14ac:dyDescent="0.25">
      <c r="A1842" t="s">
        <v>8787</v>
      </c>
      <c r="B1842">
        <v>69339</v>
      </c>
      <c r="C1842">
        <v>5000299637128</v>
      </c>
      <c r="D1842" s="1">
        <v>1499.9</v>
      </c>
      <c r="E1842" s="1">
        <v>1100.6099999999999</v>
      </c>
      <c r="F1842">
        <v>24.16</v>
      </c>
      <c r="G1842">
        <v>998.80050000000006</v>
      </c>
      <c r="H1842">
        <v>3.3000000000000002E-2</v>
      </c>
      <c r="K1842">
        <v>69339</v>
      </c>
      <c r="L1842" t="s">
        <v>8787</v>
      </c>
      <c r="M1842">
        <v>3.3000000000000002E-2</v>
      </c>
    </row>
    <row r="1843" spans="1:13" x14ac:dyDescent="0.25">
      <c r="A1843" t="s">
        <v>8788</v>
      </c>
      <c r="B1843">
        <v>67443</v>
      </c>
      <c r="C1843">
        <v>5000299624227</v>
      </c>
      <c r="D1843" s="1">
        <v>1229.9000000000001</v>
      </c>
      <c r="E1843">
        <v>833.7</v>
      </c>
      <c r="F1843">
        <v>29.23</v>
      </c>
      <c r="G1843">
        <v>756.57749999999999</v>
      </c>
      <c r="H1843">
        <v>3.3000000000000002E-2</v>
      </c>
      <c r="K1843">
        <v>67443</v>
      </c>
      <c r="L1843" t="s">
        <v>8788</v>
      </c>
      <c r="M1843">
        <v>3.3000000000000002E-2</v>
      </c>
    </row>
    <row r="1844" spans="1:13" x14ac:dyDescent="0.25">
      <c r="A1844" t="s">
        <v>8789</v>
      </c>
      <c r="B1844">
        <v>45806</v>
      </c>
      <c r="C1844">
        <v>5000299624333</v>
      </c>
      <c r="D1844" s="1">
        <v>1199.9000000000001</v>
      </c>
      <c r="E1844">
        <v>842.07</v>
      </c>
      <c r="F1844">
        <v>27.18</v>
      </c>
      <c r="G1844">
        <v>762.7355</v>
      </c>
      <c r="H1844">
        <v>0</v>
      </c>
      <c r="K1844">
        <v>45806</v>
      </c>
      <c r="L1844" t="s">
        <v>8789</v>
      </c>
      <c r="M1844">
        <v>0</v>
      </c>
    </row>
    <row r="1845" spans="1:13" x14ac:dyDescent="0.25">
      <c r="A1845" t="s">
        <v>8790</v>
      </c>
      <c r="B1845">
        <v>45976</v>
      </c>
      <c r="C1845">
        <v>5000281050171</v>
      </c>
      <c r="D1845">
        <v>249.9</v>
      </c>
      <c r="E1845">
        <v>174.44</v>
      </c>
      <c r="F1845">
        <v>20.73</v>
      </c>
      <c r="G1845">
        <v>174.96969999999999</v>
      </c>
      <c r="H1845">
        <v>4.5670000000000002</v>
      </c>
      <c r="K1845">
        <v>45976</v>
      </c>
      <c r="L1845" t="s">
        <v>8790</v>
      </c>
      <c r="M1845">
        <v>0.16700000000000001</v>
      </c>
    </row>
    <row r="1846" spans="1:13" x14ac:dyDescent="0.25">
      <c r="A1846" t="s">
        <v>8791</v>
      </c>
      <c r="B1846">
        <v>64096</v>
      </c>
      <c r="C1846">
        <v>4901777286177</v>
      </c>
      <c r="D1846">
        <v>549.9</v>
      </c>
      <c r="E1846">
        <v>368.8</v>
      </c>
      <c r="F1846">
        <v>29.89</v>
      </c>
      <c r="G1846">
        <v>334.68169999999998</v>
      </c>
      <c r="H1846">
        <v>0</v>
      </c>
      <c r="K1846">
        <v>64096</v>
      </c>
      <c r="L1846" t="s">
        <v>8791</v>
      </c>
      <c r="M1846">
        <v>0</v>
      </c>
    </row>
    <row r="1847" spans="1:13" x14ac:dyDescent="0.25">
      <c r="A1847" t="s">
        <v>8792</v>
      </c>
      <c r="B1847">
        <v>55352</v>
      </c>
      <c r="C1847">
        <v>5000281002903</v>
      </c>
      <c r="D1847">
        <v>519.9</v>
      </c>
      <c r="E1847">
        <v>370.57</v>
      </c>
      <c r="F1847">
        <v>22.16</v>
      </c>
      <c r="G1847">
        <v>356.61270000000002</v>
      </c>
      <c r="H1847">
        <v>0</v>
      </c>
      <c r="K1847">
        <v>55352</v>
      </c>
      <c r="L1847" t="s">
        <v>8792</v>
      </c>
      <c r="M1847">
        <v>0</v>
      </c>
    </row>
    <row r="1848" spans="1:13" x14ac:dyDescent="0.25">
      <c r="A1848" t="s">
        <v>8793</v>
      </c>
      <c r="B1848">
        <v>64895</v>
      </c>
      <c r="C1848">
        <v>80432115763</v>
      </c>
      <c r="D1848">
        <v>339.9</v>
      </c>
      <c r="E1848">
        <v>242.66</v>
      </c>
      <c r="F1848">
        <v>25.96</v>
      </c>
      <c r="G1848">
        <v>220.2099</v>
      </c>
      <c r="H1848">
        <v>3.3000000000000002E-2</v>
      </c>
      <c r="K1848">
        <v>64895</v>
      </c>
      <c r="L1848" t="s">
        <v>8793</v>
      </c>
      <c r="M1848">
        <v>3.3000000000000002E-2</v>
      </c>
    </row>
    <row r="1849" spans="1:13" x14ac:dyDescent="0.25">
      <c r="A1849" t="s">
        <v>8794</v>
      </c>
      <c r="B1849">
        <v>61991</v>
      </c>
      <c r="C1849">
        <v>5000267108841</v>
      </c>
      <c r="D1849" s="1">
        <v>29999.9</v>
      </c>
      <c r="E1849" s="1">
        <v>10745.36</v>
      </c>
      <c r="F1849">
        <v>58.25</v>
      </c>
      <c r="G1849" s="1">
        <v>9751.4138000000003</v>
      </c>
      <c r="H1849">
        <v>0</v>
      </c>
      <c r="K1849">
        <v>61991</v>
      </c>
      <c r="L1849" t="s">
        <v>8794</v>
      </c>
      <c r="M1849">
        <v>0</v>
      </c>
    </row>
    <row r="1850" spans="1:13" x14ac:dyDescent="0.25">
      <c r="A1850" t="s">
        <v>8795</v>
      </c>
      <c r="B1850">
        <v>64390</v>
      </c>
      <c r="C1850">
        <v>5010314301712</v>
      </c>
      <c r="D1850" s="1">
        <v>4299.8999999999996</v>
      </c>
      <c r="E1850" s="1">
        <v>3105.19</v>
      </c>
      <c r="F1850">
        <v>25.21</v>
      </c>
      <c r="G1850" s="1">
        <v>2817.9611</v>
      </c>
      <c r="H1850">
        <v>0</v>
      </c>
      <c r="K1850">
        <v>64390</v>
      </c>
      <c r="L1850" t="s">
        <v>8795</v>
      </c>
      <c r="M1850">
        <v>0</v>
      </c>
    </row>
    <row r="1851" spans="1:13" x14ac:dyDescent="0.25">
      <c r="A1851" t="s">
        <v>8796</v>
      </c>
      <c r="B1851">
        <v>32382</v>
      </c>
      <c r="C1851">
        <v>5000265101042</v>
      </c>
      <c r="D1851">
        <v>49.9</v>
      </c>
      <c r="E1851">
        <v>36.229999999999997</v>
      </c>
      <c r="F1851">
        <v>24.8</v>
      </c>
      <c r="G1851">
        <v>32.909999999999997</v>
      </c>
      <c r="H1851">
        <v>1.0329999999999999</v>
      </c>
      <c r="K1851">
        <v>32382</v>
      </c>
      <c r="L1851" t="s">
        <v>8796</v>
      </c>
      <c r="M1851">
        <v>0.5</v>
      </c>
    </row>
    <row r="1852" spans="1:13" x14ac:dyDescent="0.25">
      <c r="A1852" t="s">
        <v>8797</v>
      </c>
      <c r="B1852">
        <v>2880</v>
      </c>
      <c r="C1852">
        <v>5000265090056</v>
      </c>
      <c r="D1852">
        <v>89.9</v>
      </c>
      <c r="E1852">
        <v>66.34</v>
      </c>
      <c r="F1852">
        <v>24.6</v>
      </c>
      <c r="G1852">
        <v>59.471600000000002</v>
      </c>
      <c r="H1852">
        <v>2.0670000000000002</v>
      </c>
      <c r="K1852">
        <v>2880</v>
      </c>
      <c r="L1852" t="s">
        <v>8797</v>
      </c>
      <c r="M1852">
        <v>1</v>
      </c>
    </row>
    <row r="1853" spans="1:13" x14ac:dyDescent="0.25">
      <c r="A1853" t="s">
        <v>8798</v>
      </c>
      <c r="B1853">
        <v>29357</v>
      </c>
      <c r="C1853">
        <v>5010752001083</v>
      </c>
      <c r="D1853">
        <v>89.9</v>
      </c>
      <c r="E1853">
        <v>68.61</v>
      </c>
      <c r="F1853">
        <v>21.5</v>
      </c>
      <c r="G1853">
        <v>62.259099999999997</v>
      </c>
      <c r="H1853">
        <v>0.13300000000000001</v>
      </c>
      <c r="K1853">
        <v>29357</v>
      </c>
      <c r="L1853" t="s">
        <v>8798</v>
      </c>
      <c r="M1853">
        <v>0.13300000000000001</v>
      </c>
    </row>
    <row r="1854" spans="1:13" x14ac:dyDescent="0.25">
      <c r="A1854" t="s">
        <v>8799</v>
      </c>
      <c r="B1854">
        <v>64097</v>
      </c>
      <c r="C1854">
        <v>4901777020313</v>
      </c>
      <c r="D1854" s="1">
        <v>1119.9000000000001</v>
      </c>
      <c r="E1854">
        <v>882.56</v>
      </c>
      <c r="F1854">
        <v>19.23</v>
      </c>
      <c r="G1854">
        <v>800.92</v>
      </c>
      <c r="H1854">
        <v>0</v>
      </c>
      <c r="K1854">
        <v>64097</v>
      </c>
      <c r="L1854" t="s">
        <v>8799</v>
      </c>
      <c r="M1854">
        <v>0</v>
      </c>
    </row>
    <row r="1855" spans="1:13" x14ac:dyDescent="0.25">
      <c r="A1855" t="s">
        <v>8800</v>
      </c>
      <c r="B1855">
        <v>29382</v>
      </c>
      <c r="C1855">
        <v>7891121619003</v>
      </c>
      <c r="D1855">
        <v>54.9</v>
      </c>
      <c r="E1855">
        <v>37.5</v>
      </c>
      <c r="F1855">
        <v>28.81</v>
      </c>
      <c r="G1855">
        <v>34.006599999999999</v>
      </c>
      <c r="H1855">
        <v>0.3</v>
      </c>
      <c r="K1855">
        <v>29382</v>
      </c>
      <c r="L1855" t="s">
        <v>8800</v>
      </c>
      <c r="M1855">
        <v>0.3</v>
      </c>
    </row>
    <row r="1856" spans="1:13" x14ac:dyDescent="0.25">
      <c r="A1856" t="s">
        <v>8801</v>
      </c>
      <c r="B1856">
        <v>49076</v>
      </c>
      <c r="C1856">
        <v>7891121622003</v>
      </c>
      <c r="D1856">
        <v>54.9</v>
      </c>
      <c r="E1856">
        <v>37.03</v>
      </c>
      <c r="F1856">
        <v>29.56</v>
      </c>
      <c r="G1856">
        <v>33.595300000000002</v>
      </c>
      <c r="H1856">
        <v>0.3</v>
      </c>
      <c r="K1856">
        <v>49076</v>
      </c>
      <c r="L1856" t="s">
        <v>8801</v>
      </c>
      <c r="M1856">
        <v>0.3</v>
      </c>
    </row>
    <row r="1857" spans="1:13" x14ac:dyDescent="0.25">
      <c r="A1857" t="s">
        <v>8802</v>
      </c>
      <c r="B1857">
        <v>29385</v>
      </c>
      <c r="C1857">
        <v>7891121609004</v>
      </c>
      <c r="D1857">
        <v>54.9</v>
      </c>
      <c r="E1857">
        <v>36.71</v>
      </c>
      <c r="F1857">
        <v>29.38</v>
      </c>
      <c r="G1857">
        <v>33.692900000000002</v>
      </c>
      <c r="H1857">
        <v>0.33300000000000002</v>
      </c>
      <c r="K1857">
        <v>29385</v>
      </c>
      <c r="L1857" t="s">
        <v>8802</v>
      </c>
      <c r="M1857">
        <v>0.26700000000000002</v>
      </c>
    </row>
    <row r="1858" spans="1:13" x14ac:dyDescent="0.25">
      <c r="A1858" t="s">
        <v>8803</v>
      </c>
      <c r="B1858">
        <v>29387</v>
      </c>
      <c r="C1858">
        <v>7891121611007</v>
      </c>
      <c r="D1858">
        <v>54.9</v>
      </c>
      <c r="E1858">
        <v>36.08</v>
      </c>
      <c r="F1858">
        <v>32.15</v>
      </c>
      <c r="G1858">
        <v>32.1706</v>
      </c>
      <c r="H1858">
        <v>6.7000000000000004E-2</v>
      </c>
      <c r="K1858">
        <v>29387</v>
      </c>
      <c r="L1858" t="s">
        <v>8803</v>
      </c>
      <c r="M1858">
        <v>0</v>
      </c>
    </row>
    <row r="1859" spans="1:13" x14ac:dyDescent="0.25">
      <c r="A1859" t="s">
        <v>8804</v>
      </c>
      <c r="B1859">
        <v>29389</v>
      </c>
      <c r="C1859">
        <v>7891121612004</v>
      </c>
      <c r="D1859">
        <v>54.9</v>
      </c>
      <c r="E1859">
        <v>37.619999999999997</v>
      </c>
      <c r="F1859">
        <v>28.47</v>
      </c>
      <c r="G1859">
        <v>34.193899999999999</v>
      </c>
      <c r="H1859">
        <v>0.3</v>
      </c>
      <c r="K1859">
        <v>29389</v>
      </c>
      <c r="L1859" t="s">
        <v>8804</v>
      </c>
      <c r="M1859">
        <v>0.3</v>
      </c>
    </row>
    <row r="1860" spans="1:13" x14ac:dyDescent="0.25">
      <c r="A1860" t="s">
        <v>8805</v>
      </c>
      <c r="B1860">
        <v>29392</v>
      </c>
      <c r="C1860">
        <v>7891121615005</v>
      </c>
      <c r="D1860">
        <v>54.9</v>
      </c>
      <c r="E1860">
        <v>37.89</v>
      </c>
      <c r="F1860">
        <v>28.07</v>
      </c>
      <c r="G1860">
        <v>34.4133</v>
      </c>
      <c r="H1860">
        <v>0.23300000000000001</v>
      </c>
      <c r="K1860">
        <v>29392</v>
      </c>
      <c r="L1860" t="s">
        <v>8805</v>
      </c>
      <c r="M1860">
        <v>0.23300000000000001</v>
      </c>
    </row>
    <row r="1861" spans="1:13" x14ac:dyDescent="0.25">
      <c r="A1861" t="s">
        <v>8806</v>
      </c>
      <c r="B1861">
        <v>29394</v>
      </c>
      <c r="C1861">
        <v>7891121617009</v>
      </c>
      <c r="D1861">
        <v>54.9</v>
      </c>
      <c r="E1861">
        <v>37.04</v>
      </c>
      <c r="F1861">
        <v>28.98</v>
      </c>
      <c r="G1861">
        <v>33.913499999999999</v>
      </c>
      <c r="H1861">
        <v>0.6</v>
      </c>
      <c r="K1861">
        <v>29394</v>
      </c>
      <c r="L1861" t="s">
        <v>8806</v>
      </c>
      <c r="M1861">
        <v>0.56699999999999995</v>
      </c>
    </row>
    <row r="1862" spans="1:13" x14ac:dyDescent="0.25">
      <c r="A1862" t="s">
        <v>8807</v>
      </c>
      <c r="B1862">
        <v>63737</v>
      </c>
      <c r="C1862">
        <v>3052911376269</v>
      </c>
      <c r="D1862">
        <v>32.9</v>
      </c>
      <c r="E1862">
        <v>20.66</v>
      </c>
      <c r="F1862">
        <v>26.81</v>
      </c>
      <c r="G1862">
        <v>15.1159</v>
      </c>
      <c r="H1862">
        <v>1.167</v>
      </c>
      <c r="K1862">
        <v>63737</v>
      </c>
      <c r="L1862" t="s">
        <v>8807</v>
      </c>
      <c r="M1862">
        <v>1</v>
      </c>
    </row>
    <row r="1863" spans="1:13" x14ac:dyDescent="0.25">
      <c r="A1863" t="s">
        <v>8808</v>
      </c>
      <c r="B1863">
        <v>63741</v>
      </c>
      <c r="C1863">
        <v>3052911376399</v>
      </c>
      <c r="D1863">
        <v>32.9</v>
      </c>
      <c r="E1863">
        <v>19.73</v>
      </c>
      <c r="F1863">
        <v>28.18</v>
      </c>
      <c r="G1863">
        <v>14.6623</v>
      </c>
      <c r="H1863">
        <v>1.1000000000000001</v>
      </c>
      <c r="K1863">
        <v>63741</v>
      </c>
      <c r="L1863" t="s">
        <v>8808</v>
      </c>
      <c r="M1863">
        <v>1.0329999999999999</v>
      </c>
    </row>
    <row r="1864" spans="1:13" x14ac:dyDescent="0.25">
      <c r="A1864" t="s">
        <v>8809</v>
      </c>
      <c r="B1864">
        <v>63740</v>
      </c>
      <c r="C1864">
        <v>3052911557712</v>
      </c>
      <c r="D1864">
        <v>32.9</v>
      </c>
      <c r="E1864">
        <v>17.66</v>
      </c>
      <c r="F1864">
        <v>33.76</v>
      </c>
      <c r="G1864">
        <v>12.8279</v>
      </c>
      <c r="H1864">
        <v>0.36699999999999999</v>
      </c>
      <c r="K1864">
        <v>63740</v>
      </c>
      <c r="L1864" t="s">
        <v>8809</v>
      </c>
      <c r="M1864">
        <v>0.33300000000000002</v>
      </c>
    </row>
    <row r="1865" spans="1:13" x14ac:dyDescent="0.25">
      <c r="A1865" t="s">
        <v>8810</v>
      </c>
      <c r="B1865">
        <v>63736</v>
      </c>
      <c r="C1865">
        <v>3052911188848</v>
      </c>
      <c r="D1865">
        <v>32.9</v>
      </c>
      <c r="E1865">
        <v>20.03</v>
      </c>
      <c r="F1865">
        <v>27.4</v>
      </c>
      <c r="G1865">
        <v>14.9208</v>
      </c>
      <c r="H1865">
        <v>1.7</v>
      </c>
      <c r="K1865">
        <v>63736</v>
      </c>
      <c r="L1865" t="s">
        <v>8810</v>
      </c>
      <c r="M1865">
        <v>1.5</v>
      </c>
    </row>
    <row r="1866" spans="1:13" x14ac:dyDescent="0.25">
      <c r="A1866" t="s">
        <v>8811</v>
      </c>
      <c r="B1866">
        <v>63739</v>
      </c>
      <c r="C1866">
        <v>3052911188879</v>
      </c>
      <c r="D1866">
        <v>32.9</v>
      </c>
      <c r="E1866">
        <v>19.04</v>
      </c>
      <c r="F1866">
        <v>28.12</v>
      </c>
      <c r="G1866">
        <v>14.684200000000001</v>
      </c>
      <c r="H1866">
        <v>1.1000000000000001</v>
      </c>
      <c r="K1866">
        <v>63739</v>
      </c>
      <c r="L1866" t="s">
        <v>8811</v>
      </c>
      <c r="M1866">
        <v>0.9</v>
      </c>
    </row>
    <row r="1867" spans="1:13" x14ac:dyDescent="0.25">
      <c r="A1867" t="s">
        <v>8812</v>
      </c>
      <c r="B1867">
        <v>63738</v>
      </c>
      <c r="C1867">
        <v>3052911376405</v>
      </c>
      <c r="D1867">
        <v>32.9</v>
      </c>
      <c r="E1867">
        <v>20.38</v>
      </c>
      <c r="F1867">
        <v>27.09</v>
      </c>
      <c r="G1867">
        <v>15.023099999999999</v>
      </c>
      <c r="H1867">
        <v>0.93300000000000005</v>
      </c>
      <c r="K1867">
        <v>63738</v>
      </c>
      <c r="L1867" t="s">
        <v>8812</v>
      </c>
      <c r="M1867">
        <v>0.73299999999999998</v>
      </c>
    </row>
    <row r="1868" spans="1:13" x14ac:dyDescent="0.25">
      <c r="A1868" t="s">
        <v>8813</v>
      </c>
      <c r="B1868">
        <v>66437</v>
      </c>
      <c r="C1868">
        <v>3052911593352</v>
      </c>
      <c r="D1868">
        <v>35.9</v>
      </c>
      <c r="E1868">
        <v>21.19</v>
      </c>
      <c r="F1868">
        <v>29.89</v>
      </c>
      <c r="G1868">
        <v>15.385</v>
      </c>
      <c r="H1868">
        <v>0.36699999999999999</v>
      </c>
      <c r="K1868">
        <v>66437</v>
      </c>
      <c r="L1868" t="s">
        <v>8813</v>
      </c>
      <c r="M1868">
        <v>0.3</v>
      </c>
    </row>
    <row r="1869" spans="1:13" x14ac:dyDescent="0.25">
      <c r="A1869" t="s">
        <v>8814</v>
      </c>
      <c r="B1869">
        <v>66438</v>
      </c>
      <c r="C1869">
        <v>3052911593369</v>
      </c>
      <c r="D1869">
        <v>35.9</v>
      </c>
      <c r="E1869">
        <v>23.84</v>
      </c>
      <c r="F1869">
        <v>24.45</v>
      </c>
      <c r="G1869">
        <v>17.3398</v>
      </c>
      <c r="H1869">
        <v>0.26700000000000002</v>
      </c>
      <c r="K1869">
        <v>66438</v>
      </c>
      <c r="L1869" t="s">
        <v>8814</v>
      </c>
      <c r="M1869">
        <v>0.26700000000000002</v>
      </c>
    </row>
    <row r="1870" spans="1:13" x14ac:dyDescent="0.25">
      <c r="A1870" t="s">
        <v>8815</v>
      </c>
      <c r="B1870">
        <v>66432</v>
      </c>
      <c r="C1870">
        <v>3052911593260</v>
      </c>
      <c r="D1870">
        <v>35.9</v>
      </c>
      <c r="E1870">
        <v>23.83</v>
      </c>
      <c r="F1870">
        <v>24.45</v>
      </c>
      <c r="G1870">
        <v>17.338799999999999</v>
      </c>
      <c r="H1870">
        <v>0.433</v>
      </c>
      <c r="K1870">
        <v>66432</v>
      </c>
      <c r="L1870" t="s">
        <v>8815</v>
      </c>
      <c r="M1870">
        <v>0.36699999999999999</v>
      </c>
    </row>
    <row r="1871" spans="1:13" x14ac:dyDescent="0.25">
      <c r="A1871" t="s">
        <v>8816</v>
      </c>
      <c r="B1871">
        <v>66431</v>
      </c>
      <c r="C1871">
        <v>3052911593253</v>
      </c>
      <c r="D1871">
        <v>35.9</v>
      </c>
      <c r="E1871">
        <v>22.01</v>
      </c>
      <c r="F1871">
        <v>28.56</v>
      </c>
      <c r="G1871">
        <v>15.8644</v>
      </c>
      <c r="H1871">
        <v>0.23300000000000001</v>
      </c>
      <c r="K1871">
        <v>66431</v>
      </c>
      <c r="L1871" t="s">
        <v>8816</v>
      </c>
      <c r="M1871">
        <v>0.23300000000000001</v>
      </c>
    </row>
    <row r="1872" spans="1:13" x14ac:dyDescent="0.25">
      <c r="A1872" t="s">
        <v>8817</v>
      </c>
      <c r="B1872">
        <v>66433</v>
      </c>
      <c r="C1872">
        <v>3052911593284</v>
      </c>
      <c r="D1872">
        <v>35.9</v>
      </c>
      <c r="E1872">
        <v>20.22</v>
      </c>
      <c r="F1872">
        <v>31.66</v>
      </c>
      <c r="G1872">
        <v>14.7531</v>
      </c>
      <c r="H1872">
        <v>0.13300000000000001</v>
      </c>
      <c r="K1872">
        <v>66433</v>
      </c>
      <c r="L1872" t="s">
        <v>8817</v>
      </c>
      <c r="M1872">
        <v>0.1</v>
      </c>
    </row>
    <row r="1873" spans="1:13" x14ac:dyDescent="0.25">
      <c r="A1873" t="s">
        <v>8818</v>
      </c>
      <c r="B1873">
        <v>66436</v>
      </c>
      <c r="C1873">
        <v>3052911593345</v>
      </c>
      <c r="D1873">
        <v>35.9</v>
      </c>
      <c r="E1873">
        <v>22.26</v>
      </c>
      <c r="F1873">
        <v>29.68</v>
      </c>
      <c r="G1873">
        <v>15.461399999999999</v>
      </c>
      <c r="H1873">
        <v>0</v>
      </c>
      <c r="K1873">
        <v>66436</v>
      </c>
      <c r="L1873" t="s">
        <v>8818</v>
      </c>
      <c r="M1873">
        <v>0</v>
      </c>
    </row>
    <row r="1874" spans="1:13" x14ac:dyDescent="0.25">
      <c r="A1874" t="s">
        <v>8819</v>
      </c>
      <c r="B1874">
        <v>66434</v>
      </c>
      <c r="C1874">
        <v>3052911593291</v>
      </c>
      <c r="D1874">
        <v>35.9</v>
      </c>
      <c r="E1874">
        <v>21.05</v>
      </c>
      <c r="F1874">
        <v>31.02</v>
      </c>
      <c r="G1874">
        <v>14.9793</v>
      </c>
      <c r="H1874">
        <v>0.13300000000000001</v>
      </c>
      <c r="K1874">
        <v>66434</v>
      </c>
      <c r="L1874" t="s">
        <v>8819</v>
      </c>
      <c r="M1874">
        <v>0.1</v>
      </c>
    </row>
    <row r="1875" spans="1:13" x14ac:dyDescent="0.25">
      <c r="A1875" t="s">
        <v>8820</v>
      </c>
      <c r="B1875">
        <v>66439</v>
      </c>
      <c r="C1875">
        <v>3052911593321</v>
      </c>
      <c r="D1875">
        <v>35.9</v>
      </c>
      <c r="E1875">
        <v>23.84</v>
      </c>
      <c r="F1875">
        <v>24.45</v>
      </c>
      <c r="G1875">
        <v>17.340199999999999</v>
      </c>
      <c r="H1875">
        <v>1.0329999999999999</v>
      </c>
      <c r="K1875">
        <v>66439</v>
      </c>
      <c r="L1875" t="s">
        <v>8820</v>
      </c>
      <c r="M1875">
        <v>0.23300000000000001</v>
      </c>
    </row>
  </sheetData>
  <mergeCells count="2">
    <mergeCell ref="B1:H1"/>
    <mergeCell ref="K1:M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F003-D481-443B-BB94-799D011A368F}">
  <sheetPr codeName="Planilha3"/>
  <dimension ref="A1:V11"/>
  <sheetViews>
    <sheetView tabSelected="1" zoomScale="90" zoomScaleNormal="90" workbookViewId="0">
      <selection activeCell="N20" sqref="N20"/>
    </sheetView>
  </sheetViews>
  <sheetFormatPr defaultRowHeight="15" x14ac:dyDescent="0.25"/>
  <cols>
    <col min="1" max="1" width="44.140625" customWidth="1"/>
    <col min="2" max="2" width="36.85546875" hidden="1" customWidth="1"/>
    <col min="4" max="4" width="11.140625" bestFit="1" customWidth="1"/>
    <col min="5" max="5" width="10.5703125" bestFit="1" customWidth="1"/>
    <col min="7" max="7" width="11.7109375" bestFit="1" customWidth="1"/>
    <col min="8" max="8" width="14.28515625" bestFit="1" customWidth="1"/>
    <col min="9" max="9" width="4.85546875" bestFit="1" customWidth="1"/>
    <col min="11" max="11" width="11.5703125" bestFit="1" customWidth="1"/>
    <col min="13" max="13" width="10.5703125" bestFit="1" customWidth="1"/>
    <col min="14" max="14" width="12.85546875" bestFit="1" customWidth="1"/>
    <col min="15" max="15" width="12.5703125" bestFit="1" customWidth="1"/>
    <col min="16" max="16" width="17.7109375" bestFit="1" customWidth="1"/>
    <col min="17" max="17" width="20.140625" bestFit="1" customWidth="1"/>
    <col min="18" max="18" width="17.7109375" bestFit="1" customWidth="1"/>
    <col min="19" max="19" width="19.28515625" customWidth="1"/>
    <col min="20" max="21" width="12.7109375" bestFit="1" customWidth="1"/>
    <col min="22" max="22" width="15.7109375" bestFit="1" customWidth="1"/>
  </cols>
  <sheetData>
    <row r="1" spans="1:22" ht="15" customHeight="1" x14ac:dyDescent="0.25">
      <c r="A1" s="17" t="s">
        <v>6931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 spans="1:22" ht="15" customHeight="1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spans="1:22" ht="15" customHeight="1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</row>
    <row r="4" spans="1:22" ht="15" customHeight="1" x14ac:dyDescent="0.25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</row>
    <row r="5" spans="1:22" ht="18.75" x14ac:dyDescent="0.3">
      <c r="A5" s="15" t="s">
        <v>6943</v>
      </c>
      <c r="B5" s="15"/>
      <c r="C5" s="15"/>
      <c r="D5" s="15" t="s">
        <v>6942</v>
      </c>
      <c r="E5" s="15"/>
      <c r="F5" s="15"/>
      <c r="G5" s="15" t="s">
        <v>6944</v>
      </c>
      <c r="H5" s="15"/>
      <c r="I5" s="7" t="s">
        <v>6945</v>
      </c>
      <c r="J5" s="15" t="s">
        <v>6947</v>
      </c>
      <c r="K5" s="15"/>
      <c r="L5" s="7" t="s">
        <v>6945</v>
      </c>
      <c r="M5" s="15" t="s">
        <v>8823</v>
      </c>
      <c r="N5" s="15"/>
      <c r="O5" s="7" t="s">
        <v>6945</v>
      </c>
      <c r="P5" s="15" t="s">
        <v>8828</v>
      </c>
      <c r="Q5" s="15"/>
      <c r="R5" s="15" t="s">
        <v>8831</v>
      </c>
      <c r="S5" s="15"/>
      <c r="T5" s="7" t="s">
        <v>6945</v>
      </c>
      <c r="U5" s="15" t="s">
        <v>8834</v>
      </c>
      <c r="V5" s="15"/>
    </row>
    <row r="6" spans="1:22" x14ac:dyDescent="0.25">
      <c r="A6" s="14" t="s">
        <v>6932</v>
      </c>
      <c r="B6" s="8"/>
      <c r="C6" s="14" t="s">
        <v>6933</v>
      </c>
      <c r="D6" s="14" t="s">
        <v>6934</v>
      </c>
      <c r="E6" s="14" t="s">
        <v>6935</v>
      </c>
      <c r="F6" s="14" t="s">
        <v>6936</v>
      </c>
      <c r="G6" s="14" t="s">
        <v>6937</v>
      </c>
      <c r="H6" s="14" t="s">
        <v>6938</v>
      </c>
      <c r="I6" s="14" t="s">
        <v>6939</v>
      </c>
      <c r="J6" s="14" t="s">
        <v>6941</v>
      </c>
      <c r="K6" s="14" t="s">
        <v>6946</v>
      </c>
      <c r="L6" s="14" t="s">
        <v>6940</v>
      </c>
      <c r="M6" s="14" t="s">
        <v>8821</v>
      </c>
      <c r="N6" s="14" t="s">
        <v>8822</v>
      </c>
      <c r="O6" s="14" t="s">
        <v>8824</v>
      </c>
      <c r="P6" s="14" t="s">
        <v>8825</v>
      </c>
      <c r="Q6" s="14" t="s">
        <v>8826</v>
      </c>
      <c r="R6" s="14" t="s">
        <v>8829</v>
      </c>
      <c r="S6" s="14" t="s">
        <v>8830</v>
      </c>
      <c r="T6" s="20" t="s">
        <v>8827</v>
      </c>
      <c r="U6" s="14" t="s">
        <v>8832</v>
      </c>
      <c r="V6" s="14" t="s">
        <v>8833</v>
      </c>
    </row>
    <row r="7" spans="1:22" ht="12" customHeight="1" x14ac:dyDescent="0.25">
      <c r="A7" s="14"/>
      <c r="B7" s="8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21"/>
      <c r="U7" s="14"/>
      <c r="V7" s="14"/>
    </row>
    <row r="8" spans="1:22" ht="18.75" customHeight="1" x14ac:dyDescent="0.25">
      <c r="A8" s="9"/>
      <c r="B8" s="9" t="s">
        <v>7355</v>
      </c>
      <c r="C8" s="9">
        <f>IFERROR(VLOOKUP(B8,'BASE DE DADOS'!A:B,2,0),"-")</f>
        <v>24163</v>
      </c>
      <c r="D8" s="10">
        <f>VLOOKUP(C8,'BASE DE DADOS'!B:D,3,0)</f>
        <v>179.9</v>
      </c>
      <c r="E8" s="9">
        <v>149.9</v>
      </c>
      <c r="F8" s="9">
        <f>VLOOKUP(C8,'BASE DE DADOS'!B:E,4,0)-L8</f>
        <v>114.15</v>
      </c>
      <c r="G8" s="11">
        <f>D8-F8</f>
        <v>65.75</v>
      </c>
      <c r="H8" s="9">
        <f>IFERROR(E8-F8,"-")</f>
        <v>35.75</v>
      </c>
      <c r="I8" s="13">
        <f>IFERROR(G8/H8,"-")</f>
        <v>1.8391608391608392</v>
      </c>
      <c r="J8" s="12">
        <f>IFERROR(G8/D8,"-")</f>
        <v>0.36548082267926624</v>
      </c>
      <c r="K8" s="12">
        <f>IFERROR(H8/E8,"-")</f>
        <v>0.23849232821881253</v>
      </c>
      <c r="L8" s="9"/>
      <c r="M8" s="9">
        <f>VLOOKUP(C8,'BASE DE DADOS'!K:M,3,0)</f>
        <v>0.433</v>
      </c>
      <c r="N8" s="9">
        <f>VLOOKUP(C8,'BASE DE DADOS'!B:H,7,0)</f>
        <v>1.4670000000000001</v>
      </c>
      <c r="O8" s="9">
        <v>10</v>
      </c>
      <c r="P8" s="10">
        <f>IFERROR(O8*D8*M8,"-")</f>
        <v>778.96699999999998</v>
      </c>
      <c r="Q8" s="10">
        <f>IFERROR(N8*E8*O8,"-")</f>
        <v>2199.0330000000004</v>
      </c>
      <c r="R8" s="10">
        <f>IFERROR(G8*U8,"-")</f>
        <v>284.69749999999999</v>
      </c>
      <c r="S8" s="10">
        <f>IFERROR(H8*V8,"-")</f>
        <v>524.4525000000001</v>
      </c>
      <c r="T8" s="9">
        <f>I8*M8*O8</f>
        <v>7.9635664335664336</v>
      </c>
      <c r="U8" s="9">
        <f>M8*O8</f>
        <v>4.33</v>
      </c>
      <c r="V8" s="9">
        <f>N8*O8</f>
        <v>14.670000000000002</v>
      </c>
    </row>
    <row r="10" spans="1:22" x14ac:dyDescent="0.25">
      <c r="P10" s="19" t="s">
        <v>8835</v>
      </c>
      <c r="Q10" s="19"/>
      <c r="R10" s="19" t="s">
        <v>8836</v>
      </c>
      <c r="S10" s="19"/>
      <c r="U10" s="19" t="s">
        <v>8837</v>
      </c>
      <c r="V10" s="19"/>
    </row>
    <row r="11" spans="1:22" x14ac:dyDescent="0.25">
      <c r="P11" s="18">
        <f>Q8/P8-1</f>
        <v>1.8230117578793457</v>
      </c>
      <c r="Q11" s="18"/>
      <c r="R11" s="18">
        <f>S8/R8-1</f>
        <v>0.84213946381685867</v>
      </c>
      <c r="S11" s="18"/>
      <c r="U11" s="18">
        <f>V8/U8-1</f>
        <v>2.3879907621247116</v>
      </c>
      <c r="V11" s="18"/>
    </row>
  </sheetData>
  <mergeCells count="36">
    <mergeCell ref="L6:L7"/>
    <mergeCell ref="A5:C5"/>
    <mergeCell ref="D5:F5"/>
    <mergeCell ref="G5:H5"/>
    <mergeCell ref="J5:K5"/>
    <mergeCell ref="A6:A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M6:M7"/>
    <mergeCell ref="N6:N7"/>
    <mergeCell ref="M5:N5"/>
    <mergeCell ref="O6:O7"/>
    <mergeCell ref="P6:P7"/>
    <mergeCell ref="U6:U7"/>
    <mergeCell ref="V6:V7"/>
    <mergeCell ref="A1:V4"/>
    <mergeCell ref="U5:V5"/>
    <mergeCell ref="P11:Q11"/>
    <mergeCell ref="P10:Q10"/>
    <mergeCell ref="R10:S10"/>
    <mergeCell ref="R11:S11"/>
    <mergeCell ref="U10:V10"/>
    <mergeCell ref="U11:V11"/>
    <mergeCell ref="Q6:Q7"/>
    <mergeCell ref="P5:Q5"/>
    <mergeCell ref="T6:T7"/>
    <mergeCell ref="R6:R7"/>
    <mergeCell ref="S6:S7"/>
    <mergeCell ref="R5:S5"/>
  </mergeCells>
  <pageMargins left="0.511811024" right="0.511811024" top="0.78740157499999996" bottom="0.78740157499999996" header="0.31496062000000002" footer="0.31496062000000002"/>
  <drawing r:id="rId1"/>
  <legacyDrawing r:id="rId2"/>
  <controls>
    <mc:AlternateContent xmlns:mc="http://schemas.openxmlformats.org/markup-compatibility/2006">
      <mc:Choice Requires="x14">
        <control shapeId="3073" r:id="rId3" name="ComboBox1">
          <controlPr defaultSize="0" autoLine="0" autoPict="0" linkedCell="B8" listFillRange="PRODUTOADEGA" r:id="rId4">
            <anchor moveWithCells="1">
              <from>
                <xdr:col>0</xdr:col>
                <xdr:colOff>0</xdr:colOff>
                <xdr:row>6</xdr:row>
                <xdr:rowOff>152400</xdr:rowOff>
              </from>
              <to>
                <xdr:col>0</xdr:col>
                <xdr:colOff>2943225</xdr:colOff>
                <xdr:row>7</xdr:row>
                <xdr:rowOff>228600</xdr:rowOff>
              </to>
            </anchor>
          </controlPr>
        </control>
      </mc:Choice>
      <mc:Fallback>
        <control shapeId="3073" r:id="rId3" name="ComboBox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2</vt:i4>
      </vt:variant>
    </vt:vector>
  </HeadingPairs>
  <TitlesOfParts>
    <vt:vector size="6" baseType="lpstr">
      <vt:lpstr>Planilha1</vt:lpstr>
      <vt:lpstr>Planilha2</vt:lpstr>
      <vt:lpstr>BASE DE DADOS</vt:lpstr>
      <vt:lpstr>ADEGA</vt:lpstr>
      <vt:lpstr>PRODUTO</vt:lpstr>
      <vt:lpstr>PRODUTOADEGA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Silva</dc:creator>
  <cp:lastModifiedBy>Douglas Silva</cp:lastModifiedBy>
  <dcterms:created xsi:type="dcterms:W3CDTF">2025-04-07T16:27:24Z</dcterms:created>
  <dcterms:modified xsi:type="dcterms:W3CDTF">2025-04-09T22:34:00Z</dcterms:modified>
</cp:coreProperties>
</file>